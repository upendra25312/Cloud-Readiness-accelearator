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<sst xmlns="http://schemas.openxmlformats.org/spreadsheetml/2006/main" count="92" uniqueCount="73">
  <si>
    <t xml:space="preserve">Hyperscaler Comparison &amp; Decision Matrix</t>
  </si>
  <si>
    <t xml:space="preserve">Version 1.0 | Phase: Evaluation | Task 4.4 | Requirements 4.4, 4.5, 4.7, 4.8</t>
  </si>
  <si>
    <t xml:space="preserve">Section 1 — Technical Comparison</t>
  </si>
  <si>
    <t xml:space="preserve">Criterion</t>
  </si>
  <si>
    <t xml:space="preserve">Weight</t>
  </si>
  <si>
    <t xml:space="preserve">AWS Score</t>
  </si>
  <si>
    <t xml:space="preserve">Azure Score</t>
  </si>
  <si>
    <t xml:space="preserve">GCP Score</t>
  </si>
  <si>
    <t xml:space="preserve">Notes</t>
  </si>
  <si>
    <t xml:space="preserve">Compute service fit</t>
  </si>
  <si>
    <t xml:space="preserve">Database service fit</t>
  </si>
  <si>
    <t xml:space="preserve">Storage service fit</t>
  </si>
  <si>
    <t xml:space="preserve">Networking capabilities</t>
  </si>
  <si>
    <t xml:space="preserve">Migration tooling</t>
  </si>
  <si>
    <t xml:space="preserve">Container/K8s support</t>
  </si>
  <si>
    <t xml:space="preserve">AI/ML services</t>
  </si>
  <si>
    <t xml:space="preserve">Security services</t>
  </si>
  <si>
    <t xml:space="preserve">Regional availability</t>
  </si>
  <si>
    <t xml:space="preserve">Technical Score</t>
  </si>
  <si>
    <t xml:space="preserve">Section 2 — Financial Comparison</t>
  </si>
  <si>
    <t xml:space="preserve">AWS (£)</t>
  </si>
  <si>
    <t xml:space="preserve">Azure (£)</t>
  </si>
  <si>
    <t xml:space="preserve">GCP (£)</t>
  </si>
  <si>
    <t xml:space="preserve">Monthly run-rate (PAYG)</t>
  </si>
  <si>
    <t xml:space="preserve">Monthly run-rate (committed)</t>
  </si>
  <si>
    <t xml:space="preserve">Migration cost</t>
  </si>
  <si>
    <t xml:space="preserve">3-Year TCO</t>
  </si>
  <si>
    <t xml:space="preserve">Licensing optimization (savings)</t>
  </si>
  <si>
    <t xml:space="preserve">Support cost</t>
  </si>
  <si>
    <t xml:space="preserve">Financial Score (0-100, lower cost = higher score)</t>
  </si>
  <si>
    <t xml:space="preserve">Auto-calc: 100 if lowest, scaled otherwise</t>
  </si>
  <si>
    <t xml:space="preserve">Section 3 — Organizational Comparison</t>
  </si>
  <si>
    <t xml:space="preserve">Existing cloud investment</t>
  </si>
  <si>
    <t xml:space="preserve">Team expertise/skills</t>
  </si>
  <si>
    <t xml:space="preserve">Vendor relationship</t>
  </si>
  <si>
    <t xml:space="preserve">Training availability</t>
  </si>
  <si>
    <t xml:space="preserve">Partner ecosystem</t>
  </si>
  <si>
    <t xml:space="preserve">Enterprise agreement</t>
  </si>
  <si>
    <t xml:space="preserve">Strategic alignment</t>
  </si>
  <si>
    <t xml:space="preserve">Organizational Score</t>
  </si>
  <si>
    <t xml:space="preserve">Section 4 — Compliance &amp; Risk Comparison</t>
  </si>
  <si>
    <t xml:space="preserve">Required</t>
  </si>
  <si>
    <t xml:space="preserve">AWS</t>
  </si>
  <si>
    <t xml:space="preserve">Azure</t>
  </si>
  <si>
    <t xml:space="preserve">GCP</t>
  </si>
  <si>
    <t xml:space="preserve">SOC 2 Type II</t>
  </si>
  <si>
    <t xml:space="preserve">ISO 27001</t>
  </si>
  <si>
    <t xml:space="preserve">PCI DSS</t>
  </si>
  <si>
    <t xml:space="preserve">HIPAA</t>
  </si>
  <si>
    <t xml:space="preserve">GDPR</t>
  </si>
  <si>
    <t xml:space="preserve">UK G-Cloud</t>
  </si>
  <si>
    <t xml:space="preserve">Data residency (required regions)</t>
  </si>
  <si>
    <t xml:space="preserve">Compliance Score</t>
  </si>
  <si>
    <t xml:space="preserve">Score = % of required items met</t>
  </si>
  <si>
    <t xml:space="preserve">Section 5 — Overall Decision Matrix</t>
  </si>
  <si>
    <t xml:space="preserve">Category</t>
  </si>
  <si>
    <t xml:space="preserve">Technical Fit</t>
  </si>
  <si>
    <t xml:space="preserve">Financial Fit</t>
  </si>
  <si>
    <t xml:space="preserve">Organizational Fit</t>
  </si>
  <si>
    <t xml:space="preserve">Compliance Fit</t>
  </si>
  <si>
    <t xml:space="preserve">Overall Score</t>
  </si>
  <si>
    <t xml:space="preserve">Section 6 — Recommendation</t>
  </si>
  <si>
    <t xml:space="preserve">Field</t>
  </si>
  <si>
    <t xml:space="preserve">Selection</t>
  </si>
  <si>
    <t xml:space="preserve">Primary Recommendation</t>
  </si>
  <si>
    <t xml:space="preserve">Secondary / Hybrid</t>
  </si>
  <si>
    <t xml:space="preserve">Rationale</t>
  </si>
  <si>
    <t xml:space="preserve">Multi-Cloud Scenario (if applicable)</t>
  </si>
  <si>
    <t xml:space="preserve">Workload Type</t>
  </si>
  <si>
    <t xml:space="preserve">Recommended Platform</t>
  </si>
  <si>
    <t xml:space="preserve">Owner</t>
  </si>
  <si>
    <t xml:space="preserve">Migration Wave</t>
  </si>
  <si>
    <t xml:space="preserve">Template Version 1.0 — Cloud Readiness Accelerator Framework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</si>
</sst>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&quot; / 100&quot;"/>
    <numFmt numFmtId="167" formatCode="\£#,##0;&quot;(£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2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0.15</v>
      </c>
      <c r="C6" s="7"/>
      <c r="D6" s="7"/>
      <c r="E6" s="7"/>
      <c r="F6" s="7"/>
    </row>
    <row r="7" customFormat="false" ht="15" hidden="false" customHeight="false" outlineLevel="0" collapsed="false">
      <c r="A7" s="5" t="s">
        <v>10</v>
      </c>
      <c r="B7" s="6" t="n">
        <v>0.15</v>
      </c>
      <c r="C7" s="7"/>
      <c r="D7" s="7"/>
      <c r="E7" s="7"/>
      <c r="F7" s="7"/>
    </row>
    <row r="8" customFormat="false" ht="15" hidden="false" customHeight="false" outlineLevel="0" collapsed="false">
      <c r="A8" s="5" t="s">
        <v>11</v>
      </c>
      <c r="B8" s="6" t="n">
        <v>0.1</v>
      </c>
      <c r="C8" s="7"/>
      <c r="D8" s="7"/>
      <c r="E8" s="7"/>
      <c r="F8" s="7"/>
    </row>
    <row r="9" customFormat="false" ht="15" hidden="false" customHeight="false" outlineLevel="0" collapsed="false">
      <c r="A9" s="5" t="s">
        <v>12</v>
      </c>
      <c r="B9" s="6" t="n">
        <v>0.1</v>
      </c>
      <c r="C9" s="7"/>
      <c r="D9" s="7"/>
      <c r="E9" s="7"/>
      <c r="F9" s="7"/>
    </row>
    <row r="10" customFormat="false" ht="15" hidden="false" customHeight="false" outlineLevel="0" collapsed="false">
      <c r="A10" s="5" t="s">
        <v>13</v>
      </c>
      <c r="B10" s="6" t="n">
        <v>0.1</v>
      </c>
      <c r="C10" s="7"/>
      <c r="D10" s="7"/>
      <c r="E10" s="7"/>
      <c r="F10" s="7"/>
    </row>
    <row r="11" customFormat="false" ht="15" hidden="false" customHeight="false" outlineLevel="0" collapsed="false">
      <c r="A11" s="5" t="s">
        <v>14</v>
      </c>
      <c r="B11" s="6" t="n">
        <v>0.1</v>
      </c>
      <c r="C11" s="7"/>
      <c r="D11" s="7"/>
      <c r="E11" s="7"/>
      <c r="F11" s="7"/>
    </row>
    <row r="12" customFormat="false" ht="15" hidden="false" customHeight="false" outlineLevel="0" collapsed="false">
      <c r="A12" s="5" t="s">
        <v>15</v>
      </c>
      <c r="B12" s="6" t="n">
        <v>0.1</v>
      </c>
      <c r="C12" s="7"/>
      <c r="D12" s="7"/>
      <c r="E12" s="7"/>
      <c r="F12" s="7"/>
    </row>
    <row r="13" customFormat="false" ht="15" hidden="false" customHeight="false" outlineLevel="0" collapsed="false">
      <c r="A13" s="5" t="s">
        <v>16</v>
      </c>
      <c r="B13" s="6" t="n">
        <v>0.1</v>
      </c>
      <c r="C13" s="7"/>
      <c r="D13" s="7"/>
      <c r="E13" s="7"/>
      <c r="F13" s="7"/>
    </row>
    <row r="14" customFormat="false" ht="15" hidden="false" customHeight="false" outlineLevel="0" collapsed="false">
      <c r="A14" s="5" t="s">
        <v>17</v>
      </c>
      <c r="B14" s="6" t="n">
        <v>0.1</v>
      </c>
      <c r="C14" s="7"/>
      <c r="D14" s="7"/>
      <c r="E14" s="7"/>
      <c r="F14" s="7"/>
    </row>
    <row r="15" customFormat="false" ht="15" hidden="false" customHeight="false" outlineLevel="0" collapsed="false">
      <c r="A15" s="8" t="s">
        <v>18</v>
      </c>
      <c r="B15" s="9" t="n">
        <f aca="false">SUM(B6:B14)</f>
        <v>1</v>
      </c>
      <c r="C15" s="10" t="n">
        <f aca="false">IFERROR(SUMPRODUCT(B6:B14,C6:C14),0)</f>
        <v>0</v>
      </c>
      <c r="D15" s="10" t="n">
        <f aca="false">IFERROR(SUMPRODUCT(B6:B14,D6:D14),0)</f>
        <v>0</v>
      </c>
      <c r="E15" s="10" t="n">
        <f aca="false">IFERROR(SUMPRODUCT(B6:B14,E6:E14),0)</f>
        <v>0</v>
      </c>
      <c r="F15" s="8"/>
    </row>
    <row r="17" customFormat="false" ht="24" hidden="false" customHeight="true" outlineLevel="0" collapsed="false">
      <c r="A17" s="3" t="s">
        <v>19</v>
      </c>
      <c r="B17" s="3"/>
      <c r="C17" s="3"/>
      <c r="D17" s="3"/>
      <c r="E17" s="3"/>
      <c r="F17" s="3"/>
    </row>
    <row r="18" customFormat="false" ht="30" hidden="false" customHeight="true" outlineLevel="0" collapsed="false">
      <c r="A18" s="4" t="s">
        <v>3</v>
      </c>
      <c r="B18" s="4" t="s">
        <v>4</v>
      </c>
      <c r="C18" s="4" t="s">
        <v>20</v>
      </c>
      <c r="D18" s="4" t="s">
        <v>21</v>
      </c>
      <c r="E18" s="4" t="s">
        <v>22</v>
      </c>
      <c r="F18" s="4" t="s">
        <v>8</v>
      </c>
    </row>
    <row r="19" customFormat="false" ht="15" hidden="false" customHeight="false" outlineLevel="0" collapsed="false">
      <c r="A19" s="5" t="s">
        <v>23</v>
      </c>
      <c r="B19" s="6" t="n">
        <v>0.15</v>
      </c>
      <c r="C19" s="11"/>
      <c r="D19" s="11"/>
      <c r="E19" s="11"/>
      <c r="F19" s="7"/>
    </row>
    <row r="20" customFormat="false" ht="15" hidden="false" customHeight="false" outlineLevel="0" collapsed="false">
      <c r="A20" s="5" t="s">
        <v>24</v>
      </c>
      <c r="B20" s="6" t="n">
        <v>0.2</v>
      </c>
      <c r="C20" s="11"/>
      <c r="D20" s="11"/>
      <c r="E20" s="11"/>
      <c r="F20" s="7"/>
    </row>
    <row r="21" customFormat="false" ht="15" hidden="false" customHeight="false" outlineLevel="0" collapsed="false">
      <c r="A21" s="5" t="s">
        <v>25</v>
      </c>
      <c r="B21" s="6" t="n">
        <v>0.15</v>
      </c>
      <c r="C21" s="11"/>
      <c r="D21" s="11"/>
      <c r="E21" s="11"/>
      <c r="F21" s="7"/>
    </row>
    <row r="22" customFormat="false" ht="15" hidden="false" customHeight="false" outlineLevel="0" collapsed="false">
      <c r="A22" s="5" t="s">
        <v>26</v>
      </c>
      <c r="B22" s="6" t="n">
        <v>0.3</v>
      </c>
      <c r="C22" s="11"/>
      <c r="D22" s="11"/>
      <c r="E22" s="11"/>
      <c r="F22" s="7"/>
    </row>
    <row r="23" customFormat="false" ht="15" hidden="false" customHeight="false" outlineLevel="0" collapsed="false">
      <c r="A23" s="12" t="s">
        <v>27</v>
      </c>
      <c r="B23" s="6" t="n">
        <v>0.1</v>
      </c>
      <c r="C23" s="11"/>
      <c r="D23" s="11"/>
      <c r="E23" s="11"/>
      <c r="F23" s="7"/>
    </row>
    <row r="24" customFormat="false" ht="15" hidden="false" customHeight="false" outlineLevel="0" collapsed="false">
      <c r="A24" s="5" t="s">
        <v>28</v>
      </c>
      <c r="B24" s="6" t="n">
        <v>0.1</v>
      </c>
      <c r="C24" s="11"/>
      <c r="D24" s="11"/>
      <c r="E24" s="11"/>
      <c r="F24" s="7"/>
    </row>
    <row r="25" customFormat="false" ht="23.85" hidden="false" customHeight="false" outlineLevel="0" collapsed="false">
      <c r="A25" s="13" t="s">
        <v>29</v>
      </c>
      <c r="B25" s="9" t="n">
        <f aca="false">SUM(B19:B24)</f>
        <v>1</v>
      </c>
      <c r="C25" s="10" t="n">
        <f aca="false">IFERROR(MIN(SUMPRODUCT(B19:B24,C19:C24),SUMPRODUCT(B19:B24,D19:D24),SUMPRODUCT(B19:B24,E19:E24))/SUMPRODUCT(B19:B24,C19:C24)*100,0)</f>
        <v>0</v>
      </c>
      <c r="D25" s="10" t="n">
        <f aca="false">IFERROR(MIN(SUMPRODUCT(B19:B24,C19:C24),SUMPRODUCT(B19:B24,D19:D24),SUMPRODUCT(B19:B24,E19:E24))/SUMPRODUCT(B19:B24,D19:D24)*100,0)</f>
        <v>0</v>
      </c>
      <c r="E25" s="10" t="n">
        <f aca="false">IFERROR(MIN(SUMPRODUCT(B19:B24,C19:C24),SUMPRODUCT(B19:B24,D19:D24),SUMPRODUCT(B19:B24,E19:E24))/SUMPRODUCT(B19:B24,E19:E24)*100,0)</f>
        <v>0</v>
      </c>
      <c r="F25" s="13" t="s">
        <v>30</v>
      </c>
    </row>
    <row r="27" customFormat="false" ht="24" hidden="false" customHeight="true" outlineLevel="0" collapsed="false">
      <c r="A27" s="3" t="s">
        <v>31</v>
      </c>
      <c r="B27" s="3"/>
      <c r="C27" s="3"/>
      <c r="D27" s="3"/>
      <c r="E27" s="3"/>
      <c r="F27" s="3"/>
    </row>
    <row r="28" customFormat="false" ht="30" hidden="false" customHeight="true" outlineLevel="0" collapsed="false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</row>
    <row r="29" customFormat="false" ht="15" hidden="false" customHeight="false" outlineLevel="0" collapsed="false">
      <c r="A29" s="5" t="s">
        <v>32</v>
      </c>
      <c r="B29" s="6" t="n">
        <v>0.2</v>
      </c>
      <c r="C29" s="7"/>
      <c r="D29" s="7"/>
      <c r="E29" s="7"/>
      <c r="F29" s="7"/>
    </row>
    <row r="30" customFormat="false" ht="15" hidden="false" customHeight="false" outlineLevel="0" collapsed="false">
      <c r="A30" s="5" t="s">
        <v>33</v>
      </c>
      <c r="B30" s="6" t="n">
        <v>0.2</v>
      </c>
      <c r="C30" s="7"/>
      <c r="D30" s="7"/>
      <c r="E30" s="7"/>
      <c r="F30" s="7"/>
    </row>
    <row r="31" customFormat="false" ht="15" hidden="false" customHeight="false" outlineLevel="0" collapsed="false">
      <c r="A31" s="5" t="s">
        <v>34</v>
      </c>
      <c r="B31" s="6" t="n">
        <v>0.15</v>
      </c>
      <c r="C31" s="7"/>
      <c r="D31" s="7"/>
      <c r="E31" s="7"/>
      <c r="F31" s="7"/>
    </row>
    <row r="32" customFormat="false" ht="15" hidden="false" customHeight="false" outlineLevel="0" collapsed="false">
      <c r="A32" s="5" t="s">
        <v>35</v>
      </c>
      <c r="B32" s="6" t="n">
        <v>0.1</v>
      </c>
      <c r="C32" s="7"/>
      <c r="D32" s="7"/>
      <c r="E32" s="7"/>
      <c r="F32" s="7"/>
    </row>
    <row r="33" customFormat="false" ht="15" hidden="false" customHeight="false" outlineLevel="0" collapsed="false">
      <c r="A33" s="5" t="s">
        <v>36</v>
      </c>
      <c r="B33" s="6" t="n">
        <v>0.1</v>
      </c>
      <c r="C33" s="7"/>
      <c r="D33" s="7"/>
      <c r="E33" s="7"/>
      <c r="F33" s="7"/>
    </row>
    <row r="34" customFormat="false" ht="15" hidden="false" customHeight="false" outlineLevel="0" collapsed="false">
      <c r="A34" s="5" t="s">
        <v>37</v>
      </c>
      <c r="B34" s="6" t="n">
        <v>0.15</v>
      </c>
      <c r="C34" s="7"/>
      <c r="D34" s="7"/>
      <c r="E34" s="7"/>
      <c r="F34" s="7"/>
    </row>
    <row r="35" customFormat="false" ht="15" hidden="false" customHeight="false" outlineLevel="0" collapsed="false">
      <c r="A35" s="5" t="s">
        <v>38</v>
      </c>
      <c r="B35" s="6" t="n">
        <v>0.1</v>
      </c>
      <c r="C35" s="7"/>
      <c r="D35" s="7"/>
      <c r="E35" s="7"/>
      <c r="F35" s="7"/>
    </row>
    <row r="36" customFormat="false" ht="15" hidden="false" customHeight="false" outlineLevel="0" collapsed="false">
      <c r="A36" s="8" t="s">
        <v>39</v>
      </c>
      <c r="B36" s="9" t="n">
        <f aca="false">SUM(B29:B35)</f>
        <v>1</v>
      </c>
      <c r="C36" s="10" t="n">
        <f aca="false">IFERROR(SUMPRODUCT(B29:B35,C29:C35),0)</f>
        <v>0</v>
      </c>
      <c r="D36" s="10" t="n">
        <f aca="false">IFERROR(SUMPRODUCT(B29:B35,D29:D35),0)</f>
        <v>0</v>
      </c>
      <c r="E36" s="10" t="n">
        <f aca="false">IFERROR(SUMPRODUCT(B29:B35,E29:E35),0)</f>
        <v>0</v>
      </c>
      <c r="F36" s="8"/>
    </row>
    <row r="38" customFormat="false" ht="24" hidden="false" customHeight="true" outlineLevel="0" collapsed="false">
      <c r="A38" s="3" t="s">
        <v>40</v>
      </c>
      <c r="B38" s="3"/>
      <c r="C38" s="3"/>
      <c r="D38" s="3"/>
      <c r="E38" s="3"/>
      <c r="F38" s="3"/>
    </row>
    <row r="39" customFormat="false" ht="30" hidden="false" customHeight="true" outlineLevel="0" collapsed="false">
      <c r="A39" s="4" t="s">
        <v>3</v>
      </c>
      <c r="B39" s="4" t="s">
        <v>41</v>
      </c>
      <c r="C39" s="4" t="s">
        <v>42</v>
      </c>
      <c r="D39" s="4" t="s">
        <v>43</v>
      </c>
      <c r="E39" s="4" t="s">
        <v>44</v>
      </c>
      <c r="F39" s="4" t="s">
        <v>8</v>
      </c>
    </row>
    <row r="40" customFormat="false" ht="15" hidden="false" customHeight="false" outlineLevel="0" collapsed="false">
      <c r="A40" s="5" t="s">
        <v>45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5" t="s">
        <v>46</v>
      </c>
      <c r="B41" s="7"/>
      <c r="C41" s="7"/>
      <c r="D41" s="7"/>
      <c r="E41" s="7"/>
      <c r="F41" s="7"/>
    </row>
    <row r="42" customFormat="false" ht="15" hidden="false" customHeight="false" outlineLevel="0" collapsed="false">
      <c r="A42" s="5" t="s">
        <v>47</v>
      </c>
      <c r="B42" s="7"/>
      <c r="C42" s="7"/>
      <c r="D42" s="7"/>
      <c r="E42" s="7"/>
      <c r="F42" s="7"/>
    </row>
    <row r="43" customFormat="false" ht="15" hidden="false" customHeight="false" outlineLevel="0" collapsed="false">
      <c r="A43" s="5" t="s">
        <v>48</v>
      </c>
      <c r="B43" s="7"/>
      <c r="C43" s="7"/>
      <c r="D43" s="7"/>
      <c r="E43" s="7"/>
      <c r="F43" s="7"/>
    </row>
    <row r="44" customFormat="false" ht="15" hidden="false" customHeight="false" outlineLevel="0" collapsed="false">
      <c r="A44" s="5" t="s">
        <v>49</v>
      </c>
      <c r="B44" s="7"/>
      <c r="C44" s="7"/>
      <c r="D44" s="7"/>
      <c r="E44" s="7"/>
      <c r="F44" s="7"/>
    </row>
    <row r="45" customFormat="false" ht="15" hidden="false" customHeight="false" outlineLevel="0" collapsed="false">
      <c r="A45" s="5" t="s">
        <v>50</v>
      </c>
      <c r="B45" s="7"/>
      <c r="C45" s="7"/>
      <c r="D45" s="7"/>
      <c r="E45" s="7"/>
      <c r="F45" s="7"/>
    </row>
    <row r="46" customFormat="false" ht="15" hidden="false" customHeight="false" outlineLevel="0" collapsed="false">
      <c r="A46" s="12" t="s">
        <v>51</v>
      </c>
      <c r="B46" s="7"/>
      <c r="C46" s="7"/>
      <c r="D46" s="7"/>
      <c r="E46" s="7"/>
      <c r="F46" s="7"/>
    </row>
    <row r="47" customFormat="false" ht="23.85" hidden="false" customHeight="false" outlineLevel="0" collapsed="false">
      <c r="A47" s="8" t="s">
        <v>52</v>
      </c>
      <c r="B47" s="8"/>
      <c r="C47" s="10" t="n">
        <f aca="false">IFERROR(COUNTIFS(B40:B46,"Yes",C40:C46,"Yes")/COUNTIF(B40:B46,"Yes")*100,0)</f>
        <v>0</v>
      </c>
      <c r="D47" s="10" t="n">
        <f aca="false">IFERROR(COUNTIFS(B40:B46,"Yes",D40:D46,"Yes")/COUNTIF(B40:B46,"Yes")*100,0)</f>
        <v>0</v>
      </c>
      <c r="E47" s="10" t="n">
        <f aca="false">IFERROR(COUNTIFS(B40:B46,"Yes",E40:E46,"Yes")/COUNTIF(B40:B46,"Yes")*100,0)</f>
        <v>0</v>
      </c>
      <c r="F47" s="13" t="s">
        <v>53</v>
      </c>
    </row>
    <row r="49" customFormat="false" ht="24" hidden="false" customHeight="true" outlineLevel="0" collapsed="false">
      <c r="A49" s="3" t="s">
        <v>54</v>
      </c>
      <c r="B49" s="3"/>
      <c r="C49" s="3"/>
      <c r="D49" s="3"/>
      <c r="E49" s="3"/>
      <c r="F49" s="3"/>
    </row>
    <row r="50" customFormat="false" ht="30" hidden="false" customHeight="true" outlineLevel="0" collapsed="false">
      <c r="A50" s="4" t="s">
        <v>55</v>
      </c>
      <c r="B50" s="4" t="s">
        <v>4</v>
      </c>
      <c r="C50" s="4" t="s">
        <v>42</v>
      </c>
      <c r="D50" s="4" t="s">
        <v>43</v>
      </c>
      <c r="E50" s="4" t="s">
        <v>44</v>
      </c>
      <c r="F50" s="4" t="s">
        <v>8</v>
      </c>
    </row>
    <row r="51" customFormat="false" ht="15" hidden="false" customHeight="false" outlineLevel="0" collapsed="false">
      <c r="A51" s="5" t="s">
        <v>56</v>
      </c>
      <c r="B51" s="6" t="n">
        <v>0.35</v>
      </c>
      <c r="C51" s="14" t="n">
        <f aca="false">C15</f>
        <v>0</v>
      </c>
      <c r="D51" s="14" t="n">
        <f aca="false">D15</f>
        <v>0</v>
      </c>
      <c r="E51" s="14" t="n">
        <f aca="false">E15</f>
        <v>0</v>
      </c>
      <c r="F51" s="5"/>
    </row>
    <row r="52" customFormat="false" ht="15" hidden="false" customHeight="false" outlineLevel="0" collapsed="false">
      <c r="A52" s="5" t="s">
        <v>57</v>
      </c>
      <c r="B52" s="6" t="n">
        <v>0.3</v>
      </c>
      <c r="C52" s="14" t="n">
        <f aca="false">C25</f>
        <v>0</v>
      </c>
      <c r="D52" s="14" t="n">
        <f aca="false">D25</f>
        <v>0</v>
      </c>
      <c r="E52" s="14" t="n">
        <f aca="false">E25</f>
        <v>0</v>
      </c>
      <c r="F52" s="5"/>
    </row>
    <row r="53" customFormat="false" ht="15" hidden="false" customHeight="false" outlineLevel="0" collapsed="false">
      <c r="A53" s="5" t="s">
        <v>58</v>
      </c>
      <c r="B53" s="6" t="n">
        <v>0.2</v>
      </c>
      <c r="C53" s="14" t="n">
        <f aca="false">C36</f>
        <v>0</v>
      </c>
      <c r="D53" s="14" t="n">
        <f aca="false">D36</f>
        <v>0</v>
      </c>
      <c r="E53" s="14" t="n">
        <f aca="false">E36</f>
        <v>0</v>
      </c>
      <c r="F53" s="5"/>
    </row>
    <row r="54" customFormat="false" ht="15" hidden="false" customHeight="false" outlineLevel="0" collapsed="false">
      <c r="A54" s="5" t="s">
        <v>59</v>
      </c>
      <c r="B54" s="6" t="n">
        <v>0.15</v>
      </c>
      <c r="C54" s="14" t="n">
        <f aca="false">C47</f>
        <v>0</v>
      </c>
      <c r="D54" s="14" t="n">
        <f aca="false">D47</f>
        <v>0</v>
      </c>
      <c r="E54" s="14" t="n">
        <f aca="false">E47</f>
        <v>0</v>
      </c>
      <c r="F54" s="5"/>
    </row>
    <row r="55" customFormat="false" ht="15" hidden="false" customHeight="false" outlineLevel="0" collapsed="false">
      <c r="A55" s="8" t="s">
        <v>60</v>
      </c>
      <c r="B55" s="9" t="n">
        <f aca="false">SUM(B51:B54)</f>
        <v>1</v>
      </c>
      <c r="C55" s="15" t="n">
        <f aca="false">IFERROR(SUMPRODUCT(B51:B54,C51:C54),0)</f>
        <v>0</v>
      </c>
      <c r="D55" s="15" t="n">
        <f aca="false">IFERROR(SUMPRODUCT(B51:B54,D51:D54),0)</f>
        <v>0</v>
      </c>
      <c r="E55" s="15" t="n">
        <f aca="false">IFERROR(SUMPRODUCT(B51:B54,E51:E54),0)</f>
        <v>0</v>
      </c>
      <c r="F55" s="8"/>
    </row>
    <row r="57" customFormat="false" ht="24" hidden="false" customHeight="true" outlineLevel="0" collapsed="false">
      <c r="A57" s="3" t="s">
        <v>61</v>
      </c>
      <c r="B57" s="3"/>
      <c r="C57" s="3"/>
      <c r="D57" s="3"/>
      <c r="E57" s="3"/>
      <c r="F57" s="3"/>
    </row>
    <row r="58" customFormat="false" ht="30" hidden="false" customHeight="true" outlineLevel="0" collapsed="false">
      <c r="A58" s="4" t="s">
        <v>62</v>
      </c>
      <c r="B58" s="4" t="s">
        <v>63</v>
      </c>
      <c r="C58" s="4"/>
      <c r="D58" s="4"/>
      <c r="E58" s="4"/>
      <c r="F58" s="4" t="s">
        <v>8</v>
      </c>
    </row>
    <row r="59" customFormat="false" ht="15" hidden="false" customHeight="false" outlineLevel="0" collapsed="false">
      <c r="A59" s="5" t="s">
        <v>64</v>
      </c>
      <c r="B59" s="5"/>
      <c r="C59" s="5"/>
      <c r="D59" s="5"/>
      <c r="E59" s="5"/>
      <c r="F59" s="5"/>
    </row>
    <row r="60" customFormat="false" ht="15" hidden="false" customHeight="false" outlineLevel="0" collapsed="false">
      <c r="A60" s="5" t="s">
        <v>65</v>
      </c>
      <c r="B60" s="5"/>
      <c r="C60" s="5"/>
      <c r="D60" s="5"/>
      <c r="E60" s="5"/>
      <c r="F60" s="5"/>
    </row>
    <row r="61" customFormat="false" ht="15" hidden="false" customHeight="false" outlineLevel="0" collapsed="false">
      <c r="A61" s="5" t="s">
        <v>66</v>
      </c>
      <c r="B61" s="7"/>
      <c r="C61" s="7"/>
      <c r="D61" s="7"/>
      <c r="E61" s="7"/>
      <c r="F61" s="7"/>
    </row>
    <row r="63" customFormat="false" ht="19.5" hidden="false" customHeight="true" outlineLevel="0" collapsed="false">
      <c r="A63" s="16" t="s">
        <v>67</v>
      </c>
      <c r="B63" s="16"/>
      <c r="C63" s="16"/>
      <c r="D63" s="16"/>
      <c r="E63" s="16"/>
      <c r="F63" s="16"/>
    </row>
    <row r="64" customFormat="false" ht="30" hidden="false" customHeight="true" outlineLevel="0" collapsed="false">
      <c r="A64" s="4" t="s">
        <v>68</v>
      </c>
      <c r="B64" s="4" t="s">
        <v>69</v>
      </c>
      <c r="C64" s="4" t="s">
        <v>66</v>
      </c>
      <c r="D64" s="4" t="s">
        <v>70</v>
      </c>
      <c r="E64" s="4" t="s">
        <v>71</v>
      </c>
      <c r="F64" s="4" t="s">
        <v>8</v>
      </c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</row>
    <row r="72" customFormat="false" ht="15" hidden="false" customHeight="false" outlineLevel="0" collapsed="false">
      <c r="A72" s="17" t="s">
        <v>72</v>
      </c>
      <c r="B72" s="17"/>
      <c r="C72" s="17"/>
      <c r="D72" s="17"/>
      <c r="E72" s="17"/>
      <c r="F72" s="17"/>
    </row>
  </sheetData>
  <mergeCells count="10">
    <mergeCell ref="A1:F1"/>
    <mergeCell ref="A2:F2"/>
    <mergeCell ref="A4:F4"/>
    <mergeCell ref="A17:F17"/>
    <mergeCell ref="A27:F27"/>
    <mergeCell ref="A38:F38"/>
    <mergeCell ref="A49:F49"/>
    <mergeCell ref="A57:F57"/>
    <mergeCell ref="A63:F63"/>
    <mergeCell ref="A72:F72"/>
  </mergeCells>
  <dataValidations count="7">
    <dataValidation allowBlank="true" error="Enter a whole number between 0 and 100" errorStyle="stop" errorTitle="Invalid score" operator="between" showDropDown="false" showErrorMessage="false" showInputMessage="false" sqref="C6:E14" type="whole">
      <formula1>0</formula1>
      <formula2>100</formula2>
    </dataValidation>
    <dataValidation allowBlank="true" error="Enter a whole number between 0 and 100" errorStyle="stop" errorTitle="Invalid score" operator="between" showDropDown="false" showErrorMessage="false" showInputMessage="false" sqref="C29:E35" type="whole">
      <formula1>0</formula1>
      <formula2>100</formula2>
    </dataValidation>
    <dataValidation allowBlank="true" errorStyle="stop" operator="between" showDropDown="false" showErrorMessage="false" showInputMessage="false" sqref="B40:B46" type="list">
      <formula1>"Yes,No,N/A"</formula1>
      <formula2>0</formula2>
    </dataValidation>
    <dataValidation allowBlank="true" errorStyle="stop" operator="between" showDropDown="false" showErrorMessage="false" showInputMessage="false" sqref="C40:E46" type="list">
      <formula1>"Yes,No,Met,Not Met"</formula1>
      <formula2>0</formula2>
    </dataValidation>
    <dataValidation allowBlank="true" errorStyle="stop" operator="between" showDropDown="false" showErrorMessage="false" showInputMessage="false" sqref="B59" type="list">
      <formula1>"AWS,Azure,GCP"</formula1>
      <formula2>0</formula2>
    </dataValidation>
    <dataValidation allowBlank="true" errorStyle="stop" operator="between" showDropDown="false" showErrorMessage="false" showInputMessage="false" sqref="B60" type="list">
      <formula1>"Multi-cloud,Hybrid,Single cloud"</formula1>
      <formula2>0</formula2>
    </dataValidation>
    <dataValidation allowBlank="true" errorStyle="stop" operator="between" showDropDown="false" showErrorMessage="false" showInputMessage="false" sqref="B65:B70" type="list">
      <formula1>"AWS,Azure,GCP"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2026-04-25T12:28:28Z</dcterms:created>
  <dc:creator>openpyxl</dc:creator>
  <dc:description/>
  <dc:language>en-US</dc:language>
  <cp:lastModifiedBy/>
  <dcterms:modified xsi:type="dcterms:W3CDTF">2026-04-25T12:28:28Z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