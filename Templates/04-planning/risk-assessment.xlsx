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Risk Assessment" sheetId="2" state="visible" r:id="rId2"/>
    <sheet xmlns:r="http://schemas.openxmlformats.org/officeDocument/2006/relationships" name="Risk Summary" sheetId="3" state="visible" r:id="rId3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0;\(0\);\-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8"/>
    </font>
    <font>
      <name val="Arial"/>
      <charset val="1"/>
      <family val="0"/>
      <i val="1"/>
      <color rgb="FF404040"/>
      <sz val="11"/>
    </font>
    <font>
      <name val="Arial"/>
      <charset val="1"/>
      <family val="0"/>
      <b val="1"/>
      <color rgb="FFFFFFFF"/>
      <sz val="13"/>
    </font>
    <font>
      <name val="Arial"/>
      <charset val="1"/>
      <family val="0"/>
      <b val="1"/>
      <color rgb="FF1F3864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000000"/>
      <sz val="10"/>
    </font>
    <font>
      <name val="Arial"/>
      <charset val="1"/>
      <family val="0"/>
      <b val="1"/>
      <color rgb="FFFFFFFF"/>
      <sz val="10"/>
    </font>
    <font>
      <name val="Arial"/>
      <charset val="1"/>
      <family val="0"/>
      <i val="1"/>
      <color rgb="FF595959"/>
      <sz val="9"/>
    </font>
    <font>
      <name val="Calibri"/>
      <b val="1"/>
      <color rgb="00E31C3D"/>
      <sz val="16"/>
    </font>
    <font>
      <name val="Calibri"/>
      <i val="1"/>
      <color rgb="00666666"/>
      <sz val="11"/>
    </font>
    <font>
      <name val="Calibri"/>
      <b val="1"/>
      <sz val="10"/>
    </font>
    <font>
      <name val="Calibri"/>
      <b val="1"/>
      <color rgb="00FFFFFF"/>
      <sz val="10"/>
    </font>
    <font>
      <name val="Calibri"/>
      <sz val="10"/>
    </font>
    <font>
      <name val="Calibri"/>
      <sz val="9"/>
    </font>
    <font>
      <name val="Calibri"/>
      <i val="1"/>
      <color rgb="00999999"/>
      <sz val="8"/>
    </font>
    <font>
      <name val="Calibri"/>
      <b val="1"/>
      <color rgb="00FFFFFF"/>
      <sz val="11"/>
    </font>
    <font>
      <name val="Calibri"/>
      <i val="1"/>
      <color rgb="00888888"/>
      <sz val="9"/>
    </font>
  </fonts>
  <fills count="13">
    <fill>
      <patternFill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9E2F3"/>
        <bgColor rgb="FFCCFFFF"/>
      </patternFill>
    </fill>
    <fill>
      <patternFill patternType="solid">
        <fgColor rgb="FF2E75B6"/>
        <bgColor rgb="FF0066CC"/>
      </patternFill>
    </fill>
    <fill>
      <patternFill patternType="solid">
        <fgColor rgb="FFFFC000"/>
        <bgColor rgb="FFFF9900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  <fill>
      <patternFill patternType="solid">
        <fgColor rgb="FF70AD47"/>
        <bgColor rgb="FF99CC00"/>
      </patternFill>
    </fill>
    <fill>
      <patternFill patternType="solid">
        <fgColor rgb="FFFFF2CC"/>
        <bgColor rgb="FFFFFFFF"/>
      </patternFill>
    </fill>
    <fill>
      <patternFill patternType="solid">
        <fgColor rgb="001A1F36"/>
      </patternFill>
    </fill>
    <fill>
      <patternFill patternType="solid">
        <fgColor rgb="00E31C3D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/>
      <right style="thin"/>
      <top style="thin"/>
      <bottom style="thin"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52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0" fillId="0" borderId="0" pivotButton="0" quotePrefix="0" xfId="0"/>
    <xf numFmtId="0" fontId="13" fillId="0" borderId="0" applyAlignment="1" pivotButton="0" quotePrefix="0" xfId="0">
      <alignment horizontal="left" vertical="top" wrapText="1"/>
    </xf>
    <xf numFmtId="0" fontId="14" fillId="0" borderId="0" pivotButton="0" quotePrefix="0" xfId="0"/>
    <xf numFmtId="0" fontId="16" fillId="10" borderId="0" applyAlignment="1" pivotButton="0" quotePrefix="0" xfId="0">
      <alignment horizontal="left" vertical="top" wrapText="1"/>
    </xf>
    <xf numFmtId="0" fontId="17" fillId="0" borderId="0" applyAlignment="1" pivotButton="0" quotePrefix="0" xfId="0">
      <alignment vertical="top" wrapText="1"/>
    </xf>
    <xf numFmtId="0" fontId="17" fillId="0" borderId="0" applyAlignment="1" pivotButton="0" quotePrefix="0" xfId="0">
      <alignment horizontal="left" vertical="top" wrapText="1"/>
    </xf>
    <xf numFmtId="0" fontId="19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indent="1"/>
    </xf>
    <xf numFmtId="0" fontId="5" fillId="3" borderId="0" applyAlignment="1" pivotButton="0" quotePrefix="0" xfId="0">
      <alignment horizontal="left" vertical="center" indent="1"/>
    </xf>
    <xf numFmtId="0" fontId="6" fillId="4" borderId="0" applyAlignment="1" pivotButton="0" quotePrefix="0" xfId="0">
      <alignment horizontal="left" vertical="center" indent="1"/>
    </xf>
    <xf numFmtId="0" fontId="7" fillId="3" borderId="0" applyAlignment="1" pivotButton="0" quotePrefix="0" xfId="0">
      <alignment horizontal="left" vertical="center" indent="1"/>
    </xf>
    <xf numFmtId="0" fontId="8" fillId="2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5" borderId="1" applyAlignment="1" pivotButton="0" quotePrefix="0" xfId="0">
      <alignment horizontal="center" vertical="center" wrapText="1"/>
    </xf>
    <xf numFmtId="0" fontId="11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center" vertical="center" wrapText="1"/>
    </xf>
    <xf numFmtId="0" fontId="11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left" vertical="center" wrapText="1"/>
    </xf>
    <xf numFmtId="164" fontId="10" fillId="0" borderId="1" applyAlignment="1" pivotButton="0" quotePrefix="0" xfId="0">
      <alignment horizontal="left" vertical="center" wrapText="1"/>
    </xf>
    <xf numFmtId="164" fontId="9" fillId="0" borderId="1" applyAlignment="1" pivotButton="0" quotePrefix="0" xfId="0">
      <alignment horizontal="left" vertical="center" wrapText="1"/>
    </xf>
    <xf numFmtId="0" fontId="10" fillId="3" borderId="1" applyAlignment="1" pivotButton="0" quotePrefix="0" xfId="0">
      <alignment horizontal="left" vertical="center" wrapText="1"/>
    </xf>
    <xf numFmtId="164" fontId="10" fillId="3" borderId="1" applyAlignment="1" pivotButton="0" quotePrefix="0" xfId="0">
      <alignment horizontal="left" vertical="center" wrapText="1"/>
    </xf>
    <xf numFmtId="0" fontId="10" fillId="0" borderId="1" applyAlignment="1" pivotButton="0" quotePrefix="0" xfId="0">
      <alignment horizontal="left" vertical="center" wrapText="1"/>
    </xf>
    <xf numFmtId="0" fontId="12" fillId="3" borderId="0" applyAlignment="1" pivotButton="0" quotePrefix="0" xfId="0">
      <alignment horizontal="center" vertical="center"/>
    </xf>
    <xf numFmtId="0" fontId="20" fillId="10" borderId="0" applyAlignment="1" pivotButton="0" quotePrefix="0" xfId="0">
      <alignment horizontal="left" vertical="top" wrapText="1"/>
    </xf>
    <xf numFmtId="0" fontId="16" fillId="11" borderId="2" applyAlignment="1" pivotButton="0" quotePrefix="0" xfId="0">
      <alignment horizontal="center" vertical="center" wrapText="1"/>
    </xf>
    <xf numFmtId="0" fontId="17" fillId="0" borderId="2" pivotButton="0" quotePrefix="0" xfId="0"/>
    <xf numFmtId="0" fontId="17" fillId="0" borderId="2" applyAlignment="1" pivotButton="0" quotePrefix="0" xfId="0">
      <alignment horizontal="center" vertical="center" wrapText="1"/>
    </xf>
    <xf numFmtId="0" fontId="17" fillId="12" borderId="2" pivotButton="0" quotePrefix="0" xfId="0"/>
    <xf numFmtId="0" fontId="17" fillId="12" borderId="2" applyAlignment="1" pivotButton="0" quotePrefix="0" xfId="0">
      <alignment horizontal="center" vertical="center" wrapText="1"/>
    </xf>
    <xf numFmtId="0" fontId="21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1F3864"/>
      <rgbColor rgb="FF70AD47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showGridLines="0" workbookViewId="0">
      <selection activeCell="A1" sqref="A1"/>
    </sheetView>
  </sheetViews>
  <sheetFormatPr baseColWidth="8" defaultRowHeight="15"/>
  <cols>
    <col width="25" customWidth="1" style="19" min="1" max="1"/>
    <col width="70" customWidth="1" style="19" min="2" max="2"/>
  </cols>
  <sheetData>
    <row r="1" ht="28" customHeight="1" s="19">
      <c r="A1" s="20" t="inlineStr">
        <is>
          <t>Instructions — risk-assessment.xlsx</t>
        </is>
      </c>
    </row>
    <row r="2">
      <c r="A2" s="21" t="inlineStr">
        <is>
          <t>Read this before opening any other tab</t>
        </is>
      </c>
    </row>
    <row r="4" ht="18" customHeight="1" s="19">
      <c r="A4" s="22" t="inlineStr">
        <is>
          <t>PURPOSE</t>
        </is>
      </c>
    </row>
    <row r="5" ht="172" customHeight="1" s="19">
      <c r="A5" s="23" t="inlineStr">
        <is>
          <t xml:space="preserve">  Document and score all identified risks for the CRA engagement. This register is maintained throughout the engagement and is a key deliverable in the Phase 3 Assessment Report and Part 2 Entry Point. All 11 risk categories must be reviewed for every engagement.</t>
        </is>
      </c>
    </row>
    <row r="7" ht="18" customHeight="1" s="19">
      <c r="A7" s="22" t="inlineStr">
        <is>
          <t>WHO FILLS THIS IN</t>
        </is>
      </c>
    </row>
    <row r="8" ht="108" customHeight="1" s="19">
      <c r="A8" s="23" t="inlineStr">
        <is>
          <t xml:space="preserve">  Lead Architect (maintains). Delivery Manager (reviews weekly). Customer IT Director (reviews at Phase 3 playback). Alliance Manager reviews Commercial category risks.</t>
        </is>
      </c>
    </row>
    <row r="10" ht="18" customHeight="1" s="19">
      <c r="A10" s="22" t="inlineStr">
        <is>
          <t>WHEN TO USE</t>
        </is>
      </c>
    </row>
    <row r="11" ht="136" customHeight="1" s="19">
      <c r="A11" s="23" t="inlineStr">
        <is>
          <t xml:space="preserve">  Phase 2 onwards. Pre-populate all 11 default risk categories at Phase 1 kickoff. Update likelihood and impact scores as more information becomes available. Review and refresh before each phase gate review.</t>
        </is>
      </c>
    </row>
    <row r="13" ht="18" customHeight="1" s="19">
      <c r="A13" s="22" t="inlineStr">
        <is>
          <t>WHAT 'GOOD DATA' LOOKS LIKE</t>
        </is>
      </c>
    </row>
    <row r="14" ht="15" customHeight="1" s="19">
      <c r="A14" s="24" t="inlineStr">
        <is>
          <t xml:space="preserve">  • All 11 risk categories have at least one row (even if Low likelihood)</t>
        </is>
      </c>
    </row>
    <row r="15" ht="15" customHeight="1" s="19">
      <c r="A15" s="24" t="inlineStr">
        <is>
          <t xml:space="preserve">  • Every risk has a named mitigation owner</t>
        </is>
      </c>
    </row>
    <row r="16" ht="15" customHeight="1" s="19">
      <c r="A16" s="24" t="inlineStr">
        <is>
          <t xml:space="preserve">  • Oracle licensing and scope variance risks are scored accurately</t>
        </is>
      </c>
    </row>
    <row r="17" ht="15" customHeight="1" s="19">
      <c r="A17" s="24" t="inlineStr">
        <is>
          <t xml:space="preserve">  • Risk scores (Likelihood x Impact) are current — not from initial assessment</t>
        </is>
      </c>
    </row>
    <row r="18" ht="15" customHeight="1" s="19">
      <c r="A18" s="24" t="inlineStr">
        <is>
          <t xml:space="preserve">  • All Critical and High risks have a documented mitigation plan</t>
        </is>
      </c>
    </row>
    <row r="20" ht="18" customHeight="1" s="19">
      <c r="A20" s="22" t="inlineStr">
        <is>
          <t>COMMON MISTAKES TO AVOID</t>
        </is>
      </c>
    </row>
    <row r="21" ht="15" customHeight="1" s="19">
      <c r="A21" s="24" t="inlineStr">
        <is>
          <t xml:space="preserve">  • Leaving risk register empty until Phase 3 — risks identified early can be mitigated early</t>
        </is>
      </c>
    </row>
    <row r="22" ht="15" customHeight="1" s="19">
      <c r="A22" s="24" t="inlineStr">
        <is>
          <t xml:space="preserve">  • Under-scoring scope variance risk — it is High Likelihood on most engagements</t>
        </is>
      </c>
    </row>
    <row r="23" ht="15" customHeight="1" s="19">
      <c r="A23" s="24" t="inlineStr">
        <is>
          <t xml:space="preserve">  • Not including Commercial category risks (missed partner registration = loss of AMM/MAP funding)</t>
        </is>
      </c>
    </row>
    <row r="24" ht="15" customHeight="1" s="19">
      <c r="A24" s="24" t="inlineStr">
        <is>
          <t xml:space="preserve">  • Marking risks as 'Closed' without verifying the mitigation was actually implemented</t>
        </is>
      </c>
    </row>
    <row r="26">
      <c r="A26" s="25" t="inlineStr">
        <is>
          <t>CRA Framework v2.0  |  Rackspace Cloud Solutions Architecture  |  risk-assessment.xlsx</t>
        </is>
      </c>
    </row>
  </sheetData>
  <mergeCells count="20">
    <mergeCell ref="A24:B24"/>
    <mergeCell ref="A15:B15"/>
    <mergeCell ref="A11:B11"/>
    <mergeCell ref="A1:B1"/>
    <mergeCell ref="A16:B16"/>
    <mergeCell ref="A7:B7"/>
    <mergeCell ref="A18:B18"/>
    <mergeCell ref="A26:B26"/>
    <mergeCell ref="A21:B21"/>
    <mergeCell ref="A2:B2"/>
    <mergeCell ref="A5:B5"/>
    <mergeCell ref="A14:B14"/>
    <mergeCell ref="A23:B23"/>
    <mergeCell ref="A17:B17"/>
    <mergeCell ref="A8:B8"/>
    <mergeCell ref="A22:B22"/>
    <mergeCell ref="A4:B4"/>
    <mergeCell ref="A20:B20"/>
    <mergeCell ref="A10:B10"/>
    <mergeCell ref="A13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I114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10" customWidth="1" style="26" min="1" max="1"/>
    <col width="32" customWidth="1" style="26" min="2" max="2"/>
    <col width="18" customWidth="1" style="26" min="3" max="3"/>
    <col width="14" customWidth="1" style="26" min="4" max="4"/>
    <col width="12" customWidth="1" style="26" min="5" max="5"/>
    <col width="10" customWidth="1" style="26" min="6" max="6"/>
    <col width="26" customWidth="1" style="26" min="7" max="7"/>
    <col width="16" customWidth="1" style="26" min="8" max="8"/>
    <col width="18" customWidth="1" style="26" min="9" max="9"/>
  </cols>
  <sheetData>
    <row r="1" ht="37.5" customHeight="1" s="19">
      <c r="A1" s="27" t="inlineStr">
        <is>
          <t>Risk &amp; Compliance Assessment</t>
        </is>
      </c>
    </row>
    <row r="2" ht="21.75" customHeight="1" s="19">
      <c r="A2" s="28" t="inlineStr">
        <is>
          <t>Version 1.0 | Phase: Evaluation | Tasks 6.1, 6.2, 6.3 | Requirements 6.1-6.9</t>
        </is>
      </c>
    </row>
    <row r="3"/>
    <row r="4" ht="24" customHeight="1" s="19">
      <c r="A4" s="29" t="inlineStr">
        <is>
          <t>Section 1 — Risk Assessment Matrix (5 × 5)</t>
        </is>
      </c>
    </row>
    <row r="5" ht="19.5" customHeight="1" s="19">
      <c r="A5" s="30" t="inlineStr">
        <is>
          <t>Likelihood Scale</t>
        </is>
      </c>
    </row>
    <row r="6" ht="30" customHeight="1" s="19">
      <c r="A6" s="31" t="inlineStr">
        <is>
          <t>Level</t>
        </is>
      </c>
      <c r="B6" s="31" t="inlineStr">
        <is>
          <t>Rating</t>
        </is>
      </c>
      <c r="C6" s="31" t="inlineStr">
        <is>
          <t>Description</t>
        </is>
      </c>
      <c r="D6" s="31" t="n"/>
      <c r="E6" s="31" t="n"/>
      <c r="F6" s="31" t="n"/>
      <c r="G6" s="31" t="n"/>
      <c r="H6" s="31" t="n"/>
      <c r="I6" s="31" t="n"/>
    </row>
    <row r="7" ht="23.85" customHeight="1" s="19">
      <c r="A7" s="32" t="n">
        <v>5</v>
      </c>
      <c r="B7" s="32" t="inlineStr">
        <is>
          <t>Almost Certain</t>
        </is>
      </c>
      <c r="C7" s="33" t="inlineStr">
        <is>
          <t>&gt;90% probability, expected to occur</t>
        </is>
      </c>
      <c r="D7" s="32" t="n"/>
      <c r="E7" s="32" t="n"/>
      <c r="F7" s="32" t="n"/>
      <c r="G7" s="32" t="n"/>
      <c r="H7" s="32" t="n"/>
      <c r="I7" s="32" t="n"/>
    </row>
    <row r="8" ht="23.85" customHeight="1" s="19">
      <c r="A8" s="32" t="n">
        <v>4</v>
      </c>
      <c r="B8" s="32" t="inlineStr">
        <is>
          <t>Likely</t>
        </is>
      </c>
      <c r="C8" s="33" t="inlineStr">
        <is>
          <t>60-90% probability, will probably occur</t>
        </is>
      </c>
      <c r="D8" s="32" t="n"/>
      <c r="E8" s="32" t="n"/>
      <c r="F8" s="32" t="n"/>
      <c r="G8" s="32" t="n"/>
      <c r="H8" s="32" t="n"/>
      <c r="I8" s="32" t="n"/>
    </row>
    <row r="9" ht="23.85" customHeight="1" s="19">
      <c r="A9" s="32" t="n">
        <v>3</v>
      </c>
      <c r="B9" s="32" t="inlineStr">
        <is>
          <t>Possible</t>
        </is>
      </c>
      <c r="C9" s="33" t="inlineStr">
        <is>
          <t>30-60% probability, might occur</t>
        </is>
      </c>
      <c r="D9" s="32" t="n"/>
      <c r="E9" s="32" t="n"/>
      <c r="F9" s="32" t="n"/>
      <c r="G9" s="32" t="n"/>
      <c r="H9" s="32" t="n"/>
      <c r="I9" s="32" t="n"/>
    </row>
    <row r="10" ht="23.85" customHeight="1" s="19">
      <c r="A10" s="32" t="n">
        <v>2</v>
      </c>
      <c r="B10" s="32" t="inlineStr">
        <is>
          <t>Unlikely</t>
        </is>
      </c>
      <c r="C10" s="33" t="inlineStr">
        <is>
          <t>10-30% probability, could occur</t>
        </is>
      </c>
      <c r="D10" s="32" t="n"/>
      <c r="E10" s="32" t="n"/>
      <c r="F10" s="32" t="n"/>
      <c r="G10" s="32" t="n"/>
      <c r="H10" s="32" t="n"/>
      <c r="I10" s="32" t="n"/>
    </row>
    <row r="11" ht="35.05" customHeight="1" s="19">
      <c r="A11" s="32" t="n">
        <v>1</v>
      </c>
      <c r="B11" s="32" t="inlineStr">
        <is>
          <t>Rare</t>
        </is>
      </c>
      <c r="C11" s="33" t="inlineStr">
        <is>
          <t>&lt;10% probability, exceptional circumstances</t>
        </is>
      </c>
      <c r="D11" s="32" t="n"/>
      <c r="E11" s="32" t="n"/>
      <c r="F11" s="32" t="n"/>
      <c r="G11" s="32" t="n"/>
      <c r="H11" s="32" t="n"/>
      <c r="I11" s="32" t="n"/>
    </row>
    <row r="12"/>
    <row r="13" ht="19.5" customHeight="1" s="19">
      <c r="A13" s="30" t="inlineStr">
        <is>
          <t>Impact Scale</t>
        </is>
      </c>
    </row>
    <row r="14" ht="30" customHeight="1" s="19">
      <c r="A14" s="31" t="inlineStr">
        <is>
          <t>Level</t>
        </is>
      </c>
      <c r="B14" s="31" t="inlineStr">
        <is>
          <t>Rating</t>
        </is>
      </c>
      <c r="C14" s="31" t="inlineStr">
        <is>
          <t>Description</t>
        </is>
      </c>
      <c r="D14" s="31" t="n"/>
      <c r="E14" s="31" t="n"/>
      <c r="F14" s="31" t="n"/>
      <c r="G14" s="31" t="n"/>
      <c r="H14" s="31" t="n"/>
      <c r="I14" s="31" t="n"/>
    </row>
    <row r="15" ht="35.05" customHeight="1" s="19">
      <c r="A15" s="32" t="n">
        <v>5</v>
      </c>
      <c r="B15" s="32" t="inlineStr">
        <is>
          <t>Critical</t>
        </is>
      </c>
      <c r="C15" s="33" t="inlineStr">
        <is>
          <t>Business-critical failure, regulatory breach, &gt;£1M loss</t>
        </is>
      </c>
      <c r="D15" s="32" t="n"/>
      <c r="E15" s="32" t="n"/>
      <c r="F15" s="32" t="n"/>
      <c r="G15" s="32" t="n"/>
      <c r="H15" s="32" t="n"/>
      <c r="I15" s="32" t="n"/>
    </row>
    <row r="16" ht="35.05" customHeight="1" s="19">
      <c r="A16" s="32" t="n">
        <v>4</v>
      </c>
      <c r="B16" s="32" t="inlineStr">
        <is>
          <t>Major</t>
        </is>
      </c>
      <c r="C16" s="33" t="inlineStr">
        <is>
          <t>Significant disruption, major financial impact, £500K-£1M</t>
        </is>
      </c>
      <c r="D16" s="32" t="n"/>
      <c r="E16" s="32" t="n"/>
      <c r="F16" s="32" t="n"/>
      <c r="G16" s="32" t="n"/>
      <c r="H16" s="32" t="n"/>
      <c r="I16" s="32" t="n"/>
    </row>
    <row r="17" ht="46.25" customHeight="1" s="19">
      <c r="A17" s="32" t="n">
        <v>3</v>
      </c>
      <c r="B17" s="32" t="inlineStr">
        <is>
          <t>Moderate</t>
        </is>
      </c>
      <c r="C17" s="33" t="inlineStr">
        <is>
          <t>Noticeable impact, manageable disruption, £100K-£500K</t>
        </is>
      </c>
      <c r="D17" s="32" t="n"/>
      <c r="E17" s="32" t="n"/>
      <c r="F17" s="32" t="n"/>
      <c r="G17" s="32" t="n"/>
      <c r="H17" s="32" t="n"/>
      <c r="I17" s="32" t="n"/>
    </row>
    <row r="18" ht="35.05" customHeight="1" s="19">
      <c r="A18" s="32" t="n">
        <v>2</v>
      </c>
      <c r="B18" s="32" t="inlineStr">
        <is>
          <t>Minor</t>
        </is>
      </c>
      <c r="C18" s="33" t="inlineStr">
        <is>
          <t>Limited impact, minor inconvenience, £10K-£100K</t>
        </is>
      </c>
      <c r="D18" s="32" t="n"/>
      <c r="E18" s="32" t="n"/>
      <c r="F18" s="32" t="n"/>
      <c r="G18" s="32" t="n"/>
      <c r="H18" s="32" t="n"/>
      <c r="I18" s="32" t="n"/>
    </row>
    <row r="19" ht="35.05" customHeight="1" s="19">
      <c r="A19" s="32" t="n">
        <v>1</v>
      </c>
      <c r="B19" s="32" t="inlineStr">
        <is>
          <t>Negligible</t>
        </is>
      </c>
      <c r="C19" s="33" t="inlineStr">
        <is>
          <t>Minimal impact, easily absorbed, &lt;£10K</t>
        </is>
      </c>
      <c r="D19" s="32" t="n"/>
      <c r="E19" s="32" t="n"/>
      <c r="F19" s="32" t="n"/>
      <c r="G19" s="32" t="n"/>
      <c r="H19" s="32" t="n"/>
      <c r="I19" s="32" t="n"/>
    </row>
    <row r="20"/>
    <row r="21" ht="19.5" customHeight="1" s="19">
      <c r="A21" s="30" t="inlineStr">
        <is>
          <t>Risk Heat-map (Score = Likelihood × Impact)</t>
        </is>
      </c>
    </row>
    <row r="22" ht="30" customHeight="1" s="19">
      <c r="A22" s="31" t="n"/>
      <c r="B22" s="31" t="inlineStr">
        <is>
          <t>Impact 1 (Negligible)</t>
        </is>
      </c>
      <c r="C22" s="31" t="inlineStr">
        <is>
          <t>Impact 2 (Minor)</t>
        </is>
      </c>
      <c r="D22" s="31" t="inlineStr">
        <is>
          <t>Impact 3 (Moderate)</t>
        </is>
      </c>
      <c r="E22" s="31" t="inlineStr">
        <is>
          <t>Impact 4 (Major)</t>
        </is>
      </c>
      <c r="F22" s="31" t="inlineStr">
        <is>
          <t>Impact 5 (Critical)</t>
        </is>
      </c>
      <c r="G22" s="31" t="n"/>
      <c r="H22" s="31" t="n"/>
      <c r="I22" s="31" t="n"/>
    </row>
    <row r="23" ht="35.05" customHeight="1" s="19">
      <c r="A23" s="32" t="inlineStr">
        <is>
          <t>Likelihood 5 (Almost Certain)</t>
        </is>
      </c>
      <c r="B23" s="34" t="n">
        <v>5</v>
      </c>
      <c r="C23" s="35" t="n">
        <v>10</v>
      </c>
      <c r="D23" s="36" t="n">
        <v>15</v>
      </c>
      <c r="E23" s="36" t="n">
        <v>20</v>
      </c>
      <c r="F23" s="36" t="n">
        <v>25</v>
      </c>
      <c r="G23" s="32" t="n"/>
      <c r="H23" s="32" t="n"/>
      <c r="I23" s="32" t="n"/>
    </row>
    <row r="24" ht="23.85" customHeight="1" s="19">
      <c r="A24" s="32" t="inlineStr">
        <is>
          <t>Likelihood 4 (Likely)</t>
        </is>
      </c>
      <c r="B24" s="37" t="n">
        <v>4</v>
      </c>
      <c r="C24" s="35" t="n">
        <v>8</v>
      </c>
      <c r="D24" s="35" t="n">
        <v>12</v>
      </c>
      <c r="E24" s="36" t="n">
        <v>16</v>
      </c>
      <c r="F24" s="36" t="n">
        <v>20</v>
      </c>
      <c r="G24" s="32" t="n"/>
      <c r="H24" s="32" t="n"/>
      <c r="I24" s="32" t="n"/>
    </row>
    <row r="25" ht="35.05" customHeight="1" s="19">
      <c r="A25" s="32" t="inlineStr">
        <is>
          <t>Likelihood 3 (Possible)</t>
        </is>
      </c>
      <c r="B25" s="37" t="n">
        <v>3</v>
      </c>
      <c r="C25" s="34" t="n">
        <v>6</v>
      </c>
      <c r="D25" s="35" t="n">
        <v>9</v>
      </c>
      <c r="E25" s="35" t="n">
        <v>12</v>
      </c>
      <c r="F25" s="36" t="n">
        <v>15</v>
      </c>
      <c r="G25" s="32" t="n"/>
      <c r="H25" s="32" t="n"/>
      <c r="I25" s="32" t="n"/>
    </row>
    <row r="26" ht="23.85" customHeight="1" s="19">
      <c r="A26" s="32" t="inlineStr">
        <is>
          <t>Likelihood 2 (Unlikely)</t>
        </is>
      </c>
      <c r="B26" s="37" t="n">
        <v>2</v>
      </c>
      <c r="C26" s="37" t="n">
        <v>4</v>
      </c>
      <c r="D26" s="34" t="n">
        <v>6</v>
      </c>
      <c r="E26" s="35" t="n">
        <v>8</v>
      </c>
      <c r="F26" s="35" t="n">
        <v>10</v>
      </c>
      <c r="G26" s="32" t="n"/>
      <c r="H26" s="32" t="n"/>
      <c r="I26" s="32" t="n"/>
    </row>
    <row r="27" ht="23.85" customHeight="1" s="19">
      <c r="A27" s="32" t="inlineStr">
        <is>
          <t>Likelihood 1 (Rare)</t>
        </is>
      </c>
      <c r="B27" s="37" t="n">
        <v>1</v>
      </c>
      <c r="C27" s="37" t="n">
        <v>2</v>
      </c>
      <c r="D27" s="37" t="n">
        <v>3</v>
      </c>
      <c r="E27" s="37" t="n">
        <v>4</v>
      </c>
      <c r="F27" s="34" t="n">
        <v>5</v>
      </c>
      <c r="G27" s="32" t="n"/>
      <c r="H27" s="32" t="n"/>
      <c r="I27" s="32" t="n"/>
    </row>
    <row r="28"/>
    <row r="29" ht="24" customHeight="1" s="19">
      <c r="A29" s="29" t="inlineStr">
        <is>
          <t>Section 2 — Security Risk Register</t>
        </is>
      </c>
    </row>
    <row r="30" ht="30" customHeight="1" s="19">
      <c r="A30" s="31" t="inlineStr">
        <is>
          <t>ID</t>
        </is>
      </c>
      <c r="B30" s="31" t="inlineStr">
        <is>
          <t>Risk Description</t>
        </is>
      </c>
      <c r="C30" s="31" t="inlineStr">
        <is>
          <t>Category</t>
        </is>
      </c>
      <c r="D30" s="31" t="inlineStr">
        <is>
          <t>Likelihood (1-5)</t>
        </is>
      </c>
      <c r="E30" s="31" t="inlineStr">
        <is>
          <t>Impact (1-5)</t>
        </is>
      </c>
      <c r="F30" s="31" t="inlineStr">
        <is>
          <t>Score</t>
        </is>
      </c>
      <c r="G30" s="31" t="inlineStr">
        <is>
          <t>Mitigation Strategy</t>
        </is>
      </c>
      <c r="H30" s="31" t="inlineStr">
        <is>
          <t>Residual Risk</t>
        </is>
      </c>
      <c r="I30" s="31" t="inlineStr">
        <is>
          <t>Owner</t>
        </is>
      </c>
    </row>
    <row r="31" ht="15" customHeight="1" s="19">
      <c r="A31" s="32" t="inlineStr">
        <is>
          <t>SR-001</t>
        </is>
      </c>
      <c r="B31" s="32" t="inlineStr">
        <is>
          <t>Data exposure during migration</t>
        </is>
      </c>
      <c r="C31" s="32" t="inlineStr">
        <is>
          <t>Data Security</t>
        </is>
      </c>
      <c r="D31" s="38" t="n"/>
      <c r="E31" s="38" t="n"/>
      <c r="F31" s="39">
        <f>IFERROR(D31*E31,0)</f>
        <v/>
      </c>
      <c r="G31" s="38" t="n"/>
      <c r="H31" s="38" t="n"/>
      <c r="I31" s="38" t="n"/>
    </row>
    <row r="32" ht="23.85" customHeight="1" s="19">
      <c r="A32" s="32" t="inlineStr">
        <is>
          <t>SR-002</t>
        </is>
      </c>
      <c r="B32" s="33" t="inlineStr">
        <is>
          <t>Unauthorized access to cloud resources</t>
        </is>
      </c>
      <c r="C32" s="32" t="inlineStr">
        <is>
          <t>Access Control</t>
        </is>
      </c>
      <c r="D32" s="38" t="n"/>
      <c r="E32" s="38" t="n"/>
      <c r="F32" s="39">
        <f>IFERROR(D32*E32,0)</f>
        <v/>
      </c>
      <c r="G32" s="38" t="n"/>
      <c r="H32" s="38" t="n"/>
      <c r="I32" s="38" t="n"/>
    </row>
    <row r="33" ht="15" customHeight="1" s="19">
      <c r="A33" s="32" t="inlineStr">
        <is>
          <t>SR-003</t>
        </is>
      </c>
      <c r="B33" s="33" t="inlineStr">
        <is>
          <t>Encryption gaps in transit/at rest</t>
        </is>
      </c>
      <c r="C33" s="32" t="inlineStr">
        <is>
          <t>Encryption</t>
        </is>
      </c>
      <c r="D33" s="38" t="n"/>
      <c r="E33" s="38" t="n"/>
      <c r="F33" s="39">
        <f>IFERROR(D33*E33,0)</f>
        <v/>
      </c>
      <c r="G33" s="38" t="n"/>
      <c r="H33" s="38" t="n"/>
      <c r="I33" s="38" t="n"/>
    </row>
    <row r="34" ht="15" customHeight="1" s="19">
      <c r="A34" s="32" t="inlineStr">
        <is>
          <t>SR-004</t>
        </is>
      </c>
      <c r="B34" s="33" t="inlineStr">
        <is>
          <t>Identity management misconfiguration</t>
        </is>
      </c>
      <c r="C34" s="32" t="inlineStr">
        <is>
          <t>IAM</t>
        </is>
      </c>
      <c r="D34" s="38" t="n"/>
      <c r="E34" s="38" t="n"/>
      <c r="F34" s="39">
        <f>IFERROR(D34*E34,0)</f>
        <v/>
      </c>
      <c r="G34" s="38" t="n"/>
      <c r="H34" s="38" t="n"/>
      <c r="I34" s="38" t="n"/>
    </row>
    <row r="35" ht="15" customHeight="1" s="19">
      <c r="A35" s="32" t="inlineStr">
        <is>
          <t>SR-005</t>
        </is>
      </c>
      <c r="B35" s="33" t="inlineStr">
        <is>
          <t>Vulnerability in cloud configuration</t>
        </is>
      </c>
      <c r="C35" s="32" t="inlineStr">
        <is>
          <t>Configuration</t>
        </is>
      </c>
      <c r="D35" s="38" t="n"/>
      <c r="E35" s="38" t="n"/>
      <c r="F35" s="39">
        <f>IFERROR(D35*E35,0)</f>
        <v/>
      </c>
      <c r="G35" s="38" t="n"/>
      <c r="H35" s="38" t="n"/>
      <c r="I35" s="38" t="n"/>
    </row>
    <row r="36" ht="15" customHeight="1" s="19">
      <c r="A36" s="32" t="inlineStr">
        <is>
          <t>SR-006</t>
        </is>
      </c>
      <c r="B36" s="33" t="inlineStr">
        <is>
          <t>Insider threat during migration</t>
        </is>
      </c>
      <c r="C36" s="32" t="inlineStr">
        <is>
          <t>Personnel</t>
        </is>
      </c>
      <c r="D36" s="38" t="n"/>
      <c r="E36" s="38" t="n"/>
      <c r="F36" s="39">
        <f>IFERROR(D36*E36,0)</f>
        <v/>
      </c>
      <c r="G36" s="38" t="n"/>
      <c r="H36" s="38" t="n"/>
      <c r="I36" s="38" t="n"/>
    </row>
    <row r="37" ht="15" customHeight="1" s="19">
      <c r="A37" s="32" t="inlineStr">
        <is>
          <t>SR-007</t>
        </is>
      </c>
      <c r="B37" s="32" t="inlineStr">
        <is>
          <t>DDoS attack on cloud endpoints</t>
        </is>
      </c>
      <c r="C37" s="32" t="inlineStr">
        <is>
          <t>Network</t>
        </is>
      </c>
      <c r="D37" s="38" t="n"/>
      <c r="E37" s="38" t="n"/>
      <c r="F37" s="39">
        <f>IFERROR(D37*E37,0)</f>
        <v/>
      </c>
      <c r="G37" s="38" t="n"/>
      <c r="H37" s="38" t="n"/>
      <c r="I37" s="38" t="n"/>
    </row>
    <row r="38" ht="15" customHeight="1" s="19">
      <c r="A38" s="32" t="inlineStr">
        <is>
          <t>SR-008</t>
        </is>
      </c>
      <c r="B38" s="32" t="inlineStr">
        <is>
          <t>Key management failure</t>
        </is>
      </c>
      <c r="C38" s="32" t="inlineStr">
        <is>
          <t>Cryptography</t>
        </is>
      </c>
      <c r="D38" s="38" t="n"/>
      <c r="E38" s="38" t="n"/>
      <c r="F38" s="39">
        <f>IFERROR(D38*E38,0)</f>
        <v/>
      </c>
      <c r="G38" s="38" t="n"/>
      <c r="H38" s="38" t="n"/>
      <c r="I38" s="38" t="n"/>
    </row>
    <row r="39" ht="15" customHeight="1" s="19">
      <c r="A39" s="32" t="inlineStr">
        <is>
          <t>SR-009</t>
        </is>
      </c>
      <c r="B39" s="38" t="n"/>
      <c r="C39" s="38" t="n"/>
      <c r="D39" s="38" t="n"/>
      <c r="E39" s="38" t="n"/>
      <c r="F39" s="39">
        <f>IFERROR(D39*E39,0)</f>
        <v/>
      </c>
      <c r="G39" s="38" t="n"/>
      <c r="H39" s="38" t="n"/>
      <c r="I39" s="38" t="n"/>
    </row>
    <row r="40" ht="15" customHeight="1" s="19">
      <c r="A40" s="32" t="inlineStr">
        <is>
          <t>SR-010</t>
        </is>
      </c>
      <c r="B40" s="38" t="n"/>
      <c r="C40" s="38" t="n"/>
      <c r="D40" s="38" t="n"/>
      <c r="E40" s="38" t="n"/>
      <c r="F40" s="39">
        <f>IFERROR(D40*E40,0)</f>
        <v/>
      </c>
      <c r="G40" s="38" t="n"/>
      <c r="H40" s="38" t="n"/>
      <c r="I40" s="38" t="n"/>
    </row>
    <row r="41" ht="15" customHeight="1" s="19">
      <c r="A41" s="32" t="inlineStr">
        <is>
          <t>SR-011</t>
        </is>
      </c>
      <c r="B41" s="38" t="n"/>
      <c r="C41" s="38" t="n"/>
      <c r="D41" s="38" t="n"/>
      <c r="E41" s="38" t="n"/>
      <c r="F41" s="39">
        <f>IFERROR(D41*E41,0)</f>
        <v/>
      </c>
      <c r="G41" s="38" t="n"/>
      <c r="H41" s="38" t="n"/>
      <c r="I41" s="38" t="n"/>
    </row>
    <row r="42"/>
    <row r="43" ht="24" customHeight="1" s="19">
      <c r="A43" s="29" t="inlineStr">
        <is>
          <t>Section 3 — Operational Risk Register</t>
        </is>
      </c>
    </row>
    <row r="44" ht="30" customHeight="1" s="19">
      <c r="A44" s="31" t="inlineStr">
        <is>
          <t>ID</t>
        </is>
      </c>
      <c r="B44" s="31" t="inlineStr">
        <is>
          <t>Risk Description</t>
        </is>
      </c>
      <c r="C44" s="31" t="inlineStr">
        <is>
          <t>Category</t>
        </is>
      </c>
      <c r="D44" s="31" t="inlineStr">
        <is>
          <t>Likelihood (1-5)</t>
        </is>
      </c>
      <c r="E44" s="31" t="inlineStr">
        <is>
          <t>Impact (1-5)</t>
        </is>
      </c>
      <c r="F44" s="31" t="inlineStr">
        <is>
          <t>Score</t>
        </is>
      </c>
      <c r="G44" s="31" t="inlineStr">
        <is>
          <t>Mitigation Strategy</t>
        </is>
      </c>
      <c r="H44" s="31" t="inlineStr">
        <is>
          <t>Residual Risk</t>
        </is>
      </c>
      <c r="I44" s="31" t="inlineStr">
        <is>
          <t>Owner</t>
        </is>
      </c>
    </row>
    <row r="45" ht="15" customHeight="1" s="19">
      <c r="A45" s="32" t="inlineStr">
        <is>
          <t>OR-001</t>
        </is>
      </c>
      <c r="B45" s="33" t="inlineStr">
        <is>
          <t>Service availability degradation</t>
        </is>
      </c>
      <c r="C45" s="32" t="inlineStr">
        <is>
          <t>Availability</t>
        </is>
      </c>
      <c r="D45" s="38" t="n"/>
      <c r="E45" s="38" t="n"/>
      <c r="F45" s="39">
        <f>IFERROR(D45*E45,0)</f>
        <v/>
      </c>
      <c r="G45" s="38" t="n"/>
      <c r="H45" s="38" t="n"/>
      <c r="I45" s="38" t="n"/>
    </row>
    <row r="46" ht="23.85" customHeight="1" s="19">
      <c r="A46" s="32" t="inlineStr">
        <is>
          <t>OR-002</t>
        </is>
      </c>
      <c r="B46" s="33" t="inlineStr">
        <is>
          <t>Performance degradation post-migration</t>
        </is>
      </c>
      <c r="C46" s="32" t="inlineStr">
        <is>
          <t>Performance</t>
        </is>
      </c>
      <c r="D46" s="38" t="n"/>
      <c r="E46" s="38" t="n"/>
      <c r="F46" s="39">
        <f>IFERROR(D46*E46,0)</f>
        <v/>
      </c>
      <c r="G46" s="38" t="n"/>
      <c r="H46" s="38" t="n"/>
      <c r="I46" s="38" t="n"/>
    </row>
    <row r="47" ht="15" customHeight="1" s="19">
      <c r="A47" s="32" t="inlineStr">
        <is>
          <t>OR-003</t>
        </is>
      </c>
      <c r="B47" s="33" t="inlineStr">
        <is>
          <t>Increased operational complexity</t>
        </is>
      </c>
      <c r="C47" s="32" t="inlineStr">
        <is>
          <t>Operations</t>
        </is>
      </c>
      <c r="D47" s="38" t="n"/>
      <c r="E47" s="38" t="n"/>
      <c r="F47" s="39">
        <f>IFERROR(D47*E47,0)</f>
        <v/>
      </c>
      <c r="G47" s="38" t="n"/>
      <c r="H47" s="38" t="n"/>
      <c r="I47" s="38" t="n"/>
    </row>
    <row r="48" ht="15" customHeight="1" s="19">
      <c r="A48" s="32" t="inlineStr">
        <is>
          <t>OR-004</t>
        </is>
      </c>
      <c r="B48" s="32" t="inlineStr">
        <is>
          <t>Skills gap in cloud operations</t>
        </is>
      </c>
      <c r="C48" s="32" t="inlineStr">
        <is>
          <t>Personnel</t>
        </is>
      </c>
      <c r="D48" s="38" t="n"/>
      <c r="E48" s="38" t="n"/>
      <c r="F48" s="39">
        <f>IFERROR(D48*E48,0)</f>
        <v/>
      </c>
      <c r="G48" s="38" t="n"/>
      <c r="H48" s="38" t="n"/>
      <c r="I48" s="38" t="n"/>
    </row>
    <row r="49" ht="15" customHeight="1" s="19">
      <c r="A49" s="32" t="inlineStr">
        <is>
          <t>OR-005</t>
        </is>
      </c>
      <c r="B49" s="32" t="inlineStr">
        <is>
          <t>Vendor lock-in risk</t>
        </is>
      </c>
      <c r="C49" s="32" t="inlineStr">
        <is>
          <t>Strategic</t>
        </is>
      </c>
      <c r="D49" s="38" t="n"/>
      <c r="E49" s="38" t="n"/>
      <c r="F49" s="39">
        <f>IFERROR(D49*E49,0)</f>
        <v/>
      </c>
      <c r="G49" s="38" t="n"/>
      <c r="H49" s="38" t="n"/>
      <c r="I49" s="38" t="n"/>
    </row>
    <row r="50" ht="15" customHeight="1" s="19">
      <c r="A50" s="32" t="inlineStr">
        <is>
          <t>OR-006</t>
        </is>
      </c>
      <c r="B50" s="32" t="inlineStr">
        <is>
          <t>Cost overrun during migration</t>
        </is>
      </c>
      <c r="C50" s="32" t="inlineStr">
        <is>
          <t>Financial</t>
        </is>
      </c>
      <c r="D50" s="38" t="n"/>
      <c r="E50" s="38" t="n"/>
      <c r="F50" s="39">
        <f>IFERROR(D50*E50,0)</f>
        <v/>
      </c>
      <c r="G50" s="38" t="n"/>
      <c r="H50" s="38" t="n"/>
      <c r="I50" s="38" t="n"/>
    </row>
    <row r="51" ht="15" customHeight="1" s="19">
      <c r="A51" s="32" t="inlineStr">
        <is>
          <t>OR-007</t>
        </is>
      </c>
      <c r="B51" s="33" t="inlineStr">
        <is>
          <t>Extended downtime during cutover</t>
        </is>
      </c>
      <c r="C51" s="32" t="inlineStr">
        <is>
          <t>Migration</t>
        </is>
      </c>
      <c r="D51" s="38" t="n"/>
      <c r="E51" s="38" t="n"/>
      <c r="F51" s="39">
        <f>IFERROR(D51*E51,0)</f>
        <v/>
      </c>
      <c r="G51" s="38" t="n"/>
      <c r="H51" s="38" t="n"/>
      <c r="I51" s="38" t="n"/>
    </row>
    <row r="52" ht="15" customHeight="1" s="19">
      <c r="A52" s="32" t="inlineStr">
        <is>
          <t>OR-008</t>
        </is>
      </c>
      <c r="B52" s="32" t="inlineStr">
        <is>
          <t>Rollback failure</t>
        </is>
      </c>
      <c r="C52" s="32" t="inlineStr">
        <is>
          <t>Migration</t>
        </is>
      </c>
      <c r="D52" s="38" t="n"/>
      <c r="E52" s="38" t="n"/>
      <c r="F52" s="39">
        <f>IFERROR(D52*E52,0)</f>
        <v/>
      </c>
      <c r="G52" s="38" t="n"/>
      <c r="H52" s="38" t="n"/>
      <c r="I52" s="38" t="n"/>
    </row>
    <row r="53" ht="15" customHeight="1" s="19">
      <c r="A53" s="32" t="inlineStr">
        <is>
          <t>OR-009</t>
        </is>
      </c>
      <c r="B53" s="38" t="n"/>
      <c r="C53" s="38" t="n"/>
      <c r="D53" s="38" t="n"/>
      <c r="E53" s="38" t="n"/>
      <c r="F53" s="39">
        <f>IFERROR(D53*E53,0)</f>
        <v/>
      </c>
      <c r="G53" s="38" t="n"/>
      <c r="H53" s="38" t="n"/>
      <c r="I53" s="38" t="n"/>
    </row>
    <row r="54" ht="15" customHeight="1" s="19">
      <c r="A54" s="32" t="inlineStr">
        <is>
          <t>OR-010</t>
        </is>
      </c>
      <c r="B54" s="38" t="n"/>
      <c r="C54" s="38" t="n"/>
      <c r="D54" s="38" t="n"/>
      <c r="E54" s="38" t="n"/>
      <c r="F54" s="39">
        <f>IFERROR(D54*E54,0)</f>
        <v/>
      </c>
      <c r="G54" s="38" t="n"/>
      <c r="H54" s="38" t="n"/>
      <c r="I54" s="38" t="n"/>
    </row>
    <row r="55" ht="15" customHeight="1" s="19">
      <c r="A55" s="32" t="inlineStr">
        <is>
          <t>OR-011</t>
        </is>
      </c>
      <c r="B55" s="38" t="n"/>
      <c r="C55" s="38" t="n"/>
      <c r="D55" s="38" t="n"/>
      <c r="E55" s="38" t="n"/>
      <c r="F55" s="39">
        <f>IFERROR(D55*E55,0)</f>
        <v/>
      </c>
      <c r="G55" s="38" t="n"/>
      <c r="H55" s="38" t="n"/>
      <c r="I55" s="38" t="n"/>
    </row>
    <row r="56"/>
    <row r="57" ht="24" customHeight="1" s="19">
      <c r="A57" s="29" t="inlineStr">
        <is>
          <t>Section 4 — Compliance Risk Register</t>
        </is>
      </c>
    </row>
    <row r="58" ht="30" customHeight="1" s="19">
      <c r="A58" s="31" t="inlineStr">
        <is>
          <t>ID</t>
        </is>
      </c>
      <c r="B58" s="31" t="inlineStr">
        <is>
          <t>Risk Description</t>
        </is>
      </c>
      <c r="C58" s="31" t="inlineStr">
        <is>
          <t>Framework</t>
        </is>
      </c>
      <c r="D58" s="31" t="inlineStr">
        <is>
          <t>Likelihood (1-5)</t>
        </is>
      </c>
      <c r="E58" s="31" t="inlineStr">
        <is>
          <t>Impact (1-5)</t>
        </is>
      </c>
      <c r="F58" s="31" t="inlineStr">
        <is>
          <t>Score</t>
        </is>
      </c>
      <c r="G58" s="31" t="inlineStr">
        <is>
          <t>Mitigation Strategy</t>
        </is>
      </c>
      <c r="H58" s="31" t="inlineStr">
        <is>
          <t>Residual Risk</t>
        </is>
      </c>
      <c r="I58" s="31" t="inlineStr">
        <is>
          <t>Owner</t>
        </is>
      </c>
    </row>
    <row r="59" ht="15" customHeight="1" s="19">
      <c r="A59" s="32" t="inlineStr">
        <is>
          <t>CR-001</t>
        </is>
      </c>
      <c r="B59" s="32" t="inlineStr">
        <is>
          <t>GDPR data residency violation</t>
        </is>
      </c>
      <c r="C59" s="32" t="inlineStr">
        <is>
          <t>GDPR</t>
        </is>
      </c>
      <c r="D59" s="38" t="n"/>
      <c r="E59" s="38" t="n"/>
      <c r="F59" s="39">
        <f>IFERROR(D59*E59,0)</f>
        <v/>
      </c>
      <c r="G59" s="38" t="n"/>
      <c r="H59" s="38" t="n"/>
      <c r="I59" s="38" t="n"/>
    </row>
    <row r="60" ht="15" customHeight="1" s="19">
      <c r="A60" s="32" t="inlineStr">
        <is>
          <t>CR-002</t>
        </is>
      </c>
      <c r="B60" s="32" t="inlineStr">
        <is>
          <t>PCI-DSS scope expansion</t>
        </is>
      </c>
      <c r="C60" s="32" t="inlineStr">
        <is>
          <t>PCI-DSS</t>
        </is>
      </c>
      <c r="D60" s="38" t="n"/>
      <c r="E60" s="38" t="n"/>
      <c r="F60" s="39">
        <f>IFERROR(D60*E60,0)</f>
        <v/>
      </c>
      <c r="G60" s="38" t="n"/>
      <c r="H60" s="38" t="n"/>
      <c r="I60" s="38" t="n"/>
    </row>
    <row r="61" ht="15" customHeight="1" s="19">
      <c r="A61" s="32" t="inlineStr">
        <is>
          <t>CR-003</t>
        </is>
      </c>
      <c r="B61" s="32" t="inlineStr">
        <is>
          <t>Audit trail gaps in cloud</t>
        </is>
      </c>
      <c r="C61" s="32" t="inlineStr">
        <is>
          <t>SOC2</t>
        </is>
      </c>
      <c r="D61" s="38" t="n"/>
      <c r="E61" s="38" t="n"/>
      <c r="F61" s="39">
        <f>IFERROR(D61*E61,0)</f>
        <v/>
      </c>
      <c r="G61" s="38" t="n"/>
      <c r="H61" s="38" t="n"/>
      <c r="I61" s="38" t="n"/>
    </row>
    <row r="62" ht="15" customHeight="1" s="19">
      <c r="A62" s="32" t="inlineStr">
        <is>
          <t>CR-004</t>
        </is>
      </c>
      <c r="B62" s="32" t="inlineStr">
        <is>
          <t>Data sovereignty breach</t>
        </is>
      </c>
      <c r="C62" s="32" t="inlineStr">
        <is>
          <t>Local Regs</t>
        </is>
      </c>
      <c r="D62" s="38" t="n"/>
      <c r="E62" s="38" t="n"/>
      <c r="F62" s="39">
        <f>IFERROR(D62*E62,0)</f>
        <v/>
      </c>
      <c r="G62" s="38" t="n"/>
      <c r="H62" s="38" t="n"/>
      <c r="I62" s="38" t="n"/>
    </row>
    <row r="63" ht="15" customHeight="1" s="19">
      <c r="A63" s="32" t="inlineStr">
        <is>
          <t>CR-005</t>
        </is>
      </c>
      <c r="B63" s="32" t="inlineStr">
        <is>
          <t>Compliance certification gap</t>
        </is>
      </c>
      <c r="C63" s="32" t="inlineStr">
        <is>
          <t>ISO 27001</t>
        </is>
      </c>
      <c r="D63" s="38" t="n"/>
      <c r="E63" s="38" t="n"/>
      <c r="F63" s="39">
        <f>IFERROR(D63*E63,0)</f>
        <v/>
      </c>
      <c r="G63" s="38" t="n"/>
      <c r="H63" s="38" t="n"/>
      <c r="I63" s="38" t="n"/>
    </row>
    <row r="64" ht="15" customHeight="1" s="19">
      <c r="A64" s="32" t="inlineStr">
        <is>
          <t>CR-006</t>
        </is>
      </c>
      <c r="B64" s="33" t="inlineStr">
        <is>
          <t>Third-party data processing risk</t>
        </is>
      </c>
      <c r="C64" s="32" t="inlineStr">
        <is>
          <t>GDPR</t>
        </is>
      </c>
      <c r="D64" s="38" t="n"/>
      <c r="E64" s="38" t="n"/>
      <c r="F64" s="39">
        <f>IFERROR(D64*E64,0)</f>
        <v/>
      </c>
      <c r="G64" s="38" t="n"/>
      <c r="H64" s="38" t="n"/>
      <c r="I64" s="38" t="n"/>
    </row>
    <row r="65" ht="15" customHeight="1" s="19">
      <c r="A65" s="32" t="inlineStr">
        <is>
          <t>CR-007</t>
        </is>
      </c>
      <c r="B65" s="38" t="n"/>
      <c r="C65" s="38" t="n"/>
      <c r="D65" s="38" t="n"/>
      <c r="E65" s="38" t="n"/>
      <c r="F65" s="39">
        <f>IFERROR(D65*E65,0)</f>
        <v/>
      </c>
      <c r="G65" s="38" t="n"/>
      <c r="H65" s="38" t="n"/>
      <c r="I65" s="38" t="n"/>
    </row>
    <row r="66" ht="15" customHeight="1" s="19">
      <c r="A66" s="32" t="inlineStr">
        <is>
          <t>CR-008</t>
        </is>
      </c>
      <c r="B66" s="38" t="n"/>
      <c r="C66" s="38" t="n"/>
      <c r="D66" s="38" t="n"/>
      <c r="E66" s="38" t="n"/>
      <c r="F66" s="39">
        <f>IFERROR(D66*E66,0)</f>
        <v/>
      </c>
      <c r="G66" s="38" t="n"/>
      <c r="H66" s="38" t="n"/>
      <c r="I66" s="38" t="n"/>
    </row>
    <row r="67" ht="15" customHeight="1" s="19">
      <c r="A67" s="32" t="inlineStr">
        <is>
          <t>CR-009</t>
        </is>
      </c>
      <c r="B67" s="38" t="n"/>
      <c r="C67" s="38" t="n"/>
      <c r="D67" s="38" t="n"/>
      <c r="E67" s="38" t="n"/>
      <c r="F67" s="39">
        <f>IFERROR(D67*E67,0)</f>
        <v/>
      </c>
      <c r="G67" s="38" t="n"/>
      <c r="H67" s="38" t="n"/>
      <c r="I67" s="38" t="n"/>
    </row>
    <row r="68"/>
    <row r="69" ht="24" customHeight="1" s="19">
      <c r="A69" s="29" t="inlineStr">
        <is>
          <t>Section 5 — Compliance Requirements Matrix</t>
        </is>
      </c>
    </row>
    <row r="70" ht="30" customHeight="1" s="19">
      <c r="A70" s="31" t="inlineStr">
        <is>
          <t>Requirement</t>
        </is>
      </c>
      <c r="B70" s="31" t="inlineStr">
        <is>
          <t>Applicable</t>
        </is>
      </c>
      <c r="C70" s="31" t="inlineStr">
        <is>
          <t>Current Status</t>
        </is>
      </c>
      <c r="D70" s="31" t="inlineStr">
        <is>
          <t>Cloud Gap</t>
        </is>
      </c>
      <c r="E70" s="31" t="inlineStr">
        <is>
          <t>AWS Coverage</t>
        </is>
      </c>
      <c r="F70" s="31" t="inlineStr">
        <is>
          <t>Azure Coverage</t>
        </is>
      </c>
      <c r="G70" s="31" t="inlineStr">
        <is>
          <t>GCP Coverage</t>
        </is>
      </c>
      <c r="H70" s="31" t="inlineStr">
        <is>
          <t>Remediation</t>
        </is>
      </c>
      <c r="I70" s="31" t="inlineStr">
        <is>
          <t>Owner</t>
        </is>
      </c>
    </row>
    <row r="71" ht="15" customHeight="1" s="19">
      <c r="A71" s="32" t="inlineStr">
        <is>
          <t>GDPR</t>
        </is>
      </c>
      <c r="B71" s="38" t="n"/>
      <c r="C71" s="38" t="n"/>
      <c r="D71" s="38" t="n"/>
      <c r="E71" s="38" t="n"/>
      <c r="F71" s="38" t="n"/>
      <c r="G71" s="38" t="n"/>
      <c r="H71" s="38" t="n"/>
      <c r="I71" s="38" t="n"/>
    </row>
    <row r="72" ht="15" customHeight="1" s="19">
      <c r="A72" s="32" t="inlineStr">
        <is>
          <t>PCI-DSS</t>
        </is>
      </c>
      <c r="B72" s="38" t="n"/>
      <c r="C72" s="38" t="n"/>
      <c r="D72" s="38" t="n"/>
      <c r="E72" s="38" t="n"/>
      <c r="F72" s="38" t="n"/>
      <c r="G72" s="38" t="n"/>
      <c r="H72" s="38" t="n"/>
      <c r="I72" s="38" t="n"/>
    </row>
    <row r="73" ht="15" customHeight="1" s="19">
      <c r="A73" s="32" t="inlineStr">
        <is>
          <t>HIPAA</t>
        </is>
      </c>
      <c r="B73" s="38" t="n"/>
      <c r="C73" s="38" t="n"/>
      <c r="D73" s="38" t="n"/>
      <c r="E73" s="38" t="n"/>
      <c r="F73" s="38" t="n"/>
      <c r="G73" s="38" t="n"/>
      <c r="H73" s="38" t="n"/>
      <c r="I73" s="38" t="n"/>
    </row>
    <row r="74" ht="15" customHeight="1" s="19">
      <c r="A74" s="32" t="inlineStr">
        <is>
          <t>SOC 2</t>
        </is>
      </c>
      <c r="B74" s="38" t="n"/>
      <c r="C74" s="38" t="n"/>
      <c r="D74" s="38" t="n"/>
      <c r="E74" s="38" t="n"/>
      <c r="F74" s="38" t="n"/>
      <c r="G74" s="38" t="n"/>
      <c r="H74" s="38" t="n"/>
      <c r="I74" s="38" t="n"/>
    </row>
    <row r="75" ht="15" customHeight="1" s="19">
      <c r="A75" s="32" t="inlineStr">
        <is>
          <t>ISO 27001</t>
        </is>
      </c>
      <c r="B75" s="38" t="n"/>
      <c r="C75" s="38" t="n"/>
      <c r="D75" s="38" t="n"/>
      <c r="E75" s="38" t="n"/>
      <c r="F75" s="38" t="n"/>
      <c r="G75" s="38" t="n"/>
      <c r="H75" s="38" t="n"/>
      <c r="I75" s="38" t="n"/>
    </row>
    <row r="76" ht="23.85" customHeight="1" s="19">
      <c r="A76" s="32" t="inlineStr">
        <is>
          <t>UK DPA 2018</t>
        </is>
      </c>
      <c r="B76" s="38" t="n"/>
      <c r="C76" s="38" t="n"/>
      <c r="D76" s="38" t="n"/>
      <c r="E76" s="38" t="n"/>
      <c r="F76" s="38" t="n"/>
      <c r="G76" s="38" t="n"/>
      <c r="H76" s="38" t="n"/>
      <c r="I76" s="38" t="n"/>
    </row>
    <row r="77"/>
    <row r="78" ht="24" customHeight="1" s="19">
      <c r="A78" s="29" t="inlineStr">
        <is>
          <t>Section 6 — Data Residency &amp; Sovereignty</t>
        </is>
      </c>
    </row>
    <row r="79" ht="30" customHeight="1" s="19">
      <c r="A79" s="31" t="inlineStr">
        <is>
          <t>Data Category</t>
        </is>
      </c>
      <c r="B79" s="31" t="inlineStr">
        <is>
          <t>Classification</t>
        </is>
      </c>
      <c r="C79" s="31" t="inlineStr">
        <is>
          <t>Current Location</t>
        </is>
      </c>
      <c r="D79" s="31" t="inlineStr">
        <is>
          <t>Required Location</t>
        </is>
      </c>
      <c r="E79" s="31" t="inlineStr">
        <is>
          <t>Cloud Region</t>
        </is>
      </c>
      <c r="F79" s="31" t="inlineStr">
        <is>
          <t>Compliant</t>
        </is>
      </c>
      <c r="G79" s="31" t="inlineStr">
        <is>
          <t>Cross-Border</t>
        </is>
      </c>
      <c r="H79" s="31" t="inlineStr">
        <is>
          <t>Notes</t>
        </is>
      </c>
      <c r="I79" s="31" t="inlineStr">
        <is>
          <t>Owner</t>
        </is>
      </c>
    </row>
    <row r="80" ht="15" customHeight="1" s="19">
      <c r="A80" s="38" t="n"/>
      <c r="B80" s="38" t="n"/>
      <c r="C80" s="38" t="n"/>
      <c r="D80" s="38" t="n"/>
      <c r="E80" s="38" t="n"/>
      <c r="F80" s="38" t="n"/>
      <c r="G80" s="38" t="n"/>
      <c r="H80" s="38" t="n"/>
      <c r="I80" s="38" t="n"/>
    </row>
    <row r="81" ht="15" customHeight="1" s="19">
      <c r="A81" s="38" t="n"/>
      <c r="B81" s="38" t="n"/>
      <c r="C81" s="38" t="n"/>
      <c r="D81" s="38" t="n"/>
      <c r="E81" s="38" t="n"/>
      <c r="F81" s="38" t="n"/>
      <c r="G81" s="38" t="n"/>
      <c r="H81" s="38" t="n"/>
      <c r="I81" s="38" t="n"/>
    </row>
    <row r="82" ht="15" customHeight="1" s="19">
      <c r="A82" s="38" t="n"/>
      <c r="B82" s="38" t="n"/>
      <c r="C82" s="38" t="n"/>
      <c r="D82" s="38" t="n"/>
      <c r="E82" s="38" t="n"/>
      <c r="F82" s="38" t="n"/>
      <c r="G82" s="38" t="n"/>
      <c r="H82" s="38" t="n"/>
      <c r="I82" s="38" t="n"/>
    </row>
    <row r="83" ht="15" customHeight="1" s="19">
      <c r="A83" s="38" t="n"/>
      <c r="B83" s="38" t="n"/>
      <c r="C83" s="38" t="n"/>
      <c r="D83" s="38" t="n"/>
      <c r="E83" s="38" t="n"/>
      <c r="F83" s="38" t="n"/>
      <c r="G83" s="38" t="n"/>
      <c r="H83" s="38" t="n"/>
      <c r="I83" s="38" t="n"/>
    </row>
    <row r="84" ht="15" customHeight="1" s="19">
      <c r="A84" s="38" t="n"/>
      <c r="B84" s="38" t="n"/>
      <c r="C84" s="38" t="n"/>
      <c r="D84" s="38" t="n"/>
      <c r="E84" s="38" t="n"/>
      <c r="F84" s="38" t="n"/>
      <c r="G84" s="38" t="n"/>
      <c r="H84" s="38" t="n"/>
      <c r="I84" s="38" t="n"/>
    </row>
    <row r="85" ht="15" customHeight="1" s="19">
      <c r="A85" s="38" t="n"/>
      <c r="B85" s="38" t="n"/>
      <c r="C85" s="38" t="n"/>
      <c r="D85" s="38" t="n"/>
      <c r="E85" s="38" t="n"/>
      <c r="F85" s="38" t="n"/>
      <c r="G85" s="38" t="n"/>
      <c r="H85" s="38" t="n"/>
      <c r="I85" s="38" t="n"/>
    </row>
    <row r="86" ht="15" customHeight="1" s="19">
      <c r="A86" s="38" t="n"/>
      <c r="B86" s="38" t="n"/>
      <c r="C86" s="38" t="n"/>
      <c r="D86" s="38" t="n"/>
      <c r="E86" s="38" t="n"/>
      <c r="F86" s="38" t="n"/>
      <c r="G86" s="38" t="n"/>
      <c r="H86" s="38" t="n"/>
      <c r="I86" s="38" t="n"/>
    </row>
    <row r="87" ht="15" customHeight="1" s="19">
      <c r="A87" s="38" t="n"/>
      <c r="B87" s="38" t="n"/>
      <c r="C87" s="38" t="n"/>
      <c r="D87" s="38" t="n"/>
      <c r="E87" s="38" t="n"/>
      <c r="F87" s="38" t="n"/>
      <c r="G87" s="38" t="n"/>
      <c r="H87" s="38" t="n"/>
      <c r="I87" s="38" t="n"/>
    </row>
    <row r="88"/>
    <row r="89" ht="57.45" customHeight="1" s="19">
      <c r="A89" s="33" t="inlineStr">
        <is>
          <t>Cross-Border Transfer Requirements</t>
        </is>
      </c>
      <c r="B89" s="38" t="n"/>
      <c r="C89" s="38" t="n"/>
      <c r="D89" s="38" t="n"/>
      <c r="E89" s="38" t="n"/>
      <c r="F89" s="38" t="n"/>
      <c r="G89" s="38" t="n"/>
      <c r="H89" s="38" t="n"/>
      <c r="I89" s="38" t="n"/>
    </row>
    <row r="90" ht="46.25" customHeight="1" s="19">
      <c r="A90" s="33" t="inlineStr">
        <is>
          <t>Data Processing Agreements Required</t>
        </is>
      </c>
      <c r="B90" s="32" t="n"/>
      <c r="C90" s="32" t="n"/>
      <c r="D90" s="32" t="n"/>
      <c r="E90" s="32" t="n"/>
      <c r="F90" s="32" t="n"/>
      <c r="G90" s="32" t="n"/>
      <c r="H90" s="32" t="n"/>
      <c r="I90" s="32" t="n"/>
    </row>
    <row r="91" ht="46.25" customHeight="1" s="19">
      <c r="A91" s="33" t="inlineStr">
        <is>
          <t>Standard Contractual Clauses Required</t>
        </is>
      </c>
      <c r="B91" s="32" t="n"/>
      <c r="C91" s="32" t="n"/>
      <c r="D91" s="32" t="n"/>
      <c r="E91" s="32" t="n"/>
      <c r="F91" s="32" t="n"/>
      <c r="G91" s="32" t="n"/>
      <c r="H91" s="32" t="n"/>
      <c r="I91" s="32" t="n"/>
    </row>
    <row r="92"/>
    <row r="93" ht="24" customHeight="1" s="19">
      <c r="A93" s="29" t="inlineStr">
        <is>
          <t>Section 7 — Security Controls Assessment</t>
        </is>
      </c>
    </row>
    <row r="94" ht="30" customHeight="1" s="19">
      <c r="A94" s="31" t="inlineStr">
        <is>
          <t>Control Area</t>
        </is>
      </c>
      <c r="B94" s="31" t="inlineStr">
        <is>
          <t>Current State</t>
        </is>
      </c>
      <c r="C94" s="31" t="inlineStr">
        <is>
          <t>Cloud Target</t>
        </is>
      </c>
      <c r="D94" s="31" t="inlineStr">
        <is>
          <t>Gap</t>
        </is>
      </c>
      <c r="E94" s="31" t="inlineStr">
        <is>
          <t>Priority</t>
        </is>
      </c>
      <c r="F94" s="31" t="inlineStr">
        <is>
          <t>Owner</t>
        </is>
      </c>
      <c r="G94" s="31" t="inlineStr">
        <is>
          <t>Notes</t>
        </is>
      </c>
      <c r="H94" s="31" t="n"/>
      <c r="I94" s="31" t="n"/>
    </row>
    <row r="95" ht="46.25" customHeight="1" s="19">
      <c r="A95" s="32" t="inlineStr">
        <is>
          <t>Identity &amp; Access Management</t>
        </is>
      </c>
      <c r="B95" s="38" t="n"/>
      <c r="C95" s="38" t="n"/>
      <c r="D95" s="38" t="n"/>
      <c r="E95" s="32" t="n"/>
      <c r="F95" s="38" t="n"/>
      <c r="G95" s="38" t="n"/>
      <c r="H95" s="32" t="n"/>
      <c r="I95" s="32" t="n"/>
    </row>
    <row r="96" ht="23.85" customHeight="1" s="19">
      <c r="A96" s="32" t="inlineStr">
        <is>
          <t>Encryption (at rest)</t>
        </is>
      </c>
      <c r="B96" s="38" t="n"/>
      <c r="C96" s="38" t="n"/>
      <c r="D96" s="38" t="n"/>
      <c r="E96" s="32" t="n"/>
      <c r="F96" s="38" t="n"/>
      <c r="G96" s="38" t="n"/>
      <c r="H96" s="32" t="n"/>
      <c r="I96" s="32" t="n"/>
    </row>
    <row r="97" ht="23.85" customHeight="1" s="19">
      <c r="A97" s="32" t="inlineStr">
        <is>
          <t>Encryption (in transit)</t>
        </is>
      </c>
      <c r="B97" s="38" t="n"/>
      <c r="C97" s="38" t="n"/>
      <c r="D97" s="38" t="n"/>
      <c r="E97" s="32" t="n"/>
      <c r="F97" s="38" t="n"/>
      <c r="G97" s="38" t="n"/>
      <c r="H97" s="32" t="n"/>
      <c r="I97" s="32" t="n"/>
    </row>
    <row r="98" ht="23.85" customHeight="1" s="19">
      <c r="A98" s="32" t="inlineStr">
        <is>
          <t>Network Security</t>
        </is>
      </c>
      <c r="B98" s="38" t="n"/>
      <c r="C98" s="38" t="n"/>
      <c r="D98" s="38" t="n"/>
      <c r="E98" s="32" t="n"/>
      <c r="F98" s="38" t="n"/>
      <c r="G98" s="38" t="n"/>
      <c r="H98" s="32" t="n"/>
      <c r="I98" s="32" t="n"/>
    </row>
    <row r="99" ht="46.25" customHeight="1" s="19">
      <c r="A99" s="32" t="inlineStr">
        <is>
          <t>Vulnerability Management</t>
        </is>
      </c>
      <c r="B99" s="38" t="n"/>
      <c r="C99" s="38" t="n"/>
      <c r="D99" s="38" t="n"/>
      <c r="E99" s="32" t="n"/>
      <c r="F99" s="38" t="n"/>
      <c r="G99" s="38" t="n"/>
      <c r="H99" s="32" t="n"/>
      <c r="I99" s="32" t="n"/>
    </row>
    <row r="100" ht="23.85" customHeight="1" s="19">
      <c r="A100" s="32" t="inlineStr">
        <is>
          <t>Logging &amp; Monitoring</t>
        </is>
      </c>
      <c r="B100" s="38" t="n"/>
      <c r="C100" s="38" t="n"/>
      <c r="D100" s="38" t="n"/>
      <c r="E100" s="32" t="n"/>
      <c r="F100" s="38" t="n"/>
      <c r="G100" s="38" t="n"/>
      <c r="H100" s="32" t="n"/>
      <c r="I100" s="32" t="n"/>
    </row>
    <row r="101" ht="23.85" customHeight="1" s="19">
      <c r="A101" s="32" t="inlineStr">
        <is>
          <t>Incident Response</t>
        </is>
      </c>
      <c r="B101" s="38" t="n"/>
      <c r="C101" s="38" t="n"/>
      <c r="D101" s="38" t="n"/>
      <c r="E101" s="32" t="n"/>
      <c r="F101" s="38" t="n"/>
      <c r="G101" s="38" t="n"/>
      <c r="H101" s="32" t="n"/>
      <c r="I101" s="32" t="n"/>
    </row>
    <row r="102" ht="23.85" customHeight="1" s="19">
      <c r="A102" s="32" t="inlineStr">
        <is>
          <t>Backup &amp; Recovery</t>
        </is>
      </c>
      <c r="B102" s="38" t="n"/>
      <c r="C102" s="38" t="n"/>
      <c r="D102" s="38" t="n"/>
      <c r="E102" s="32" t="n"/>
      <c r="F102" s="38" t="n"/>
      <c r="G102" s="38" t="n"/>
      <c r="H102" s="32" t="n"/>
      <c r="I102" s="32" t="n"/>
    </row>
    <row r="103"/>
    <row r="104" ht="24" customHeight="1" s="19">
      <c r="A104" s="29" t="inlineStr">
        <is>
          <t>Section 8 — Risk Summary</t>
        </is>
      </c>
    </row>
    <row r="105" ht="30" customHeight="1" s="19">
      <c r="A105" s="31" t="inlineStr">
        <is>
          <t>Category</t>
        </is>
      </c>
      <c r="B105" s="31" t="inlineStr">
        <is>
          <t>Total Risks</t>
        </is>
      </c>
      <c r="C105" s="31" t="inlineStr">
        <is>
          <t>Critical</t>
        </is>
      </c>
      <c r="D105" s="31" t="inlineStr">
        <is>
          <t>High</t>
        </is>
      </c>
      <c r="E105" s="31" t="inlineStr">
        <is>
          <t>Medium</t>
        </is>
      </c>
      <c r="F105" s="31" t="inlineStr">
        <is>
          <t>Low</t>
        </is>
      </c>
      <c r="G105" s="31" t="n"/>
      <c r="H105" s="31" t="n"/>
      <c r="I105" s="31" t="n"/>
    </row>
    <row r="106" ht="15" customHeight="1" s="19">
      <c r="A106" s="32" t="inlineStr">
        <is>
          <t>Security</t>
        </is>
      </c>
      <c r="B106" s="40">
        <f>COUNTIF(F31:F41,"&gt;0")</f>
        <v/>
      </c>
      <c r="C106" s="40">
        <f>COUNTIFS(F31:F41,"&gt;=15")</f>
        <v/>
      </c>
      <c r="D106" s="40">
        <f>COUNTIFS(F31:F41,"&gt;=8",F31:F41,"&lt;15")</f>
        <v/>
      </c>
      <c r="E106" s="40">
        <f>COUNTIFS(F31:F41,"&gt;=5",F31:F41,"&lt;8")</f>
        <v/>
      </c>
      <c r="F106" s="40">
        <f>COUNTIFS(F31:F41,"&gt;=1",F31:F41,"&lt;5")</f>
        <v/>
      </c>
      <c r="G106" s="32" t="n"/>
      <c r="H106" s="32" t="n"/>
      <c r="I106" s="32" t="n"/>
    </row>
    <row r="107" ht="15" customHeight="1" s="19">
      <c r="A107" s="32" t="inlineStr">
        <is>
          <t>Operational</t>
        </is>
      </c>
      <c r="B107" s="40">
        <f>COUNTIF(F45:F55,"&gt;0")</f>
        <v/>
      </c>
      <c r="C107" s="40">
        <f>COUNTIFS(F45:F55,"&gt;=15")</f>
        <v/>
      </c>
      <c r="D107" s="40">
        <f>COUNTIFS(F45:F55,"&gt;=8",F45:F55,"&lt;15")</f>
        <v/>
      </c>
      <c r="E107" s="40">
        <f>COUNTIFS(F45:F55,"&gt;=5",F45:F55,"&lt;8")</f>
        <v/>
      </c>
      <c r="F107" s="40">
        <f>COUNTIFS(F45:F55,"&gt;=1",F45:F55,"&lt;5")</f>
        <v/>
      </c>
      <c r="G107" s="32" t="n"/>
      <c r="H107" s="32" t="n"/>
      <c r="I107" s="32" t="n"/>
    </row>
    <row r="108" ht="23.85" customHeight="1" s="19">
      <c r="A108" s="32" t="inlineStr">
        <is>
          <t>Compliance</t>
        </is>
      </c>
      <c r="B108" s="40">
        <f>COUNTIF(F59:F67,"&gt;0")</f>
        <v/>
      </c>
      <c r="C108" s="40">
        <f>COUNTIFS(F59:F67,"&gt;=15")</f>
        <v/>
      </c>
      <c r="D108" s="40">
        <f>COUNTIFS(F59:F67,"&gt;=8",F59:F67,"&lt;15")</f>
        <v/>
      </c>
      <c r="E108" s="40">
        <f>COUNTIFS(F59:F67,"&gt;=5",F59:F67,"&lt;8")</f>
        <v/>
      </c>
      <c r="F108" s="40">
        <f>COUNTIFS(F59:F67,"&gt;=1",F59:F67,"&lt;5")</f>
        <v/>
      </c>
      <c r="G108" s="32" t="n"/>
      <c r="H108" s="32" t="n"/>
      <c r="I108" s="32" t="n"/>
    </row>
    <row r="109" ht="15" customHeight="1" s="19">
      <c r="A109" s="41" t="inlineStr">
        <is>
          <t>Total</t>
        </is>
      </c>
      <c r="B109" s="42">
        <f>SUM(B106:B108)</f>
        <v/>
      </c>
      <c r="C109" s="42">
        <f>SUM(C106:C108)</f>
        <v/>
      </c>
      <c r="D109" s="42">
        <f>SUM(D106:D108)</f>
        <v/>
      </c>
      <c r="E109" s="42">
        <f>SUM(E106:E108)</f>
        <v/>
      </c>
      <c r="F109" s="42">
        <f>SUM(F106:F108)</f>
        <v/>
      </c>
      <c r="G109" s="41" t="n"/>
      <c r="H109" s="41" t="n"/>
      <c r="I109" s="41" t="n"/>
    </row>
    <row r="110"/>
    <row r="111" ht="35.05" customHeight="1" s="19">
      <c r="A111" s="43" t="inlineStr">
        <is>
          <t>Overall Risk Rating</t>
        </is>
      </c>
      <c r="B111" s="43" t="n"/>
      <c r="C111" s="43" t="n"/>
      <c r="D111" s="43" t="n"/>
      <c r="E111" s="43" t="n"/>
      <c r="F111" s="43" t="n"/>
      <c r="G111" s="43" t="n"/>
      <c r="H111" s="43" t="n"/>
      <c r="I111" s="43" t="n"/>
    </row>
    <row r="112" ht="23.85" customHeight="1" s="19">
      <c r="A112" s="43" t="inlineStr">
        <is>
          <t>Recommendation</t>
        </is>
      </c>
      <c r="B112" s="43" t="n"/>
      <c r="C112" s="43" t="n"/>
      <c r="D112" s="43" t="n"/>
      <c r="E112" s="43" t="n"/>
      <c r="F112" s="43" t="n"/>
      <c r="G112" s="43" t="n"/>
      <c r="H112" s="43" t="n"/>
      <c r="I112" s="43" t="n"/>
    </row>
    <row r="113"/>
    <row r="114" ht="15" customHeight="1" s="19">
      <c r="A114" s="44" t="inlineStr">
        <is>
          <t>Template Version 1.0 — Cloud Readiness Accelerator Framework</t>
        </is>
      </c>
    </row>
  </sheetData>
  <mergeCells count="14">
    <mergeCell ref="A29:I29"/>
    <mergeCell ref="A104:I104"/>
    <mergeCell ref="A57:I57"/>
    <mergeCell ref="A43:I43"/>
    <mergeCell ref="A2:I2"/>
    <mergeCell ref="A5:I5"/>
    <mergeCell ref="A93:I93"/>
    <mergeCell ref="A13:I13"/>
    <mergeCell ref="A1:I1"/>
    <mergeCell ref="A114:I114"/>
    <mergeCell ref="A69:I69"/>
    <mergeCell ref="A4:I4"/>
    <mergeCell ref="A78:I78"/>
    <mergeCell ref="A21:I21"/>
  </mergeCells>
  <dataValidations count="16">
    <dataValidation sqref="D31:E41" showDropDown="0" showInputMessage="0" showErrorMessage="0" allowBlank="1" errorTitle="Invalid score" error="Enter a whole number between 1 and 5" type="whole" errorStyle="stop" operator="between">
      <formula1>1</formula1>
      <formula2>5</formula2>
    </dataValidation>
    <dataValidation sqref="H31:H41" showDropDown="0" showInputMessage="0" showErrorMessage="0" allowBlank="1" type="list" errorStyle="stop" operator="between">
      <formula1>"Low,Medium,High,Critical"</formula1>
      <formula2>0</formula2>
    </dataValidation>
    <dataValidation sqref="D45:E55" showDropDown="0" showInputMessage="0" showErrorMessage="0" allowBlank="1" errorTitle="Invalid score" error="Enter a whole number between 1 and 5" type="whole" errorStyle="stop" operator="between">
      <formula1>1</formula1>
      <formula2>5</formula2>
    </dataValidation>
    <dataValidation sqref="H45:H55" showDropDown="0" showInputMessage="0" showErrorMessage="0" allowBlank="1" type="list" errorStyle="stop" operator="between">
      <formula1>"Low,Medium,High,Critical"</formula1>
      <formula2>0</formula2>
    </dataValidation>
    <dataValidation sqref="D59:E67" showDropDown="0" showInputMessage="0" showErrorMessage="0" allowBlank="1" errorTitle="Invalid score" error="Enter a whole number between 1 and 5" type="whole" errorStyle="stop" operator="between">
      <formula1>1</formula1>
      <formula2>5</formula2>
    </dataValidation>
    <dataValidation sqref="H59:H67" showDropDown="0" showInputMessage="0" showErrorMessage="0" allowBlank="1" type="list" errorStyle="stop" operator="between">
      <formula1>"Low,Medium,High,Critical"</formula1>
      <formula2>0</formula2>
    </dataValidation>
    <dataValidation sqref="B71:B76" showDropDown="0" showInputMessage="0" showErrorMessage="0" allowBlank="1" type="list" errorStyle="stop" operator="between">
      <formula1>"Yes,No"</formula1>
      <formula2>0</formula2>
    </dataValidation>
    <dataValidation sqref="C71:C76" showDropDown="0" showInputMessage="0" showErrorMessage="0" allowBlank="1" type="list" errorStyle="stop" operator="between">
      <formula1>"Compliant,Partial,Non-compliant"</formula1>
      <formula2>0</formula2>
    </dataValidation>
    <dataValidation sqref="E71:G76" showDropDown="0" showInputMessage="0" showErrorMessage="0" allowBlank="1" type="list" errorStyle="stop" operator="between">
      <formula1>"Yes,No,Partial"</formula1>
      <formula2>0</formula2>
    </dataValidation>
    <dataValidation sqref="B80:B87" showDropDown="0" showInputMessage="0" showErrorMessage="0" allowBlank="1" type="list" errorStyle="stop" operator="between">
      <formula1>"Public,Internal,Confidential,Restricted"</formula1>
      <formula2>0</formula2>
    </dataValidation>
    <dataValidation sqref="F80:F87" showDropDown="0" showInputMessage="0" showErrorMessage="0" allowBlank="1" type="list" errorStyle="stop" operator="between">
      <formula1>"Yes,No"</formula1>
      <formula2>0</formula2>
    </dataValidation>
    <dataValidation sqref="B90" showDropDown="0" showInputMessage="0" showErrorMessage="0" allowBlank="1" type="list" errorStyle="stop" operator="between">
      <formula1>"Yes,No"</formula1>
      <formula2>0</formula2>
    </dataValidation>
    <dataValidation sqref="B91" showDropDown="0" showInputMessage="0" showErrorMessage="0" allowBlank="1" type="list" errorStyle="stop" operator="between">
      <formula1>"Yes,No"</formula1>
      <formula2>0</formula2>
    </dataValidation>
    <dataValidation sqref="E95:E102" showDropDown="0" showInputMessage="0" showErrorMessage="0" allowBlank="1" type="list" errorStyle="stop" operator="between">
      <formula1>"Critical,High,Medium,Low"</formula1>
      <formula2>0</formula2>
    </dataValidation>
    <dataValidation sqref="B111" showDropDown="0" showInputMessage="0" showErrorMessage="0" allowBlank="1" type="list" errorStyle="stop" operator="between">
      <formula1>"Critical,High,Medium,Low"</formula1>
      <formula2>0</formula2>
    </dataValidation>
    <dataValidation sqref="B112" showDropDown="0" showInputMessage="0" showErrorMessage="0" allowBlank="1" type="list" errorStyle="stop" operator="between">
      <formula1>"Proceed,Proceed with mitigations,Defer until mitigated,Do not proceed"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selection activeCell="A1" sqref="A1"/>
    </sheetView>
  </sheetViews>
  <sheetFormatPr baseColWidth="8" defaultRowHeight="15"/>
  <cols>
    <col width="22" customWidth="1" style="19" min="1" max="1"/>
    <col width="15" customWidth="1" style="19" min="2" max="2"/>
    <col width="15" customWidth="1" style="19" min="3" max="3"/>
    <col width="15" customWidth="1" style="19" min="4" max="4"/>
  </cols>
  <sheetData>
    <row r="1">
      <c r="A1" s="45" t="inlineStr">
        <is>
          <t>Risk Summary Dashboard — CRA Engagement Risk Status</t>
        </is>
      </c>
    </row>
    <row r="2">
      <c r="A2" s="46" t="inlineStr">
        <is>
          <t>Risk Category</t>
        </is>
      </c>
      <c r="B2" s="46" t="inlineStr">
        <is>
          <t>Red Risks (&gt;=9)</t>
        </is>
      </c>
      <c r="C2" s="46" t="inlineStr">
        <is>
          <t>Amber Risks (6-8)</t>
        </is>
      </c>
      <c r="D2" s="46" t="inlineStr">
        <is>
          <t>Green Risks (&lt;=5)</t>
        </is>
      </c>
    </row>
    <row r="3">
      <c r="A3" s="47" t="inlineStr">
        <is>
          <t>Scope</t>
        </is>
      </c>
      <c r="B3" s="48" t="n">
        <v>0</v>
      </c>
      <c r="C3" s="48" t="n">
        <v>0</v>
      </c>
      <c r="D3" s="48" t="n">
        <v>0</v>
      </c>
    </row>
    <row r="4">
      <c r="A4" s="49" t="inlineStr">
        <is>
          <t>Data Quality</t>
        </is>
      </c>
      <c r="B4" s="50" t="n">
        <v>0</v>
      </c>
      <c r="C4" s="50" t="n">
        <v>0</v>
      </c>
      <c r="D4" s="50" t="n">
        <v>0</v>
      </c>
    </row>
    <row r="5">
      <c r="A5" s="47" t="inlineStr">
        <is>
          <t>Dependency</t>
        </is>
      </c>
      <c r="B5" s="48" t="n">
        <v>0</v>
      </c>
      <c r="C5" s="48" t="n">
        <v>0</v>
      </c>
      <c r="D5" s="48" t="n">
        <v>0</v>
      </c>
    </row>
    <row r="6">
      <c r="A6" s="49" t="inlineStr">
        <is>
          <t>Licensing</t>
        </is>
      </c>
      <c r="B6" s="50" t="n">
        <v>0</v>
      </c>
      <c r="C6" s="50" t="n">
        <v>0</v>
      </c>
      <c r="D6" s="50" t="n">
        <v>0</v>
      </c>
    </row>
    <row r="7">
      <c r="A7" s="47" t="inlineStr">
        <is>
          <t>End-of-Life OS</t>
        </is>
      </c>
      <c r="B7" s="48" t="n">
        <v>0</v>
      </c>
      <c r="C7" s="48" t="n">
        <v>0</v>
      </c>
      <c r="D7" s="48" t="n">
        <v>0</v>
      </c>
    </row>
    <row r="8">
      <c r="A8" s="49" t="inlineStr">
        <is>
          <t>Regulatory</t>
        </is>
      </c>
      <c r="B8" s="50" t="n">
        <v>0</v>
      </c>
      <c r="C8" s="50" t="n">
        <v>0</v>
      </c>
      <c r="D8" s="50" t="n">
        <v>0</v>
      </c>
    </row>
    <row r="9">
      <c r="A9" s="47" t="inlineStr">
        <is>
          <t>Schedule</t>
        </is>
      </c>
      <c r="B9" s="48" t="n">
        <v>0</v>
      </c>
      <c r="C9" s="48" t="n">
        <v>0</v>
      </c>
      <c r="D9" s="48" t="n">
        <v>0</v>
      </c>
    </row>
    <row r="10">
      <c r="A10" s="49" t="inlineStr">
        <is>
          <t>Resource</t>
        </is>
      </c>
      <c r="B10" s="50" t="n">
        <v>0</v>
      </c>
      <c r="C10" s="50" t="n">
        <v>0</v>
      </c>
      <c r="D10" s="50" t="n">
        <v>0</v>
      </c>
    </row>
    <row r="11">
      <c r="A11" s="47" t="inlineStr">
        <is>
          <t>Commercial</t>
        </is>
      </c>
      <c r="B11" s="48" t="n">
        <v>0</v>
      </c>
      <c r="C11" s="48" t="n">
        <v>0</v>
      </c>
      <c r="D11" s="48" t="n">
        <v>0</v>
      </c>
    </row>
    <row r="12">
      <c r="A12" s="49" t="inlineStr">
        <is>
          <t>Stakeholder</t>
        </is>
      </c>
      <c r="B12" s="50" t="n">
        <v>0</v>
      </c>
      <c r="C12" s="50" t="n">
        <v>0</v>
      </c>
      <c r="D12" s="50" t="n">
        <v>0</v>
      </c>
    </row>
    <row r="13">
      <c r="A13" s="47" t="inlineStr">
        <is>
          <t>Third-Party</t>
        </is>
      </c>
      <c r="B13" s="48" t="n">
        <v>0</v>
      </c>
      <c r="C13" s="48" t="n">
        <v>0</v>
      </c>
      <c r="D13" s="48" t="n">
        <v>0</v>
      </c>
    </row>
    <row r="15">
      <c r="A15" s="51" t="inlineStr">
        <is>
          <t>Note: Update counts manually from the Risk Assessment tab, or add COUNTIFS formulas once row structure is confirmed.</t>
        </is>
      </c>
    </row>
  </sheetData>
  <mergeCells count="2">
    <mergeCell ref="A1:D1"/>
    <mergeCell ref="A15:D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2026-04-25T12:28:31Z</dcterms:created>
  <dcterms:modified xmlns:dcterms="http://purl.org/dc/terms/" xmlns:xsi="http://www.w3.org/2001/XMLSchema-instance" xsi:type="dcterms:W3CDTF">2026-06-03T05:46:07Z</dcterms:modified>
  <cp:revision>0</cp:revision>
</cp:coreProperties>
</file>