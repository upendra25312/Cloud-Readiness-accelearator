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raxglobal-my.sharepoint.com/personal/upendra_kumar_rackspace_com1/Documents/Projects/DMG/Cloud Readiness acceleartor/Templates/"/>
    </mc:Choice>
  </mc:AlternateContent>
  <xr:revisionPtr revIDLastSave="3691" documentId="11_F617E23A7FC39BC412E480F5C01EC2B56F0EE546" xr6:coauthVersionLast="47" xr6:coauthVersionMax="47" xr10:uidLastSave="{16EFDE36-B785-4F30-B38C-62087F2E08E0}"/>
  <bookViews>
    <workbookView xWindow="-110" yWindow="-110" windowWidth="19420" windowHeight="10300" tabRatio="500" firstSheet="1" xr2:uid="{00000000-000D-0000-FFFF-FFFF00000000}"/>
  </bookViews>
  <sheets>
    <sheet name="Read Me" sheetId="2" r:id="rId1"/>
    <sheet name="Azure Migrate appliance Guide" sheetId="5" r:id="rId2"/>
    <sheet name="Assumptions" sheetId="3" r:id="rId3"/>
    <sheet name="Azure Evaluation" sheetId="1" r:id="rId4"/>
    <sheet name="Compatibility Exclusion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4" i="4" l="1"/>
  <c r="C83" i="4" s="1"/>
  <c r="B69" i="1"/>
  <c r="C69" i="1" s="1"/>
  <c r="B68" i="1"/>
  <c r="C68" i="1" s="1"/>
  <c r="B67" i="1"/>
  <c r="C67" i="1" s="1"/>
  <c r="C62" i="1"/>
  <c r="D55" i="1" s="1"/>
  <c r="B48" i="1"/>
  <c r="C44" i="1" s="1"/>
  <c r="B40" i="1"/>
  <c r="B66" i="1" s="1"/>
  <c r="C66" i="1" s="1"/>
  <c r="C132" i="1"/>
  <c r="D130" i="1"/>
  <c r="D129" i="1"/>
  <c r="D128" i="1"/>
  <c r="D127" i="1"/>
  <c r="D126" i="1"/>
  <c r="D125" i="1"/>
  <c r="D124" i="1"/>
  <c r="B107" i="1"/>
  <c r="E100" i="1"/>
  <c r="E99" i="1"/>
  <c r="E98" i="1"/>
  <c r="E97" i="1"/>
  <c r="C80" i="4" l="1"/>
  <c r="C82" i="4"/>
  <c r="C78" i="4"/>
  <c r="C79" i="4"/>
  <c r="C81" i="4"/>
  <c r="C47" i="1"/>
  <c r="C46" i="1"/>
  <c r="B70" i="1"/>
  <c r="C70" i="1" s="1"/>
  <c r="C45" i="1"/>
  <c r="D56" i="1"/>
  <c r="D57" i="1"/>
  <c r="D58" i="1"/>
  <c r="D59" i="1"/>
  <c r="C38" i="1"/>
  <c r="D52" i="1"/>
  <c r="D60" i="1"/>
  <c r="C37" i="1"/>
  <c r="C39" i="1"/>
  <c r="D53" i="1"/>
  <c r="D61" i="1"/>
  <c r="C36" i="1"/>
  <c r="D54" i="1"/>
  <c r="D132" i="1"/>
  <c r="E132" i="1" s="1"/>
</calcChain>
</file>

<file path=xl/sharedStrings.xml><?xml version="1.0" encoding="utf-8"?>
<sst xmlns="http://schemas.openxmlformats.org/spreadsheetml/2006/main" count="1236" uniqueCount="772">
  <si>
    <t>AZURE EVALUATION FRAMEWORK</t>
  </si>
  <si>
    <t>Cloud Readiness Accelerator  |  Executive Assessment Guide</t>
  </si>
  <si>
    <t>Version 1.0  |  Classification: Confidential  |  Last Updated: April 2026  |  Owner: Cloud Solutions Architecture</t>
  </si>
  <si>
    <t>📌  EXECUTIVE SUMMARY</t>
  </si>
  <si>
    <t>This Azure Evaluation Framework provides a structured, enterprise-grade methodology for assessing Microsoft Azure as your organization's strategic cloud platform. Designed in alignment with the Microsoft Cloud Adoption Framework (CAF) and Azure Well-Architected Framework, this assessment enables data-driven decision making for cloud migration investments.</t>
  </si>
  <si>
    <t>🚀  QUICK START GUIDE — COMPLETE THESE STEPS IN ORDER</t>
  </si>
  <si>
    <t>STEP</t>
  </si>
  <si>
    <t>ACTION</t>
  </si>
  <si>
    <t>SECTION</t>
  </si>
  <si>
    <t>PRIORITY</t>
  </si>
  <si>
    <t xml:space="preserve">① </t>
  </si>
  <si>
    <t>Complete Application Inventory — Map all workloads to Azure target services</t>
  </si>
  <si>
    <t>Section 1</t>
  </si>
  <si>
    <t>🔴 Critical</t>
  </si>
  <si>
    <t xml:space="preserve">② </t>
  </si>
  <si>
    <t>Assess Compute, Database &amp; Storage — Define Azure equivalents and migration approach</t>
  </si>
  <si>
    <t xml:space="preserve">③ </t>
  </si>
  <si>
    <t>Enter Regional Cost Estimates — Use Azure Pricing Calculator for Region A, B, C</t>
  </si>
  <si>
    <t>Section 2</t>
  </si>
  <si>
    <t xml:space="preserve">④ </t>
  </si>
  <si>
    <t>Complete AHB Eligibility — Document Windows/SQL licenses with Software Assurance</t>
  </si>
  <si>
    <t>Section 3</t>
  </si>
  <si>
    <t xml:space="preserve">⑤ </t>
  </si>
  <si>
    <t>Compare Pricing Models — PAYG vs AHB vs Reserved Instances (1-Year &amp; 3-Year)</t>
  </si>
  <si>
    <t>🟡 High</t>
  </si>
  <si>
    <t xml:space="preserve">⑥ </t>
  </si>
  <si>
    <t>Review Migration Tooling — Confirm Azure Migrate, ASR, DMS readiness</t>
  </si>
  <si>
    <t>Section 4</t>
  </si>
  <si>
    <t xml:space="preserve">⑦ </t>
  </si>
  <si>
    <t>Calculate Azure Fit Score — Score each factor (0-100) for final recommendation</t>
  </si>
  <si>
    <t>Section 5</t>
  </si>
  <si>
    <t>📋  DETAILED SECTION GUIDE</t>
  </si>
  <si>
    <t>SECTION 1  —  AZURE SERVICE COMPATIBILITY ASSESSMENT</t>
  </si>
  <si>
    <t>Purpose:</t>
  </si>
  <si>
    <t>Map current on-premises infrastructure to Azure target services with compatibility assessment</t>
  </si>
  <si>
    <t>Key Inputs:</t>
  </si>
  <si>
    <t>Application inventory, current platform details, workload characteristics</t>
  </si>
  <si>
    <t>Key Outputs:</t>
  </si>
  <si>
    <t>Azure service mapping, compatibility status, recommended migration approach</t>
  </si>
  <si>
    <t>Azure Tools:</t>
  </si>
  <si>
    <t>Azure Migrate, Azure Database Migration Service, Azure App Service Migration Assistant</t>
  </si>
  <si>
    <t>SECTION 2  —  AZURE REGIONAL ASSESSMENT</t>
  </si>
  <si>
    <t>Compare Azure regions for optimal workload placement based on cost, compliance, and latency</t>
  </si>
  <si>
    <t>Regional cost estimates (PAYG, AHB, RI), data residency requirements, latency targets</t>
  </si>
  <si>
    <t>Primary/Secondary region selection, regional cost comparison, compliance validation</t>
  </si>
  <si>
    <t>Data Sources:</t>
  </si>
  <si>
    <t>Azure Pricing Calculator, Azure Regional Services List, Azure Migrate Assessment</t>
  </si>
  <si>
    <t>SECTION 3  —  AZURE COST ESTIMATION &amp; OPTIMIZATION</t>
  </si>
  <si>
    <t>Comprehensive cost analysis comparing PAYG, Azure Hybrid Benefit, and Reserved Instance pricing</t>
  </si>
  <si>
    <t>Azure pricing estimates, Windows/SQL license counts with Software Assurance, commitment term</t>
  </si>
  <si>
    <t>Pricing model recommendation, AHB savings calculation, ROI analysis</t>
  </si>
  <si>
    <t>Best Practice:</t>
  </si>
  <si>
    <t>Leverage AHB for Windows/SQL workloads + 3-Year RI for predictable workloads (up to 72% savings)</t>
  </si>
  <si>
    <t>SECTION 4  —  AZURE MIGRATION TOOLING &amp; SERVICES</t>
  </si>
  <si>
    <t>Azure native tools and services recommended for workload discovery, assessment, and migration</t>
  </si>
  <si>
    <t>Workload types, migration approach (Rehost/Replatform/Refactor), data volumes</t>
  </si>
  <si>
    <t>Tool readiness status, licensing requirements, migration service recommendations</t>
  </si>
  <si>
    <t>Core Tools:</t>
  </si>
  <si>
    <t>Azure Migrate, Azure Site Recovery (ASR), Azure Database Migration Service, Azure Data Box</t>
  </si>
  <si>
    <t>SECTION 5  —  AZURE FIT SCORE ANALYSIS</t>
  </si>
  <si>
    <t>Weighted scoring framework to objectively assess Azure suitability for customer workloads</t>
  </si>
  <si>
    <t>Scores (0-100) for each evaluation factor based on assessment findings</t>
  </si>
  <si>
    <t>Total Fit Score, rating (Strong/Moderate/Conditional/Poor), recommended actions</t>
  </si>
  <si>
    <t>Scoring Model:</t>
  </si>
  <si>
    <t>7 weighted factors: Service Compatibility (25%), Cost (20%), Regional (15%), Tools (15%), Skills (10%), Vendor (10%), Strategy (5%)</t>
  </si>
  <si>
    <t>⭐  FIT SCORE INTERPRETATION MATRIX</t>
  </si>
  <si>
    <t>SCORE RANGE</t>
  </si>
  <si>
    <t>RATING</t>
  </si>
  <si>
    <t>INTERPRETATION</t>
  </si>
  <si>
    <t>RECOMMENDED ACTION</t>
  </si>
  <si>
    <t>80 — 100</t>
  </si>
  <si>
    <t>🟢 STRONG FIT</t>
  </si>
  <si>
    <t>Azure is highly suitable for this workload</t>
  </si>
  <si>
    <t>Proceed with detailed migration planning</t>
  </si>
  <si>
    <t>60 — 79</t>
  </si>
  <si>
    <t>🟡 MODERATE FIT</t>
  </si>
  <si>
    <t>Azure is suitable with some considerations</t>
  </si>
  <si>
    <t>Address identified gaps before proceeding</t>
  </si>
  <si>
    <t>40 — 59</t>
  </si>
  <si>
    <t>🟠 CONDITIONAL FIT</t>
  </si>
  <si>
    <t>Azure requires significant remediation</t>
  </si>
  <si>
    <t>Conduct detailed gap analysis; consider hybrid</t>
  </si>
  <si>
    <t>0 — 39</t>
  </si>
  <si>
    <t>🔴 POOR FIT</t>
  </si>
  <si>
    <t>Azure may not be optimal</t>
  </si>
  <si>
    <t>Evaluate alternatives (AWS, GCP, Private Cloud)</t>
  </si>
  <si>
    <t>🔧  AZURE TOOLS &amp; RESOURCES</t>
  </si>
  <si>
    <t>TOOL / RESOURCE</t>
  </si>
  <si>
    <t>PURPOSE</t>
  </si>
  <si>
    <t>ACCESS / URL</t>
  </si>
  <si>
    <t>Azure Pricing Calculator</t>
  </si>
  <si>
    <t>Estimate costs for Azure services</t>
  </si>
  <si>
    <t>azure.microsoft.com/pricing/calculator</t>
  </si>
  <si>
    <t>Azure Migrate</t>
  </si>
  <si>
    <t>Discovery, assessment, and migration</t>
  </si>
  <si>
    <t>Azure Portal → Azure Migrate</t>
  </si>
  <si>
    <t>Azure Site Recovery (ASR)</t>
  </si>
  <si>
    <t>Server replication and disaster recovery</t>
  </si>
  <si>
    <t>Azure Portal → Recovery Services</t>
  </si>
  <si>
    <t>Azure Database Migration Service</t>
  </si>
  <si>
    <t>Database migration (online/offline)</t>
  </si>
  <si>
    <t>Azure Portal → DMS</t>
  </si>
  <si>
    <t>Azure Advisor</t>
  </si>
  <si>
    <t>Best practices and optimization recommendations</t>
  </si>
  <si>
    <t>Azure Portal → Advisor</t>
  </si>
  <si>
    <t>Azure Cost Management</t>
  </si>
  <si>
    <t>Cost monitoring and optimization</t>
  </si>
  <si>
    <t>Azure Portal → Cost Management</t>
  </si>
  <si>
    <t>Microsoft Cloud Adoption Framework</t>
  </si>
  <si>
    <t>Enterprise adoption best practices</t>
  </si>
  <si>
    <t>docs.microsoft.com/azure/cloud-adoption-framework</t>
  </si>
  <si>
    <t>Azure Well-Architected Framework</t>
  </si>
  <si>
    <t>Workload review and optimization</t>
  </si>
  <si>
    <t>docs.microsoft.com/azure/architecture/framework</t>
  </si>
  <si>
    <t>Azure TCO Calculator</t>
  </si>
  <si>
    <t>Total Cost of Ownership comparison</t>
  </si>
  <si>
    <t>azure.microsoft.com/pricing/tco/calculator</t>
  </si>
  <si>
    <t>➡️  NEXT STEPS</t>
  </si>
  <si>
    <t>Step 1:  Review and validate the 'Assumptions' sheet with all stakeholders before proceeding</t>
  </si>
  <si>
    <t>Step 2:  Navigate to the 'Azure Evaluation' sheet to complete all five assessment sections</t>
  </si>
  <si>
    <t>Step 3:  Present findings and Fit Score to executive leadership for migration approval</t>
  </si>
  <si>
    <t>⚠️  IMPORTANT NOTES</t>
  </si>
  <si>
    <t>•  This evaluation framework is for initial assessment purposes. Final decisions require detailed technical due diligence.</t>
  </si>
  <si>
    <t>•  Cost estimates are based on publicly available Azure pricing. Select currency (USD, GBP, EUR, etc.) based on customer region.</t>
  </si>
  <si>
    <t>•  Azure Hybrid Benefit (AHB) requires eligible Windows Server or SQL Server licenses with active Software Assurance.</t>
  </si>
  <si>
    <t>•  Data residency and regulatory compliance requirements must be validated with Legal and Compliance teams.</t>
  </si>
  <si>
    <t>•  Microsoft EA/MCA discount percentages require validation from Microsoft Account Team before publication.</t>
  </si>
  <si>
    <t>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</si>
  <si>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Cloud Readiness Accelerator Framework  |  Azure Evaluation Framework  |  Version 1.0  |  April 2026</t>
  </si>
  <si>
    <t>© 2026 Cloud Readiness Accelerator Framework  |  Confidential — For Authorized Use Only</t>
  </si>
  <si>
    <t>Prepared in alignment with Microsoft Cloud Adoption Framework &amp; Azure Well-Architected Framework</t>
  </si>
  <si>
    <t>Azure Migrate Deployment Guide [Scenario dependant on website]</t>
  </si>
  <si>
    <t>https://learn.microsoft.com/en-us/azure/migrate/migrate-appliance?view=migrate#deployment-scenarios</t>
  </si>
  <si>
    <t>Determine your motivations, mission, and objectives</t>
  </si>
  <si>
    <t>https://learn.microsoft.com/en-us/azure/cloud-adoption-framework/strategy/motivations#tools-and-calculators</t>
  </si>
  <si>
    <t>Cloud Adoption Strategy Evaluator</t>
  </si>
  <si>
    <t>https://learn.microsoft.com/en-us/assessments/8fefc6d5-97ac-42b3-8e97-d82701e55bab/</t>
  </si>
  <si>
    <t>📋 AZURE MIGRATION TCO ASSUMPTIONS</t>
  </si>
  <si>
    <t>Like-to-Like (PAYG &amp; 3-Year) vs Optimized View | Azure Migrate Assessment Settings</t>
  </si>
  <si>
    <t>💱 Currency: USD ($) — Select currency based on your customer's region (USD, GBP, EUR, etc.)</t>
  </si>
  <si>
    <t>Section 1 — Like-to-Like Option 1 (Part 1) - PAYG/On Demand Baseline</t>
  </si>
  <si>
    <t>Category</t>
  </si>
  <si>
    <t>Parameter</t>
  </si>
  <si>
    <t>Region A</t>
  </si>
  <si>
    <t>Region B</t>
  </si>
  <si>
    <t>Region C</t>
  </si>
  <si>
    <t>▸ Target and Pricing</t>
  </si>
  <si>
    <t>Target and pricing</t>
  </si>
  <si>
    <t>Default target location</t>
  </si>
  <si>
    <t>Default environment</t>
  </si>
  <si>
    <t>Production</t>
  </si>
  <si>
    <t>Currency</t>
  </si>
  <si>
    <t>US Dollar (USD)</t>
  </si>
  <si>
    <t>Program/offer</t>
  </si>
  <si>
    <t>Pay-As-You-Go</t>
  </si>
  <si>
    <t>Default savings option</t>
  </si>
  <si>
    <t>None</t>
  </si>
  <si>
    <t>Discount (%)</t>
  </si>
  <si>
    <t>Uptime (days per month)</t>
  </si>
  <si>
    <t>Hours per day</t>
  </si>
  <si>
    <t>▸ Assessment Criteria</t>
  </si>
  <si>
    <t>Assessment criteria</t>
  </si>
  <si>
    <t>Sizing criteria</t>
  </si>
  <si>
    <t>Performance-based</t>
  </si>
  <si>
    <t>Performance history</t>
  </si>
  <si>
    <t>1 Month</t>
  </si>
  <si>
    <t>Percentile utilization</t>
  </si>
  <si>
    <t>95th</t>
  </si>
  <si>
    <t>Comfort factor</t>
  </si>
  <si>
    <t>▸ Storage / Disks</t>
  </si>
  <si>
    <t>Storage / disks</t>
  </si>
  <si>
    <t>Managed disk type</t>
  </si>
  <si>
    <t>Premium SSD, Standard SSD</t>
  </si>
  <si>
    <t>▸ Azure Hybrid Benefit (AHB)</t>
  </si>
  <si>
    <t>Azure Hybrid Benefit</t>
  </si>
  <si>
    <t>Windows Server license applied?</t>
  </si>
  <si>
    <t>No</t>
  </si>
  <si>
    <t>Enterprise Linux subscription applied?</t>
  </si>
  <si>
    <t>▸ Security</t>
  </si>
  <si>
    <t>Security</t>
  </si>
  <si>
    <t>Include Microsoft Defender for Cloud?</t>
  </si>
  <si>
    <t>▸ Additional Baseline Rules</t>
  </si>
  <si>
    <t>Baseline rules</t>
  </si>
  <si>
    <t>VM sizing method</t>
  </si>
  <si>
    <t>Right-size using utilization data (where available)</t>
  </si>
  <si>
    <t>Same</t>
  </si>
  <si>
    <t>On-prem VM SKU mapping</t>
  </si>
  <si>
    <t>Do not map on-prem to identical cloud SKU</t>
  </si>
  <si>
    <t>Storage type</t>
  </si>
  <si>
    <t>Use Premium SSD and Standard Disks</t>
  </si>
  <si>
    <t>Section 2 — Like-to-Like Option 1 (Part 2) - 3-Year Commitment Baseline</t>
  </si>
  <si>
    <t>3 year reservation</t>
  </si>
  <si>
    <t>Reservation term</t>
  </si>
  <si>
    <t>3 years</t>
  </si>
  <si>
    <t>Uptime assumption</t>
  </si>
  <si>
    <t>24x7 (744 hrs/month)</t>
  </si>
  <si>
    <t>Include Microsoft Defender for Cloud</t>
  </si>
  <si>
    <t>Section 3 — Optimized Option - Azure Migrate Assessment Settings</t>
  </si>
  <si>
    <t>▸ Optimization Framing</t>
  </si>
  <si>
    <t>Optimization framing</t>
  </si>
  <si>
    <t>Commitment model</t>
  </si>
  <si>
    <t>3-year commitment positioned as optimized baseline</t>
  </si>
  <si>
    <t>Subscription program offer discount (EA/MCA)</t>
  </si>
  <si>
    <t>TBD (with Microsoft)</t>
  </si>
  <si>
    <t>TBD</t>
  </si>
  <si>
    <t>Discount %</t>
  </si>
  <si>
    <t>▸ VM Sizing</t>
  </si>
  <si>
    <t>VM sizing</t>
  </si>
  <si>
    <t>VM series allowed</t>
  </si>
  <si>
    <t>Av2, Dadsv5, Dasv4/v5, Dav4, Ddsv4/v5, Ddv4/v5, Dpdsv6, Dsv4/v5, Dv4/v5, Edsv5, Edv5, Esv5, Ev5, Edsv6, Esv6, Eadsv5, Easv4/v5, Eav4, Ebdsv5, Ebsv5, Edsv4, Edv4, Epdsv6, Epsv6, Esv4, Ev4, F, Fs, Fsv2, G, GS, Lasv3, Lsv2/v3, M, Mdsv2/v3, Msv2/v3, Mv2</t>
  </si>
  <si>
    <t>▸ Storage Sizing</t>
  </si>
  <si>
    <t>Storage sizing</t>
  </si>
  <si>
    <t>Premium managed disks, Standard SSD managed disks, Ultra disks</t>
  </si>
  <si>
    <t>▸ Security Settings</t>
  </si>
  <si>
    <t>Security settings</t>
  </si>
  <si>
    <t>VM security type</t>
  </si>
  <si>
    <t>Standard, Trusted launch VM</t>
  </si>
  <si>
    <t>Enable Zone Redundant Storage (ZRS)</t>
  </si>
  <si>
    <t>▸ Notes &amp; Best Practices</t>
  </si>
  <si>
    <t>Notes</t>
  </si>
  <si>
    <t>Right-sizing</t>
  </si>
  <si>
    <t>Use utilization data and performance-based sizing</t>
  </si>
  <si>
    <t>Licensing (AHB/Defender)</t>
  </si>
  <si>
    <t>Include only AHB not Defender</t>
  </si>
  <si>
    <t>Section 4 — Assumptions Summary (Applies to All TCOs Unless Stated)</t>
  </si>
  <si>
    <t>Area</t>
  </si>
  <si>
    <t>Assumption</t>
  </si>
  <si>
    <t>Applies To</t>
  </si>
  <si>
    <t>Status</t>
  </si>
  <si>
    <t>Regions</t>
  </si>
  <si>
    <t>Generate TCOs for Region A, Region B, Region C</t>
  </si>
  <si>
    <t>All</t>
  </si>
  <si>
    <t>✅ Confirmed</t>
  </si>
  <si>
    <t>Three primary regions for customer</t>
  </si>
  <si>
    <t>Use USD for all regional TCOs (or customer-preferred currency)</t>
  </si>
  <si>
    <t>Select based on customer region</t>
  </si>
  <si>
    <t>Baseline structure</t>
  </si>
  <si>
    <t>Like-to-like baseline has 2 constructs: PAYG and 3-year commitment (no extra optimizations)</t>
  </si>
  <si>
    <t>Baseline</t>
  </si>
  <si>
    <t>Two separate baseline views</t>
  </si>
  <si>
    <t>Azure reporting</t>
  </si>
  <si>
    <t>Azure will generate 2 internal TCO views (PAYG + 3-year). External summary is a single unified narrative</t>
  </si>
  <si>
    <t>Simplified external reporting</t>
  </si>
  <si>
    <t>Use utilization data (where available) and performance-based sizing. Do not map on-prem SKU 1:1</t>
  </si>
  <si>
    <t>Performance-based approach</t>
  </si>
  <si>
    <t>Baseline licensing</t>
  </si>
  <si>
    <t>Do not apply Azure Hybrid Benefit (AHB) in LTL baseline scenarios</t>
  </si>
  <si>
    <t>AHB only in Optimized view</t>
  </si>
  <si>
    <t>Baseline security add-ons</t>
  </si>
  <si>
    <t>Do not include Defender for Cloud in both baseline scenarios</t>
  </si>
  <si>
    <t>Security add-ons excluded</t>
  </si>
  <si>
    <t>Baseline storage</t>
  </si>
  <si>
    <t>Both Options uses Premium SSD and Standard SSD</t>
  </si>
  <si>
    <t>Consistent storage approach</t>
  </si>
  <si>
    <t>Program offer pricing</t>
  </si>
  <si>
    <t>Microsoft to share the EA/MCA subscription program offer discounts and what % can be stated for Customer</t>
  </si>
  <si>
    <t>Optimized</t>
  </si>
  <si>
    <t>⏳ Pending</t>
  </si>
  <si>
    <t>Awaiting Microsoft confirmation</t>
  </si>
  <si>
    <t>Discount visibility</t>
  </si>
  <si>
    <t>Need Microsoft validation for any figures</t>
  </si>
  <si>
    <t>Commercial validation required</t>
  </si>
  <si>
    <t>Assessment tool</t>
  </si>
  <si>
    <t>Azure Migrate used for all assessments</t>
  </si>
  <si>
    <t>Standard discovery tool</t>
  </si>
  <si>
    <t>Section 5 — Key Differences: LTL PAYG vs LTL 3-Year vs Optimized</t>
  </si>
  <si>
    <t>LTL Option 1 - PAYG</t>
  </si>
  <si>
    <t>LTL Option 1 - 3 Year</t>
  </si>
  <si>
    <t>Optimized Option</t>
  </si>
  <si>
    <t>Recommendation</t>
  </si>
  <si>
    <t>Savings Option</t>
  </si>
  <si>
    <t>None (On-Demand)</t>
  </si>
  <si>
    <t>3 Year Reservation</t>
  </si>
  <si>
    <t>3 Year + AHB</t>
  </si>
  <si>
    <t>🟢 Optimized for max savings</t>
  </si>
  <si>
    <t>TBD (EA/MCA)</t>
  </si>
  <si>
    <t>Await Microsoft quote</t>
  </si>
  <si>
    <t>Sizing Criteria</t>
  </si>
  <si>
    <t>Consistent approach</t>
  </si>
  <si>
    <t>Performance History</t>
  </si>
  <si>
    <t>30-day baseline</t>
  </si>
  <si>
    <t>Percentile</t>
  </si>
  <si>
    <t>P95 for peak coverage</t>
  </si>
  <si>
    <t>Comfort Factor</t>
  </si>
  <si>
    <t>1.0x (100%)</t>
  </si>
  <si>
    <t>No additional buffer</t>
  </si>
  <si>
    <t>Storage Type</t>
  </si>
  <si>
    <t>Premium, Standard, Ultra</t>
  </si>
  <si>
    <t>Optimized adds Ultra</t>
  </si>
  <si>
    <t>Windows AHB</t>
  </si>
  <si>
    <t>Yes (included)</t>
  </si>
  <si>
    <t>🟢 Optimized only</t>
  </si>
  <si>
    <t>Linux Subscription</t>
  </si>
  <si>
    <t>Not applied</t>
  </si>
  <si>
    <t>Defender for Cloud</t>
  </si>
  <si>
    <t>Excluded from all</t>
  </si>
  <si>
    <t>VM Series</t>
  </si>
  <si>
    <t>General Purpose</t>
  </si>
  <si>
    <t>All optimized series</t>
  </si>
  <si>
    <t>🟢 Wider selection</t>
  </si>
  <si>
    <t>Security Type</t>
  </si>
  <si>
    <t>Standard</t>
  </si>
  <si>
    <t>Standard + Trusted Launch</t>
  </si>
  <si>
    <t>Enhanced in Optimized</t>
  </si>
  <si>
    <t>Zone Redundant Storage</t>
  </si>
  <si>
    <t>Not enabled</t>
  </si>
  <si>
    <t>Use Case</t>
  </si>
  <si>
    <t>Baseline comparison</t>
  </si>
  <si>
    <t>Commitment baseline</t>
  </si>
  <si>
    <t>Target state</t>
  </si>
  <si>
    <t>🟢 Recommended target</t>
  </si>
  <si>
    <t>Section 6 — Assumptions Sign-Off &amp; Approval</t>
  </si>
  <si>
    <t>Role</t>
  </si>
  <si>
    <t>Name</t>
  </si>
  <si>
    <t>Date</t>
  </si>
  <si>
    <t>Signature / Approval</t>
  </si>
  <si>
    <t>Cloud Solutions Architect</t>
  </si>
  <si>
    <t>[Enter Name]</t>
  </si>
  <si>
    <t>[Enter Date]</t>
  </si>
  <si>
    <t>Project Manager</t>
  </si>
  <si>
    <t>Finance Representative</t>
  </si>
  <si>
    <t>Microsoft Account Team</t>
  </si>
  <si>
    <t>Application Owner</t>
  </si>
  <si>
    <t>Executive Sponsor</t>
  </si>
  <si>
    <t>⚠️ IMPORTANT NOTES</t>
  </si>
  <si>
    <t>• All assumptions must be validated and approved before finalizing the Azure TCO analysis.</t>
  </si>
  <si>
    <t>• Microsoft EA/MCA discount % requires validation from Microsoft Account Team before publication.</t>
  </si>
  <si>
    <t>• Both LTL (PAYG &amp; 3-Year) and Optimized views should be presented to stakeholders for comparison.</t>
  </si>
  <si>
    <t>• Azure Migrate assessments should be regenerated if infrastructure changes significantly.</t>
  </si>
  <si>
    <t>• Currency (USD or customer-preferred) must match across all TCO documents and the Azure Evaluation sheet.</t>
  </si>
  <si>
    <t>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</si>
  <si>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➡️  Navigate to 'Azure Evaluation' sheet to apply these assumptions and complete the assessment</t>
  </si>
  <si>
    <t>© 2026 Cloud Readiness Accelerator Framework | Azure Migration TCO Assumptions | Version 1.0 | All Rights Reserved</t>
  </si>
  <si>
    <t>AZURE CLOUD READINESS ASSESSMENT</t>
  </si>
  <si>
    <t>Executive Evaluation Framework</t>
  </si>
  <si>
    <t>Version 1.0  |  Classification: Confidential  |  Phase: Evaluation  |  Requirements: 4.1, 4.2, 4.3, 4.6</t>
  </si>
  <si>
    <t>💱 Currency: USD ($) — All costs displayed in US Dollars. To change currency, update number format to desired locale (GBP, EUR, AUD, etc.)</t>
  </si>
  <si>
    <t>📋 ASSESSMENT STATUS: TEMPLATE READY — Complete all sections below to finalize evaluation</t>
  </si>
  <si>
    <t>Maps current infrastructure components to recommended Azure target services with compatibility assessment</t>
  </si>
  <si>
    <t>Application / Workload</t>
  </si>
  <si>
    <t>Current Platform</t>
  </si>
  <si>
    <t>Azure Target Service</t>
  </si>
  <si>
    <t>Compatibility</t>
  </si>
  <si>
    <t>Migration Approach</t>
  </si>
  <si>
    <t>Notes / Assumptions</t>
  </si>
  <si>
    <t>▸ COMPUTE SERVICES MAPPING</t>
  </si>
  <si>
    <t>Current Infrastructure</t>
  </si>
  <si>
    <t>Recommended VM Series</t>
  </si>
  <si>
    <t>Sizing Approach</t>
  </si>
  <si>
    <t>AHB Eligible</t>
  </si>
  <si>
    <t>Physical Servers</t>
  </si>
  <si>
    <t>Azure Virtual Machines</t>
  </si>
  <si>
    <t>D / E / F / M-series</t>
  </si>
  <si>
    <t>Yes (Windows)</t>
  </si>
  <si>
    <t>VMware VMs</t>
  </si>
  <si>
    <t>Azure VMware Solution / Azure VMs</t>
  </si>
  <si>
    <t>As per assessment</t>
  </si>
  <si>
    <t>Containers</t>
  </si>
  <si>
    <t>Azure Kubernetes Service (AKS)</t>
  </si>
  <si>
    <t>N/A</t>
  </si>
  <si>
    <t>Right-sized</t>
  </si>
  <si>
    <t>Windows Servers</t>
  </si>
  <si>
    <t>Azure VMs (AHB eligible)</t>
  </si>
  <si>
    <t>D / E-series</t>
  </si>
  <si>
    <t>Yes</t>
  </si>
  <si>
    <t>Linux Servers</t>
  </si>
  <si>
    <t>Azure VMs</t>
  </si>
  <si>
    <t>RHEL/SUSE eligible</t>
  </si>
  <si>
    <t>▸ DATABASE SERVICES MAPPING</t>
  </si>
  <si>
    <t>Current Database</t>
  </si>
  <si>
    <t>Migration Path</t>
  </si>
  <si>
    <t>Licensing Model</t>
  </si>
  <si>
    <t>Quantity</t>
  </si>
  <si>
    <t>SQL Server</t>
  </si>
  <si>
    <t>Azure SQL MI / Azure SQL DB</t>
  </si>
  <si>
    <t>DMS Migration</t>
  </si>
  <si>
    <t>AHB / PAYG</t>
  </si>
  <si>
    <t>Oracle</t>
  </si>
  <si>
    <t>Oracle on Azure VM / PostgreSQL</t>
  </si>
  <si>
    <t>Lift &amp; Shift / Refactor</t>
  </si>
  <si>
    <t>BYOL</t>
  </si>
  <si>
    <t>MySQL</t>
  </si>
  <si>
    <t>Azure Database for MySQL</t>
  </si>
  <si>
    <t>PAYG</t>
  </si>
  <si>
    <t>PostgreSQL</t>
  </si>
  <si>
    <t>Azure Database for PostgreSQL</t>
  </si>
  <si>
    <t>SECTION 1B  —  SERVER READINESS &amp; SUPPORT STATUS ANALYSIS</t>
  </si>
  <si>
    <t>Comprehensive analysis of server lifecycle status, migration readiness, and operating system distribution</t>
  </si>
  <si>
    <t>▸ END-OF-LIFE (EOL) &amp; SUPPORT STATUS</t>
  </si>
  <si>
    <t>Support Status</t>
  </si>
  <si>
    <t>Server Count</t>
  </si>
  <si>
    <t>% of Total</t>
  </si>
  <si>
    <t>Risk Level</t>
  </si>
  <si>
    <t>Action Required</t>
  </si>
  <si>
    <t>Target Date</t>
  </si>
  <si>
    <t>🔴 End-of-Life (EOL)</t>
  </si>
  <si>
    <t>Critical</t>
  </si>
  <si>
    <t>Immediate upgrade/replacement required</t>
  </si>
  <si>
    <t>🟠 Extended Support (ESU)</t>
  </si>
  <si>
    <t>High</t>
  </si>
  <si>
    <t>Plan migration within 12 months</t>
  </si>
  <si>
    <t>🟡 Mainstream Support Ending</t>
  </si>
  <si>
    <t>Medium</t>
  </si>
  <si>
    <t>Plan migration within 24 months</t>
  </si>
  <si>
    <t>🟢 Fully Supported</t>
  </si>
  <si>
    <t>Low</t>
  </si>
  <si>
    <t>Standard migration timeline</t>
  </si>
  <si>
    <t>TOTAL SERVERS</t>
  </si>
  <si>
    <t>▸ MIGRATION READINESS STATUS</t>
  </si>
  <si>
    <t>Readiness Status</t>
  </si>
  <si>
    <t>Blockers / Conditions</t>
  </si>
  <si>
    <t>Remediation Required</t>
  </si>
  <si>
    <t>Est. Effort</t>
  </si>
  <si>
    <t>🟢 Ready for Migration</t>
  </si>
  <si>
    <t>🟡 Ready with Conditions</t>
  </si>
  <si>
    <t>🟠 Requires Remediation</t>
  </si>
  <si>
    <t>🔴 Not Ready for Migration</t>
  </si>
  <si>
    <t>▸ SERVER COUNT BY OPERATING SYSTEM</t>
  </si>
  <si>
    <t>Operating System</t>
  </si>
  <si>
    <t>Version</t>
  </si>
  <si>
    <t>Windows Server</t>
  </si>
  <si>
    <t>🟡 Mainstream Ending</t>
  </si>
  <si>
    <t>2012 R2</t>
  </si>
  <si>
    <t>🔴 EOL (ESU Available)</t>
  </si>
  <si>
    <t>2008 R2</t>
  </si>
  <si>
    <t>🔴 EOL</t>
  </si>
  <si>
    <t>Red Hat Enterprise Linux</t>
  </si>
  <si>
    <t>8.x / 9.x</t>
  </si>
  <si>
    <t>RHEL Sub</t>
  </si>
  <si>
    <t>SUSE Linux Enterprise</t>
  </si>
  <si>
    <t>15.x</t>
  </si>
  <si>
    <t>SUSE Sub</t>
  </si>
  <si>
    <t>Ubuntu Server</t>
  </si>
  <si>
    <t>20.04 / 22.04 LTS</t>
  </si>
  <si>
    <t>CentOS / Other Linux</t>
  </si>
  <si>
    <t>Various</t>
  </si>
  <si>
    <t>🟠 Varies</t>
  </si>
  <si>
    <t>▸ EXECUTIVE SUMMARY METRICS</t>
  </si>
  <si>
    <t>Metric</t>
  </si>
  <si>
    <t>Value</t>
  </si>
  <si>
    <t>Total Servers in Scope</t>
  </si>
  <si>
    <t>From Azure Migrate Discovery</t>
  </si>
  <si>
    <t>Servers Requiring Immediate Action (EOL)</t>
  </si>
  <si>
    <t>End-of-Life systems requiring immediate attention</t>
  </si>
  <si>
    <t>Servers Ready for Migration</t>
  </si>
  <si>
    <t>No blockers identified</t>
  </si>
  <si>
    <t>Servers Not Ready for Migration</t>
  </si>
  <si>
    <t>Requires remediation before migration</t>
  </si>
  <si>
    <t>Overall Migration Readiness %</t>
  </si>
  <si>
    <t>(Ready + Ready with Conditions) / Total</t>
  </si>
  <si>
    <t>Comparative analysis of Azure regions for optimal workload placement based on cost, compliance, and latency</t>
  </si>
  <si>
    <t>📊 Reference: Azure Migrate Assessment — Region A, Region B, Region C</t>
  </si>
  <si>
    <t>Assessment Factor</t>
  </si>
  <si>
    <t>Preferred</t>
  </si>
  <si>
    <t>Rationale</t>
  </si>
  <si>
    <t>Compute Cost (Monthly)</t>
  </si>
  <si>
    <t>Storage Cost (Monthly)</t>
  </si>
  <si>
    <t>Database Cost (Monthly)</t>
  </si>
  <si>
    <t>Data Transfer Cost</t>
  </si>
  <si>
    <t>Total Monthly — PAYG</t>
  </si>
  <si>
    <t>Total Monthly — AHB</t>
  </si>
  <si>
    <t>Total Monthly — RI 1-Year</t>
  </si>
  <si>
    <t>Total Monthly — RI 3-Year</t>
  </si>
  <si>
    <t>Data Residency Compliant</t>
  </si>
  <si>
    <t>Latency to End Users (ms)</t>
  </si>
  <si>
    <t>Paired Region for DR</t>
  </si>
  <si>
    <t>▸ REGIONAL RECOMMENDATION</t>
  </si>
  <si>
    <t>Primary Region</t>
  </si>
  <si>
    <t>Secondary Region (DR)</t>
  </si>
  <si>
    <t>Selection Rationale</t>
  </si>
  <si>
    <t>[Select Region]</t>
  </si>
  <si>
    <t>[Enter rationale based on cost, compliance, and latency analysis]</t>
  </si>
  <si>
    <t>Comprehensive cost analysis comparing PAYG, Azure Hybrid Benefit (AHB), and Reserved Instance pricing models</t>
  </si>
  <si>
    <t>▸ COST MODEL COMPARISON</t>
  </si>
  <si>
    <t>Pricing Model</t>
  </si>
  <si>
    <t>Monthly Cost ($)</t>
  </si>
  <si>
    <t>Annual Cost ($)</t>
  </si>
  <si>
    <t>3-Year Total ($)</t>
  </si>
  <si>
    <t>Savings vs PAYG</t>
  </si>
  <si>
    <t>Pay-As-You-Go (PAYG)</t>
  </si>
  <si>
    <t>—</t>
  </si>
  <si>
    <t>Baseline pricing</t>
  </si>
  <si>
    <t>Azure Hybrid Benefit (AHB)</t>
  </si>
  <si>
    <t>Requires Windows/SQL SA</t>
  </si>
  <si>
    <t>Reserved Instance — 1 Year</t>
  </si>
  <si>
    <t>1-year commitment</t>
  </si>
  <si>
    <t>Reserved Instance — 3 Year</t>
  </si>
  <si>
    <t>3-year commitment</t>
  </si>
  <si>
    <t>RI 3-Year + AHB (Optimized)</t>
  </si>
  <si>
    <t>Maximum savings</t>
  </si>
  <si>
    <t>▸ AZURE HYBRID BENEFIT (AHB) ELIGIBILITY</t>
  </si>
  <si>
    <t>License Type</t>
  </si>
  <si>
    <t>Licenses with SA</t>
  </si>
  <si>
    <t>Azure Coverage</t>
  </si>
  <si>
    <t>Est. Monthly Savings ($)</t>
  </si>
  <si>
    <t>Est. Annual Savings ($)</t>
  </si>
  <si>
    <t>SQL Server Standard</t>
  </si>
  <si>
    <t>SQL Server Enterprise</t>
  </si>
  <si>
    <t>TOTAL AHB SAVINGS</t>
  </si>
  <si>
    <t>▸ RECOMMENDED PRICING MODEL</t>
  </si>
  <si>
    <t>Recommended Model</t>
  </si>
  <si>
    <t>Annual Savings ($)</t>
  </si>
  <si>
    <t>ROI %</t>
  </si>
  <si>
    <t>Justification</t>
  </si>
  <si>
    <t>[Select Model]</t>
  </si>
  <si>
    <t>[Enter justification]</t>
  </si>
  <si>
    <t>Azure native tools and services recommended for workload discovery, assessment, and migration execution</t>
  </si>
  <si>
    <t>Azure Tool / Service</t>
  </si>
  <si>
    <t>Purpose</t>
  </si>
  <si>
    <t>Applicable Workloads</t>
  </si>
  <si>
    <t>Licensing</t>
  </si>
  <si>
    <t>Readiness</t>
  </si>
  <si>
    <t>Discovery, assessment, dependency mapping</t>
  </si>
  <si>
    <t>All workloads</t>
  </si>
  <si>
    <t>Free</t>
  </si>
  <si>
    <t>Primary assessment tool</t>
  </si>
  <si>
    <t>Database schema and data migration</t>
  </si>
  <si>
    <t>SQL, MySQL, PostgreSQL, Oracle</t>
  </si>
  <si>
    <t>Free / Premium</t>
  </si>
  <si>
    <t>Online and offline modes</t>
  </si>
  <si>
    <t>Weighted scoring framework to objectively assess Azure suitability for the customer's workload requirements</t>
  </si>
  <si>
    <t>Evaluation Factor</t>
  </si>
  <si>
    <t>Weight</t>
  </si>
  <si>
    <t>Score (0-100)</t>
  </si>
  <si>
    <t>Weighted Score</t>
  </si>
  <si>
    <t>Evidence / Rationale</t>
  </si>
  <si>
    <t>Improvement Actions</t>
  </si>
  <si>
    <t>Service Compatibility</t>
  </si>
  <si>
    <t>Cost Competitiveness</t>
  </si>
  <si>
    <t>Regional Availability &amp; Compliance</t>
  </si>
  <si>
    <t>Migration Tooling &amp; Support</t>
  </si>
  <si>
    <t>Team Skills &amp; Expertise</t>
  </si>
  <si>
    <t>Vendor Relationship (EA/CSP)</t>
  </si>
  <si>
    <t>Strategic Alignment</t>
  </si>
  <si>
    <t>AZURE FIT SCORE</t>
  </si>
  <si>
    <t>Industry Benchmark: 70-90</t>
  </si>
  <si>
    <t>▸ FIT SCORE INTERPRETATION GUIDE</t>
  </si>
  <si>
    <t>Score Range</t>
  </si>
  <si>
    <t>Rating</t>
  </si>
  <si>
    <t>Interpretation</t>
  </si>
  <si>
    <t>Recommended Action</t>
  </si>
  <si>
    <t>🟢 Strong Fit</t>
  </si>
  <si>
    <t>🟡 Moderate Fit</t>
  </si>
  <si>
    <t>🟠 Conditional Fit</t>
  </si>
  <si>
    <t>Conduct detailed gap analysis; consider hybrid approach</t>
  </si>
  <si>
    <t>🔴 Poor Fit</t>
  </si>
  <si>
    <t>Azure may not be optimal for this workload</t>
  </si>
  <si>
    <t>Evaluate alternative platforms (AWS, GCP, Private Cloud)</t>
  </si>
  <si>
    <t>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</si>
  <si>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Cloud Readiness Accelerator Framework  |  Azure Evaluation  |  Version 1.0  |  April 2026</t>
  </si>
  <si>
    <t>AZURE COMPATIBILITY EXCLUSIONS &amp; LIMITATIONS</t>
  </si>
  <si>
    <t>Regions &amp; Operating Systems Not Supported or with Limited Support in Microsoft Azure</t>
  </si>
  <si>
    <t>Version 1.0  |  Classification: Confidential  |  Last Updated: April 2026  |  Source: Microsoft Azure Documentation</t>
  </si>
  <si>
    <t>📌 PURPOSE: This sheet documents Azure regions with restricted availability and operating systems that are not supported or have limited support for Azure migration.</t>
  </si>
  <si>
    <t>SECTION 1  —  AZURE REGIONS: RESTRICTED OR UNAVAILABLE</t>
  </si>
  <si>
    <t>Regions where Azure services are not available, restricted, or require special sovereign cloud access</t>
  </si>
  <si>
    <t>▸ REGIONS WHERE AZURE IS NOT AVAILABLE</t>
  </si>
  <si>
    <t>Region / Country</t>
  </si>
  <si>
    <t>Availability Status</t>
  </si>
  <si>
    <t>Reason</t>
  </si>
  <si>
    <t>Alternative Region</t>
  </si>
  <si>
    <t>Russia</t>
  </si>
  <si>
    <t>🔴 Not Available</t>
  </si>
  <si>
    <t>Sanctions &amp; Regulatory</t>
  </si>
  <si>
    <t>No Azure presence due to geopolitical restrictions</t>
  </si>
  <si>
    <t>Belarus</t>
  </si>
  <si>
    <t>No Azure presence</t>
  </si>
  <si>
    <t>North Korea</t>
  </si>
  <si>
    <t>No Azure services available</t>
  </si>
  <si>
    <t>Iran</t>
  </si>
  <si>
    <t>Syria</t>
  </si>
  <si>
    <t>Cuba</t>
  </si>
  <si>
    <t>Crimea Region</t>
  </si>
  <si>
    <t>Disputed territory - no services</t>
  </si>
  <si>
    <t>[Add Region]</t>
  </si>
  <si>
    <t>▸ SOVEREIGN CLOUDS &amp; RESTRICTED ACCESS REGIONS</t>
  </si>
  <si>
    <t>Region / Cloud</t>
  </si>
  <si>
    <t>Access Type</t>
  </si>
  <si>
    <t>Requirements</t>
  </si>
  <si>
    <t>Target Customers</t>
  </si>
  <si>
    <t>Azure Government (US)</t>
  </si>
  <si>
    <t>🟠 Restricted</t>
  </si>
  <si>
    <t>US Govt clearance required</t>
  </si>
  <si>
    <t>US Federal, State, Local Govt</t>
  </si>
  <si>
    <t>FedRAMP High, DoD IL2-IL6</t>
  </si>
  <si>
    <t>Azure Government Secret</t>
  </si>
  <si>
    <t>🔴 Highly Restricted</t>
  </si>
  <si>
    <t>Secret clearance required</t>
  </si>
  <si>
    <t>US Intelligence Community</t>
  </si>
  <si>
    <t>Air-gapped environment</t>
  </si>
  <si>
    <t>Azure Government Top Secret</t>
  </si>
  <si>
    <t>Top Secret clearance</t>
  </si>
  <si>
    <t>Air-gapped, ITAR compliant</t>
  </si>
  <si>
    <t>Azure China (21Vianet)</t>
  </si>
  <si>
    <t>China business entity required</t>
  </si>
  <si>
    <t>China-based organizations</t>
  </si>
  <si>
    <t>Operated by 21Vianet, separate identity</t>
  </si>
  <si>
    <t>Azure Germany (Legacy)</t>
  </si>
  <si>
    <t>🔴 Deprecated</t>
  </si>
  <si>
    <t>N/A - Closed to new customers</t>
  </si>
  <si>
    <t>Legacy German customers</t>
  </si>
  <si>
    <t>Migrate to Germany West Central</t>
  </si>
  <si>
    <t>SECTION 2  —  OPERATING SYSTEMS: NOT SUPPORTED OR END-OF-LIFE</t>
  </si>
  <si>
    <t>Operating systems that cannot be migrated to Azure or require significant remediation</t>
  </si>
  <si>
    <t>▸ WINDOWS OPERATING SYSTEMS — NOT SUPPORTED</t>
  </si>
  <si>
    <t>Migration Option</t>
  </si>
  <si>
    <t>2003 / 2003 R2</t>
  </si>
  <si>
    <t>🔴 Not Supported</t>
  </si>
  <si>
    <t>None - Cannot migrate</t>
  </si>
  <si>
    <t>Rebuild on Windows Server 2019/2022</t>
  </si>
  <si>
    <t>Rebuild on modern OS</t>
  </si>
  <si>
    <t>Windows NT</t>
  </si>
  <si>
    <t>Application modernization required</t>
  </si>
  <si>
    <t>2008 (without SP2)</t>
  </si>
  <si>
    <t>Upgrade to 2008 SP2 first</t>
  </si>
  <si>
    <t>Apply SP2 then use ESU</t>
  </si>
  <si>
    <t>32-bit versions</t>
  </si>
  <si>
    <t>None - Azure is 64-bit only</t>
  </si>
  <si>
    <t>Rebuild on 64-bit OS</t>
  </si>
  <si>
    <t>Windows Desktop</t>
  </si>
  <si>
    <t>Win 7/8/10 (non-VDI)</t>
  </si>
  <si>
    <t>🟠 Limited</t>
  </si>
  <si>
    <t>Azure Virtual Desktop only</t>
  </si>
  <si>
    <t>Use AVD for desktop workloads</t>
  </si>
  <si>
    <t>Windows XP</t>
  </si>
  <si>
    <t>All versions</t>
  </si>
  <si>
    <t>[Add OS]</t>
  </si>
  <si>
    <t>▸ LINUX OPERATING SYSTEMS — NOT SUPPORTED OR LIMITED</t>
  </si>
  <si>
    <t>CentOS</t>
  </si>
  <si>
    <t>6.x and earlier</t>
  </si>
  <si>
    <t>Migrate to RHEL 8/9 or Rocky Linux</t>
  </si>
  <si>
    <t>8 (EOL Dec 2021)</t>
  </si>
  <si>
    <t>🟠 Limited Support</t>
  </si>
  <si>
    <t>Best effort only</t>
  </si>
  <si>
    <t>Migrate to Rocky Linux or RHEL</t>
  </si>
  <si>
    <t>CentOS Stream</t>
  </si>
  <si>
    <t>Community support only</t>
  </si>
  <si>
    <t>Consider RHEL for production</t>
  </si>
  <si>
    <t>RHEL</t>
  </si>
  <si>
    <t>5.x and earlier</t>
  </si>
  <si>
    <t>Upgrade to RHEL 7.9+ or RHEL 8/9</t>
  </si>
  <si>
    <t>6.x</t>
  </si>
  <si>
    <t>🟠 EOL (ESU Available)</t>
  </si>
  <si>
    <t>Extended support available</t>
  </si>
  <si>
    <t>Plan upgrade to RHEL 8/9</t>
  </si>
  <si>
    <t>Ubuntu</t>
  </si>
  <si>
    <t>14.04 and earlier</t>
  </si>
  <si>
    <t>Upgrade to Ubuntu 20.04/22.04 LTS</t>
  </si>
  <si>
    <t>16.04 LTS</t>
  </si>
  <si>
    <t>🟠 EOL (ESM Available)</t>
  </si>
  <si>
    <t>Ubuntu Pro ESM</t>
  </si>
  <si>
    <t>Plan upgrade to 20.04/22.04</t>
  </si>
  <si>
    <t>SUSE SLES</t>
  </si>
  <si>
    <t>11 and earlier</t>
  </si>
  <si>
    <t>Upgrade to SLES 15</t>
  </si>
  <si>
    <t>Debian</t>
  </si>
  <si>
    <t>8 (Jessie) &amp; earlier</t>
  </si>
  <si>
    <t>Upgrade to Debian 10/11/12</t>
  </si>
  <si>
    <t>Oracle Linux</t>
  </si>
  <si>
    <t>Upgrade to Oracle Linux 8/9</t>
  </si>
  <si>
    <t>Amazon Linux</t>
  </si>
  <si>
    <t>Not endorsed by Azure</t>
  </si>
  <si>
    <t>Migrate to RHEL, Ubuntu, or SLES</t>
  </si>
  <si>
    <t>Alpine Linux</t>
  </si>
  <si>
    <t>Container use only</t>
  </si>
  <si>
    <t>Use for containers, not VMs</t>
  </si>
  <si>
    <t>32-bit Linux</t>
  </si>
  <si>
    <t>Any distribution</t>
  </si>
  <si>
    <t>None - Azure 64-bit only</t>
  </si>
  <si>
    <t>Rebuild on 64-bit distribution</t>
  </si>
  <si>
    <t>▸ OTHER OPERATING SYSTEMS — NOT SUPPORTED</t>
  </si>
  <si>
    <t>Type</t>
  </si>
  <si>
    <t>IBM AIX</t>
  </si>
  <si>
    <t>Unix</t>
  </si>
  <si>
    <t>None - No Azure support</t>
  </si>
  <si>
    <t>Replatform to Linux or use Skytap</t>
  </si>
  <si>
    <t>HP-UX</t>
  </si>
  <si>
    <t>Replatform to Linux</t>
  </si>
  <si>
    <t>Oracle Solaris</t>
  </si>
  <si>
    <t>Replatform to Linux or Oracle Cloud</t>
  </si>
  <si>
    <t>FreeBSD</t>
  </si>
  <si>
    <t>Unix-like</t>
  </si>
  <si>
    <t>🟡 Limited Support</t>
  </si>
  <si>
    <t>Specific versions only</t>
  </si>
  <si>
    <t>Check Azure endorsed versions</t>
  </si>
  <si>
    <t>macOS</t>
  </si>
  <si>
    <t>Apple</t>
  </si>
  <si>
    <t>None - Licensing restriction</t>
  </si>
  <si>
    <t>Use Mac-as-a-Service providers</t>
  </si>
  <si>
    <t>VMware ESXi</t>
  </si>
  <si>
    <t>Hypervisor</t>
  </si>
  <si>
    <t>Azure VMware Solution</t>
  </si>
  <si>
    <t>Use AVS for VMware workloads</t>
  </si>
  <si>
    <t>Novell NetWare</t>
  </si>
  <si>
    <t>Network OS</t>
  </si>
  <si>
    <t>Modernize to Windows/Linux</t>
  </si>
  <si>
    <t>SECTION 3  —  CUSTOMER ENVIRONMENT IMPACT SUMMARY</t>
  </si>
  <si>
    <t>Enter counts from Azure Migrate discovery to identify affected servers requiring remediation</t>
  </si>
  <si>
    <t>Count</t>
  </si>
  <si>
    <t>Impact Level</t>
  </si>
  <si>
    <t>Servers with Unsupported Windows OS</t>
  </si>
  <si>
    <t>Rebuild or upgrade before migration</t>
  </si>
  <si>
    <t>Servers with Unsupported Linux OS</t>
  </si>
  <si>
    <t>Servers with EOL OS (ESU Available)</t>
  </si>
  <si>
    <t>🟠 High</t>
  </si>
  <si>
    <t>Apply ESU or plan upgrade</t>
  </si>
  <si>
    <t>Servers with 32-bit OS</t>
  </si>
  <si>
    <t>Servers with Unsupported Unix OS</t>
  </si>
  <si>
    <t>Servers in Restricted Regions</t>
  </si>
  <si>
    <t>Relocate or use alternative cloud</t>
  </si>
  <si>
    <t>TOTAL AFFECTED SERVERS</t>
  </si>
  <si>
    <t>⚠️ IMPORTANT NOTES &amp; MICROSOFT LEARN REFERENCES</t>
  </si>
  <si>
    <t>• Azure Supported OS List: https://learn.microsoft.com/en-us/azure/virtual-machines/linux/endorsed-distros</t>
  </si>
  <si>
    <t>• Windows Server ESU in Azure: https://learn.microsoft.com/en-us/azure/azure-arc/servers/deliver-extended-security-updates</t>
  </si>
  <si>
    <t>• Azure Government Documentation: https://learn.microsoft.com/en-us/azure/azure-government/documentation-government-welcome</t>
  </si>
  <si>
    <t>• Azure China (21Vianet): https://learn.microsoft.com/en-us/azure/china/overview-operations</t>
  </si>
  <si>
    <t>• Azure Regions: https://learn.microsoft.com/en-us/azure/reliability/availability-zones-overview</t>
  </si>
  <si>
    <t>• Azure Migrate Overview: https://learn.microsoft.com/en-us/azure/migrate/migrate-services-overview</t>
  </si>
  <si>
    <t>• Azure VM Sizes: https://learn.microsoft.com/en-us/azure/virtual-machines/sizes</t>
  </si>
  <si>
    <t>• Azure Hybrid Benefit: https://learn.microsoft.com/en-us/azure/azure-arc/servers/license-extended-security-updates</t>
  </si>
  <si>
    <t>• Azure Site Recovery: https://learn.microsoft.com/en-us/azure/site-recovery/site-recovery-overview</t>
  </si>
  <si>
    <t>• Azure Database Migration Service: https://learn.microsoft.com/en-us/azure/dms/dms-overview</t>
  </si>
  <si>
    <t>• Azure Pricing Calculator: https://azure.microsoft.com/en-us/pricing/calculator/</t>
  </si>
  <si>
    <t>• Azure TCO Calculator: https://azure.microsoft.com/en-us/pricing/tco/calculator/</t>
  </si>
  <si>
    <t>• Cloud Adoption Framework: https://learn.microsoft.com/en-us/azure/cloud-adoption-framework/</t>
  </si>
  <si>
    <t>• Azure Well-Architected Framework: https://learn.microsoft.com/en-us/azure/well-architected/</t>
  </si>
  <si>
    <t>• Azure Reserved Instances: https://learn.microsoft.com/en-us/azure/cost-management-billing/reservations/save-compute-costs-reservations</t>
  </si>
  <si>
    <t>📚 QUICK REFERENCE LINKS BY CATEGORY</t>
  </si>
  <si>
    <t>Resource</t>
  </si>
  <si>
    <t>URL</t>
  </si>
  <si>
    <t>Migration &amp; Assessment</t>
  </si>
  <si>
    <t>https://learn.microsoft.com/en-us/azure/migrate/</t>
  </si>
  <si>
    <t>Discovery, assessment, migration planning</t>
  </si>
  <si>
    <t>Azure Site Recovery</t>
  </si>
  <si>
    <t>https://learn.microsoft.com/en-us/azure/site-recovery/</t>
  </si>
  <si>
    <t>VM replication and disaster recovery</t>
  </si>
  <si>
    <t>Database Migration Service</t>
  </si>
  <si>
    <t>https://learn.microsoft.com/en-us/azure/dms/</t>
  </si>
  <si>
    <t>Cost Optimization</t>
  </si>
  <si>
    <t>https://azure.microsoft.com/pricing/calculator/</t>
  </si>
  <si>
    <t>Estimate Azure costs</t>
  </si>
  <si>
    <t>https://azure.microsoft.com/pricing/tco/</t>
  </si>
  <si>
    <t>Compare on-premises vs Azure costs</t>
  </si>
  <si>
    <t>https://learn.microsoft.com/en-us/azure/azure-arc/servers/license-extended-security-updates</t>
  </si>
  <si>
    <t>License mobility for Windows/SQL</t>
  </si>
  <si>
    <t>Reserved Instances</t>
  </si>
  <si>
    <t>https://learn.microsoft.com/en-us/azure/cost-management-billing/reservations/</t>
  </si>
  <si>
    <t>Save with 1-year or 3-year commitments</t>
  </si>
  <si>
    <t>Supported OS</t>
  </si>
  <si>
    <t>Linux Endorsed Distros</t>
  </si>
  <si>
    <t>https://learn.microsoft.com/en-us/azure/virtual-machines/linux/endorsed-distros</t>
  </si>
  <si>
    <t>Supported Linux distributions</t>
  </si>
  <si>
    <t>Windows Server Support</t>
  </si>
  <si>
    <t>https://learn.microsoft.com/en-us/azure/virtual-machines/windows/</t>
  </si>
  <si>
    <t>Windows VM documentation</t>
  </si>
  <si>
    <t>Extended Security Updates</t>
  </si>
  <si>
    <t>https://learn.microsoft.com/en-us/windows-server/get-started/extended-security-updates-overview</t>
  </si>
  <si>
    <t>ESU for Windows Server 2012/2008</t>
  </si>
  <si>
    <t>Governance &amp; Compliance</t>
  </si>
  <si>
    <t>Azure Government</t>
  </si>
  <si>
    <t>https://learn.microsoft.com/en-us/azure/azure-government/</t>
  </si>
  <si>
    <t>US Government cloud documentation</t>
  </si>
  <si>
    <t>Azure China</t>
  </si>
  <si>
    <t>https://learn.microsoft.com/en-us/azure/china/</t>
  </si>
  <si>
    <t>China cloud (21Vianet)</t>
  </si>
  <si>
    <t>Azure Regions</t>
  </si>
  <si>
    <t>https://learn.microsoft.com/en-us/azure/reliability/availability-zones-overview</t>
  </si>
  <si>
    <t>Region availability and zones</t>
  </si>
  <si>
    <t>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</si>
  <si>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📎 All URLs verified against Microsoft Learn Documentation  |  Last verified: April 2026</t>
  </si>
  <si>
    <t>Cloud Readiness Accelerator Framework  |  Azure Compatibility Exclusions  |  Version 1.0  |  April 2026</t>
  </si>
  <si>
    <t>Source: Microsoft Azure Documentation  |  docs.microsoft.com/azure/virtual-machines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</si>
</sst>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68">
    <font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1"/>
      <color rgb="FFCCCCCC"/>
      <name val="Calibri"/>
      <family val="2"/>
      <charset val="1"/>
    </font>
    <font>
      <sz val="10"/>
      <color theme="1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0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9"/>
      <color rgb="FF666666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22"/>
      <color rgb="FFFFFFFF"/>
      <name val="Calibri"/>
      <family val="2"/>
      <charset val="1"/>
    </font>
    <font>
      <i/>
      <sz val="14"/>
      <color rgb="FFFFFFFF"/>
      <name val="Calibri"/>
      <family val="2"/>
      <charset val="1"/>
    </font>
    <font>
      <sz val="10"/>
      <color rgb="FF0078D4"/>
      <name val="Calibri"/>
      <family val="2"/>
      <charset val="1"/>
    </font>
    <font>
      <sz val="10"/>
      <color rgb="FF1E6B0E"/>
      <name val="Calibri"/>
      <family val="2"/>
      <charset val="1"/>
    </font>
    <font>
      <b/>
      <sz val="11"/>
      <color rgb="FFB45309"/>
      <name val="Calibri"/>
      <family val="2"/>
      <charset val="1"/>
    </font>
    <font>
      <i/>
      <sz val="10"/>
      <color rgb="FF374151"/>
      <name val="Calibri"/>
      <family val="2"/>
      <charset val="1"/>
    </font>
    <font>
      <b/>
      <sz val="10"/>
      <color rgb="FF1E3A5F"/>
      <name val="Calibri"/>
      <family val="2"/>
      <charset val="1"/>
    </font>
    <font>
      <b/>
      <sz val="11"/>
      <color rgb="FF0078D4"/>
      <name val="Calibri"/>
      <family val="2"/>
      <charset val="1"/>
    </font>
    <font>
      <sz val="11"/>
      <color rgb="FF6B7280"/>
      <name val="Calibri"/>
      <family val="2"/>
      <charset val="1"/>
    </font>
    <font>
      <b/>
      <i/>
      <sz val="11"/>
      <color rgb="FF6B7280"/>
      <name val="Calibri"/>
      <family val="2"/>
      <charset val="1"/>
    </font>
    <font>
      <sz val="11"/>
      <color rgb="FFD1D5DB"/>
      <name val="Calibri"/>
      <family val="2"/>
      <charset val="1"/>
    </font>
    <font>
      <i/>
      <sz val="10"/>
      <color rgb="FF6B7280"/>
      <name val="Calibri"/>
      <family val="2"/>
      <charset val="1"/>
    </font>
    <font>
      <sz val="9"/>
      <color rgb="FF9CA3AF"/>
      <name val="Calibri"/>
      <family val="2"/>
      <charset val="1"/>
    </font>
    <font>
      <b/>
      <sz val="11"/>
      <color rgb="FF1E6B0E"/>
      <name val="Calibri"/>
      <family val="2"/>
      <charset val="1"/>
    </font>
    <font>
      <b/>
      <sz val="28"/>
      <color rgb="FFFFFFFF"/>
      <name val="Calibri"/>
      <family val="2"/>
      <charset val="1"/>
    </font>
    <font>
      <sz val="11"/>
      <color rgb="FF0078D4"/>
      <name val="Calibri"/>
      <family val="2"/>
      <charset val="1"/>
    </font>
    <font>
      <b/>
      <sz val="14"/>
      <color rgb="FF0078D4"/>
      <name val="Calibri"/>
      <family val="2"/>
      <charset val="1"/>
    </font>
    <font>
      <i/>
      <sz val="10"/>
      <color rgb="FF505050"/>
      <name val="Calibri"/>
      <family val="2"/>
      <charset val="1"/>
    </font>
    <font>
      <b/>
      <sz val="14"/>
      <color rgb="FFFFFFFF"/>
      <name val="Calibri"/>
      <family val="2"/>
      <charset val="1"/>
    </font>
    <font>
      <sz val="11"/>
      <color rgb="FF333333"/>
      <name val="Calibri"/>
      <family val="2"/>
      <charset val="1"/>
    </font>
    <font>
      <b/>
      <sz val="12"/>
      <color rgb="FF0078D4"/>
      <name val="Calibri"/>
      <family val="2"/>
      <charset val="1"/>
    </font>
    <font>
      <b/>
      <sz val="11"/>
      <color rgb="FF2E7D32"/>
      <name val="Calibri"/>
      <family val="2"/>
      <charset val="1"/>
    </font>
    <font>
      <b/>
      <sz val="11"/>
      <color rgb="FFF9A825"/>
      <name val="Calibri"/>
      <family val="2"/>
      <charset val="1"/>
    </font>
    <font>
      <b/>
      <sz val="11"/>
      <color rgb="FFEF6C00"/>
      <name val="Calibri"/>
      <family val="2"/>
      <charset val="1"/>
    </font>
    <font>
      <b/>
      <sz val="11"/>
      <color rgb="FFC62828"/>
      <name val="Calibri"/>
      <family val="2"/>
      <charset val="1"/>
    </font>
    <font>
      <i/>
      <sz val="11"/>
      <color rgb="FF0078D4"/>
      <name val="Calibri"/>
      <family val="2"/>
      <charset val="1"/>
    </font>
    <font>
      <sz val="11"/>
      <color rgb="FF1B5E20"/>
      <name val="Calibri"/>
      <family val="2"/>
      <charset val="1"/>
    </font>
    <font>
      <b/>
      <sz val="13"/>
      <color rgb="FF856404"/>
      <name val="Calibri"/>
      <family val="2"/>
      <charset val="1"/>
    </font>
    <font>
      <sz val="10"/>
      <color rgb="FF5D4037"/>
      <name val="Calibri"/>
      <family val="2"/>
      <charset val="1"/>
    </font>
    <font>
      <i/>
      <sz val="10"/>
      <color rgb="FF707070"/>
      <name val="Calibri"/>
      <family val="2"/>
      <charset val="1"/>
    </font>
    <font>
      <sz val="9"/>
      <color rgb="FF909090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11"/>
      <color rgb="FF666666"/>
      <name val="Calibri"/>
      <family val="2"/>
      <charset val="1"/>
    </font>
    <font>
      <i/>
      <sz val="10"/>
      <color rgb="FF666666"/>
      <name val="Calibri"/>
      <family val="2"/>
      <charset val="1"/>
    </font>
    <font>
      <b/>
      <i/>
      <sz val="11"/>
      <color rgb="FF666666"/>
      <name val="Calibri"/>
      <family val="2"/>
      <charset val="1"/>
    </font>
    <font>
      <sz val="11"/>
      <color rgb="FFD32F2F"/>
      <name val="Calibri"/>
      <family val="2"/>
      <charset val="1"/>
    </font>
    <font>
      <b/>
      <sz val="11"/>
      <color rgb="FFD32F2F"/>
      <name val="Calibri"/>
      <family val="2"/>
      <charset val="1"/>
    </font>
    <font>
      <sz val="11"/>
      <color rgb="FFF57C00"/>
      <name val="Calibri"/>
      <family val="2"/>
      <charset val="1"/>
    </font>
    <font>
      <b/>
      <sz val="11"/>
      <color rgb="FFF57C00"/>
      <name val="Calibri"/>
      <family val="2"/>
      <charset val="1"/>
    </font>
    <font>
      <sz val="11"/>
      <color rgb="FFFBC02D"/>
      <name val="Calibri"/>
      <family val="2"/>
      <charset val="1"/>
    </font>
    <font>
      <b/>
      <sz val="11"/>
      <color rgb="FFFBC02D"/>
      <name val="Calibri"/>
      <family val="2"/>
      <charset val="1"/>
    </font>
    <font>
      <sz val="11"/>
      <color rgb="FF388E3C"/>
      <name val="Calibri"/>
      <family val="2"/>
      <charset val="1"/>
    </font>
    <font>
      <b/>
      <sz val="11"/>
      <color rgb="FF388E3C"/>
      <name val="Calibri"/>
      <family val="2"/>
      <charset val="1"/>
    </font>
    <font>
      <b/>
      <i/>
      <sz val="10"/>
      <color rgb="FF666666"/>
      <name val="Calibri"/>
      <family val="2"/>
      <charset val="1"/>
    </font>
    <font>
      <b/>
      <sz val="10"/>
      <color rgb="FF0078D4"/>
      <name val="Calibri"/>
      <family val="2"/>
      <charset val="1"/>
    </font>
    <font>
      <i/>
      <sz val="13"/>
      <color rgb="FF002050"/>
      <name val="Calibri"/>
      <family val="2"/>
      <charset val="1"/>
    </font>
    <font>
      <sz val="10"/>
      <color rgb="FF666666"/>
      <name val="Calibri"/>
      <family val="2"/>
      <charset val="1"/>
    </font>
    <font>
      <sz val="11"/>
      <color rgb="FF856404"/>
      <name val="Calibri"/>
      <family val="2"/>
      <charset val="1"/>
    </font>
    <font>
      <b/>
      <sz val="11"/>
      <color rgb="FF856404"/>
      <name val="Calibri"/>
      <family val="2"/>
      <charset val="1"/>
    </font>
    <font>
      <sz val="10"/>
      <color rgb="FFCCCCCC"/>
      <name val="Calibri"/>
      <family val="2"/>
      <charset val="1"/>
    </font>
    <font>
      <sz val="10"/>
      <color rgb="FF888888"/>
      <name val="Calibri"/>
      <family val="2"/>
      <charset val="1"/>
    </font>
    <font>
      <sz val="10"/>
      <color rgb="FF333333"/>
      <name val="Calibri"/>
      <family val="2"/>
      <charset val="1"/>
    </font>
    <font>
      <u/>
      <sz val="11"/>
      <color rgb="FF0066CC"/>
      <name val="Calibri"/>
      <family val="2"/>
      <charset val="1"/>
    </font>
    <font>
      <i/>
      <sz val="9"/>
      <color rgb="FF666666"/>
      <name val="Calibri"/>
      <family val="2"/>
      <charset val="1"/>
    </font>
    <font>
      <u/>
      <sz val="11"/>
      <color theme="10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0078D4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D0E8FF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6F2F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50E6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02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1EFFA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07C1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EF5"/>
        <bgColor indexed="64"/>
      </patternFill>
    </fill>
    <fill>
      <patternFill patternType="solid">
        <fgColor rgb="FFF5F5F5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auto="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auto="1"/>
      </bottom>
      <diagonal/>
    </border>
    <border>
      <left style="thin">
        <color rgb="FFE5E7EB"/>
      </left>
      <right style="thin">
        <color auto="1"/>
      </right>
      <top style="thin">
        <color auto="1"/>
      </top>
      <bottom style="thin">
        <color rgb="FFE5E7EB"/>
      </bottom>
      <diagonal/>
    </border>
    <border>
      <left style="thin">
        <color rgb="FFE5E7EB"/>
      </left>
      <right style="thin">
        <color auto="1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auto="1"/>
      </right>
      <top style="thin">
        <color rgb="FFE5E7EB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E8E8E8"/>
      </left>
      <right style="thin">
        <color rgb="FFE8E8E8"/>
      </right>
      <top style="thin">
        <color rgb="FFD0D0D0"/>
      </top>
      <bottom style="medium">
        <color rgb="FFE8E8E8"/>
      </bottom>
      <diagonal/>
    </border>
    <border>
      <left style="thin">
        <color rgb="FFE8E8E8"/>
      </left>
      <right style="thin">
        <color rgb="FFD0D0D0"/>
      </right>
      <top style="thin">
        <color rgb="FFD0D0D0"/>
      </top>
      <bottom style="medium">
        <color rgb="FFE8E8E8"/>
      </bottom>
      <diagonal/>
    </border>
    <border>
      <left style="thin">
        <color rgb="FFE8E8E8"/>
      </left>
      <right style="thin">
        <color rgb="FFE8E8E8"/>
      </right>
      <top style="medium">
        <color rgb="FFE8E8E8"/>
      </top>
      <bottom style="medium">
        <color rgb="FFE8E8E8"/>
      </bottom>
      <diagonal/>
    </border>
    <border>
      <left style="thin">
        <color rgb="FFE8E8E8"/>
      </left>
      <right style="thin">
        <color rgb="FFD0D0D0"/>
      </right>
      <top style="medium">
        <color rgb="FFE8E8E8"/>
      </top>
      <bottom style="medium">
        <color rgb="FFE8E8E8"/>
      </bottom>
      <diagonal/>
    </border>
    <border>
      <left style="thin">
        <color rgb="FFE8E8E8"/>
      </left>
      <right style="thin">
        <color rgb="FFE8E8E8"/>
      </right>
      <top style="medium">
        <color rgb="FFE8E8E8"/>
      </top>
      <bottom style="thin">
        <color rgb="FFD0D0D0"/>
      </bottom>
      <diagonal/>
    </border>
    <border>
      <left style="thin">
        <color rgb="FFE8E8E8"/>
      </left>
      <right style="thin">
        <color rgb="FFD0D0D0"/>
      </right>
      <top style="medium">
        <color rgb="FFE8E8E8"/>
      </top>
      <bottom style="thin">
        <color rgb="FFD0D0D0"/>
      </bottom>
      <diagonal/>
    </border>
    <border>
      <left style="thin">
        <color rgb="FFE8E8E8"/>
      </left>
      <right style="thin">
        <color rgb="FFE8E8E8"/>
      </right>
      <top style="thin">
        <color rgb="FFD0D0D0"/>
      </top>
      <bottom style="thin">
        <color rgb="FFE8E8E8"/>
      </bottom>
      <diagonal/>
    </border>
    <border>
      <left style="thin">
        <color rgb="FFE8E8E8"/>
      </left>
      <right style="thin">
        <color rgb="FFD0D0D0"/>
      </right>
      <top style="thin">
        <color rgb="FFD0D0D0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D0D0D0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D0D0D0"/>
      </bottom>
      <diagonal/>
    </border>
    <border>
      <left style="thin">
        <color rgb="FFE8E8E8"/>
      </left>
      <right style="thin">
        <color rgb="FFD0D0D0"/>
      </right>
      <top style="thin">
        <color rgb="FFE8E8E8"/>
      </top>
      <bottom style="thin">
        <color rgb="FFD0D0D0"/>
      </bottom>
      <diagonal/>
    </border>
    <border>
      <left/>
      <right style="thin">
        <color rgb="FFB0D4F1"/>
      </right>
      <top style="thin">
        <color rgb="FFB0D4F1"/>
      </top>
      <bottom style="thin">
        <color rgb="FFD4E8F8"/>
      </bottom>
      <diagonal/>
    </border>
    <border>
      <left style="thin">
        <color rgb="FFB0D4F1"/>
      </left>
      <right/>
      <top style="thin">
        <color rgb="FFD4E8F8"/>
      </top>
      <bottom style="thin">
        <color rgb="FFD4E8F8"/>
      </bottom>
      <diagonal/>
    </border>
    <border>
      <left style="thin">
        <color rgb="FFB0D4F1"/>
      </left>
      <right/>
      <top style="thin">
        <color rgb="FFD4E8F8"/>
      </top>
      <bottom style="thin">
        <color rgb="FFB0D4F1"/>
      </bottom>
      <diagonal/>
    </border>
    <border>
      <left style="thin">
        <color rgb="FFB0D4F1"/>
      </left>
      <right/>
      <top/>
      <bottom style="thin">
        <color rgb="FFD4E8F8"/>
      </bottom>
      <diagonal/>
    </border>
    <border>
      <left style="thick">
        <color rgb="FF50E6FF"/>
      </left>
      <right/>
      <top style="thin">
        <color rgb="FFB0D4F1"/>
      </top>
      <bottom style="thin">
        <color rgb="FFD4E8F8"/>
      </bottom>
      <diagonal/>
    </border>
    <border>
      <left style="thin">
        <color auto="1"/>
      </left>
      <right/>
      <top style="thin">
        <color auto="1"/>
      </top>
      <bottom style="thin">
        <color rgb="FFE0E0E0"/>
      </bottom>
      <diagonal/>
    </border>
    <border>
      <left style="thin">
        <color auto="1"/>
      </left>
      <right/>
      <top style="thin">
        <color rgb="FFE0E0E0"/>
      </top>
      <bottom style="thin">
        <color rgb="FFE0E0E0"/>
      </bottom>
      <diagonal/>
    </border>
    <border>
      <left style="thin">
        <color auto="1"/>
      </left>
      <right/>
      <top style="thin">
        <color rgb="FFE0E0E0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auto="1"/>
      </top>
      <bottom style="thin">
        <color rgb="FFE0E0E0"/>
      </bottom>
      <diagonal/>
    </border>
    <border>
      <left style="thin">
        <color rgb="FFE0E0E0"/>
      </left>
      <right style="thin">
        <color auto="1"/>
      </right>
      <top style="thin">
        <color auto="1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auto="1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auto="1"/>
      </bottom>
      <diagonal/>
    </border>
    <border>
      <left style="thin">
        <color rgb="FFE0E0E0"/>
      </left>
      <right style="thin">
        <color auto="1"/>
      </right>
      <top style="thin">
        <color rgb="FFE0E0E0"/>
      </top>
      <bottom style="thin">
        <color auto="1"/>
      </bottom>
      <diagonal/>
    </border>
    <border>
      <left/>
      <right/>
      <top style="thin">
        <color rgb="FFD4E8F8"/>
      </top>
      <bottom style="thin">
        <color rgb="FFD4E8F8"/>
      </bottom>
      <diagonal/>
    </border>
    <border>
      <left/>
      <right style="thin">
        <color rgb="FFE8E8E8"/>
      </right>
      <top style="thin">
        <color rgb="FFD0D0D0"/>
      </top>
      <bottom style="medium">
        <color rgb="FFE8E8E8"/>
      </bottom>
      <diagonal/>
    </border>
    <border>
      <left/>
      <right style="thin">
        <color rgb="FFE8E8E8"/>
      </right>
      <top style="medium">
        <color rgb="FFE8E8E8"/>
      </top>
      <bottom style="medium">
        <color rgb="FFE8E8E8"/>
      </bottom>
      <diagonal/>
    </border>
    <border>
      <left/>
      <right style="thin">
        <color rgb="FFE8E8E8"/>
      </right>
      <top style="medium">
        <color rgb="FFE8E8E8"/>
      </top>
      <bottom style="thin">
        <color rgb="FFD0D0D0"/>
      </bottom>
      <diagonal/>
    </border>
    <border>
      <left/>
      <right style="thin">
        <color rgb="FFE8E8E8"/>
      </right>
      <top style="thin">
        <color rgb="FFD0D0D0"/>
      </top>
      <bottom style="thin">
        <color rgb="FFE8E8E8"/>
      </bottom>
      <diagonal/>
    </border>
    <border>
      <left/>
      <right style="thin">
        <color rgb="FFE8E8E8"/>
      </right>
      <top style="thin">
        <color rgb="FFE8E8E8"/>
      </top>
      <bottom style="thin">
        <color rgb="FFE8E8E8"/>
      </bottom>
      <diagonal/>
    </border>
    <border>
      <left/>
      <right style="thin">
        <color rgb="FFE8E8E8"/>
      </right>
      <top style="thin">
        <color rgb="FFE8E8E8"/>
      </top>
      <bottom style="thin">
        <color rgb="FFD0D0D0"/>
      </bottom>
      <diagonal/>
    </border>
    <border>
      <left/>
      <right style="thin">
        <color rgb="FFE5E7EB"/>
      </right>
      <top style="thin">
        <color auto="1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auto="1"/>
      </bottom>
      <diagonal/>
    </border>
    <border>
      <left/>
      <right style="thin">
        <color rgb="FFE0E0E0"/>
      </right>
      <top style="thin">
        <color auto="1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auto="1"/>
      </bottom>
      <diagonal/>
    </border>
    <border>
      <left style="thin">
        <color rgb="FFD0D0D0"/>
      </left>
      <right/>
      <top style="thin">
        <color rgb="FFD0D0D0"/>
      </top>
      <bottom style="medium">
        <color rgb="FFE8E8E8"/>
      </bottom>
      <diagonal/>
    </border>
    <border>
      <left style="thin">
        <color rgb="FFD0D0D0"/>
      </left>
      <right/>
      <top style="medium">
        <color rgb="FFE8E8E8"/>
      </top>
      <bottom style="medium">
        <color rgb="FFE8E8E8"/>
      </bottom>
      <diagonal/>
    </border>
    <border>
      <left style="thin">
        <color rgb="FFD0D0D0"/>
      </left>
      <right/>
      <top style="medium">
        <color rgb="FFE8E8E8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E8E8E8"/>
      </bottom>
      <diagonal/>
    </border>
    <border>
      <left style="thin">
        <color rgb="FFD0D0D0"/>
      </left>
      <right/>
      <top style="thin">
        <color rgb="FFE8E8E8"/>
      </top>
      <bottom style="thin">
        <color rgb="FFE8E8E8"/>
      </bottom>
      <diagonal/>
    </border>
    <border>
      <left style="thin">
        <color rgb="FFD0D0D0"/>
      </left>
      <right/>
      <top style="thin">
        <color rgb="FFE8E8E8"/>
      </top>
      <bottom style="thin">
        <color rgb="FFD0D0D0"/>
      </bottom>
      <diagonal/>
    </border>
    <border>
      <left style="thin">
        <color auto="1"/>
      </left>
      <right/>
      <top style="thin">
        <color auto="1"/>
      </top>
      <bottom style="thin">
        <color rgb="FFE5E7EB"/>
      </bottom>
      <diagonal/>
    </border>
    <border>
      <left style="thin">
        <color auto="1"/>
      </left>
      <right/>
      <top style="thin">
        <color rgb="FFE5E7EB"/>
      </top>
      <bottom style="thin">
        <color rgb="FFE5E7EB"/>
      </bottom>
      <diagonal/>
    </border>
    <border>
      <left style="thin">
        <color auto="1"/>
      </left>
      <right/>
      <top style="thin">
        <color rgb="FFE5E7EB"/>
      </top>
      <bottom style="thin">
        <color auto="1"/>
      </bottom>
      <diagonal/>
    </border>
  </borders>
  <cellStyleXfs count="2">
    <xf numFmtId="0" fontId="0" fillId="0" borderId="0"/>
    <xf numFmtId="0" fontId="67" fillId="0" borderId="0" applyNumberFormat="0" applyFill="0" applyBorder="0" applyAlignment="0" applyProtection="0"/>
  </cellStyleXfs>
  <cellXfs count="347">
    <xf numFmtId="0" fontId="0" fillId="0" borderId="0" xfId="0"/>
    <xf numFmtId="0" fontId="0" fillId="0" borderId="0" xfId="0" applyAlignment="1">
      <alignment vertical="center"/>
    </xf>
    <xf numFmtId="0" fontId="19" fillId="17" borderId="15" xfId="0" applyFont="1" applyFill="1" applyBorder="1" applyAlignment="1">
      <alignment horizontal="center"/>
    </xf>
    <xf numFmtId="0" fontId="19" fillId="17" borderId="17" xfId="0" applyFont="1" applyFill="1" applyBorder="1" applyAlignment="1">
      <alignment horizontal="center"/>
    </xf>
    <xf numFmtId="0" fontId="7" fillId="18" borderId="14" xfId="0" applyFont="1" applyFill="1" applyBorder="1"/>
    <xf numFmtId="0" fontId="7" fillId="8" borderId="14" xfId="0" applyFont="1" applyFill="1" applyBorder="1"/>
    <xf numFmtId="0" fontId="9" fillId="17" borderId="15" xfId="0" applyFont="1" applyFill="1" applyBorder="1" applyAlignment="1">
      <alignment horizontal="center"/>
    </xf>
    <xf numFmtId="0" fontId="7" fillId="18" borderId="16" xfId="0" applyFont="1" applyFill="1" applyBorder="1"/>
    <xf numFmtId="0" fontId="9" fillId="17" borderId="17" xfId="0" applyFont="1" applyFill="1" applyBorder="1" applyAlignment="1">
      <alignment horizontal="center"/>
    </xf>
    <xf numFmtId="0" fontId="7" fillId="18" borderId="18" xfId="0" applyFont="1" applyFill="1" applyBorder="1"/>
    <xf numFmtId="0" fontId="7" fillId="8" borderId="18" xfId="0" applyFont="1" applyFill="1" applyBorder="1"/>
    <xf numFmtId="0" fontId="7" fillId="18" borderId="19" xfId="0" applyFont="1" applyFill="1" applyBorder="1"/>
    <xf numFmtId="0" fontId="7" fillId="8" borderId="16" xfId="0" applyFont="1" applyFill="1" applyBorder="1"/>
    <xf numFmtId="0" fontId="7" fillId="8" borderId="19" xfId="0" applyFont="1" applyFill="1" applyBorder="1"/>
    <xf numFmtId="0" fontId="3" fillId="17" borderId="8" xfId="0" applyFont="1" applyFill="1" applyBorder="1" applyAlignment="1">
      <alignment horizontal="center"/>
    </xf>
    <xf numFmtId="0" fontId="3" fillId="17" borderId="8" xfId="0" applyFont="1" applyFill="1" applyBorder="1"/>
    <xf numFmtId="0" fontId="21" fillId="10" borderId="8" xfId="0" applyFont="1" applyFill="1" applyBorder="1"/>
    <xf numFmtId="0" fontId="9" fillId="22" borderId="16" xfId="0" applyFont="1" applyFill="1" applyBorder="1"/>
    <xf numFmtId="0" fontId="9" fillId="17" borderId="8" xfId="0" applyFont="1" applyFill="1" applyBorder="1" applyAlignment="1">
      <alignment horizontal="center"/>
    </xf>
    <xf numFmtId="0" fontId="9" fillId="22" borderId="8" xfId="0" applyFont="1" applyFill="1" applyBorder="1"/>
    <xf numFmtId="0" fontId="7" fillId="8" borderId="14" xfId="0" applyFont="1" applyFill="1" applyBorder="1" applyAlignment="1">
      <alignment horizontal="center"/>
    </xf>
    <xf numFmtId="0" fontId="7" fillId="18" borderId="14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3" fillId="20" borderId="20" xfId="0" applyNumberFormat="1" applyFont="1" applyFill="1" applyBorder="1" applyAlignment="1">
      <alignment horizontal="center"/>
    </xf>
    <xf numFmtId="0" fontId="5" fillId="20" borderId="20" xfId="0" applyFont="1" applyFill="1" applyBorder="1" applyAlignment="1">
      <alignment horizontal="center"/>
    </xf>
    <xf numFmtId="0" fontId="4" fillId="20" borderId="21" xfId="0" applyFont="1" applyFill="1" applyBorder="1"/>
    <xf numFmtId="0" fontId="7" fillId="22" borderId="8" xfId="0" applyFont="1" applyFill="1" applyBorder="1"/>
    <xf numFmtId="0" fontId="0" fillId="22" borderId="8" xfId="0" applyFill="1" applyBorder="1"/>
    <xf numFmtId="0" fontId="7" fillId="21" borderId="8" xfId="0" applyFont="1" applyFill="1" applyBorder="1"/>
    <xf numFmtId="0" fontId="0" fillId="21" borderId="8" xfId="0" applyFill="1" applyBorder="1"/>
    <xf numFmtId="0" fontId="7" fillId="24" borderId="8" xfId="0" applyFont="1" applyFill="1" applyBorder="1"/>
    <xf numFmtId="0" fontId="0" fillId="24" borderId="8" xfId="0" applyFill="1" applyBorder="1"/>
    <xf numFmtId="0" fontId="7" fillId="25" borderId="8" xfId="0" applyFont="1" applyFill="1" applyBorder="1"/>
    <xf numFmtId="0" fontId="0" fillId="25" borderId="8" xfId="0" applyFill="1" applyBorder="1"/>
    <xf numFmtId="164" fontId="7" fillId="18" borderId="8" xfId="0" applyNumberFormat="1" applyFont="1" applyFill="1" applyBorder="1"/>
    <xf numFmtId="164" fontId="7" fillId="8" borderId="8" xfId="0" applyNumberFormat="1" applyFont="1" applyFill="1" applyBorder="1"/>
    <xf numFmtId="164" fontId="9" fillId="22" borderId="8" xfId="0" applyNumberFormat="1" applyFont="1" applyFill="1" applyBorder="1"/>
    <xf numFmtId="0" fontId="0" fillId="0" borderId="0" xfId="0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20" fillId="30" borderId="23" xfId="0" applyFont="1" applyFill="1" applyBorder="1" applyAlignment="1">
      <alignment horizontal="center"/>
    </xf>
    <xf numFmtId="0" fontId="20" fillId="30" borderId="24" xfId="0" applyFont="1" applyFill="1" applyBorder="1" applyAlignment="1">
      <alignment horizontal="center"/>
    </xf>
    <xf numFmtId="0" fontId="7" fillId="8" borderId="25" xfId="0" applyFont="1" applyFill="1" applyBorder="1" applyAlignment="1">
      <alignment horizontal="center"/>
    </xf>
    <xf numFmtId="0" fontId="7" fillId="8" borderId="26" xfId="0" applyFont="1" applyFill="1" applyBorder="1" applyAlignment="1">
      <alignment horizontal="center"/>
    </xf>
    <xf numFmtId="0" fontId="7" fillId="29" borderId="25" xfId="0" applyFont="1" applyFill="1" applyBorder="1" applyAlignment="1">
      <alignment horizontal="center"/>
    </xf>
    <xf numFmtId="0" fontId="7" fillId="29" borderId="26" xfId="0" applyFont="1" applyFill="1" applyBorder="1" applyAlignment="1">
      <alignment horizontal="center"/>
    </xf>
    <xf numFmtId="0" fontId="7" fillId="8" borderId="27" xfId="0" applyFont="1" applyFill="1" applyBorder="1" applyAlignment="1">
      <alignment horizontal="center"/>
    </xf>
    <xf numFmtId="0" fontId="7" fillId="8" borderId="28" xfId="0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20" fillId="30" borderId="29" xfId="0" applyFont="1" applyFill="1" applyBorder="1" applyAlignment="1">
      <alignment horizontal="center"/>
    </xf>
    <xf numFmtId="0" fontId="20" fillId="30" borderId="30" xfId="0" applyFont="1" applyFill="1" applyBorder="1" applyAlignment="1">
      <alignment horizontal="center"/>
    </xf>
    <xf numFmtId="0" fontId="0" fillId="11" borderId="31" xfId="0" applyFill="1" applyBorder="1"/>
    <xf numFmtId="0" fontId="0" fillId="11" borderId="32" xfId="0" applyFill="1" applyBorder="1"/>
    <xf numFmtId="0" fontId="0" fillId="9" borderId="31" xfId="0" applyFill="1" applyBorder="1"/>
    <xf numFmtId="0" fontId="0" fillId="9" borderId="32" xfId="0" applyFill="1" applyBorder="1"/>
    <xf numFmtId="0" fontId="0" fillId="13" borderId="31" xfId="0" applyFill="1" applyBorder="1"/>
    <xf numFmtId="0" fontId="0" fillId="13" borderId="32" xfId="0" applyFill="1" applyBorder="1"/>
    <xf numFmtId="0" fontId="0" fillId="31" borderId="33" xfId="0" applyFill="1" applyBorder="1"/>
    <xf numFmtId="0" fontId="0" fillId="31" borderId="34" xfId="0" applyFill="1" applyBorder="1"/>
    <xf numFmtId="0" fontId="38" fillId="8" borderId="32" xfId="0" applyFont="1" applyFill="1" applyBorder="1"/>
    <xf numFmtId="0" fontId="38" fillId="29" borderId="32" xfId="0" applyFont="1" applyFill="1" applyBorder="1"/>
    <xf numFmtId="0" fontId="38" fillId="8" borderId="34" xfId="0" applyFont="1" applyFill="1" applyBorder="1"/>
    <xf numFmtId="0" fontId="20" fillId="6" borderId="36" xfId="0" applyFont="1" applyFill="1" applyBorder="1"/>
    <xf numFmtId="0" fontId="20" fillId="6" borderId="37" xfId="0" applyFont="1" applyFill="1" applyBorder="1"/>
    <xf numFmtId="0" fontId="20" fillId="6" borderId="38" xfId="0" applyFont="1" applyFill="1" applyBorder="1"/>
    <xf numFmtId="0" fontId="7" fillId="22" borderId="8" xfId="0" applyFont="1" applyFill="1" applyBorder="1" applyAlignment="1">
      <alignment wrapText="1"/>
    </xf>
    <xf numFmtId="0" fontId="7" fillId="21" borderId="8" xfId="0" applyFont="1" applyFill="1" applyBorder="1" applyAlignment="1">
      <alignment wrapText="1"/>
    </xf>
    <xf numFmtId="0" fontId="7" fillId="24" borderId="8" xfId="0" applyFont="1" applyFill="1" applyBorder="1" applyAlignment="1">
      <alignment wrapText="1"/>
    </xf>
    <xf numFmtId="0" fontId="7" fillId="25" borderId="8" xfId="0" applyFont="1" applyFill="1" applyBorder="1" applyAlignment="1">
      <alignment wrapText="1"/>
    </xf>
    <xf numFmtId="0" fontId="3" fillId="5" borderId="0" xfId="0" applyFont="1" applyFill="1" applyAlignment="1">
      <alignment horizontal="center"/>
    </xf>
    <xf numFmtId="0" fontId="3" fillId="33" borderId="0" xfId="0" applyFont="1" applyFill="1"/>
    <xf numFmtId="0" fontId="3" fillId="33" borderId="0" xfId="0" applyFont="1" applyFill="1" applyAlignment="1">
      <alignment horizontal="center"/>
    </xf>
    <xf numFmtId="9" fontId="3" fillId="33" borderId="0" xfId="0" applyNumberFormat="1" applyFont="1" applyFill="1" applyAlignment="1">
      <alignment horizontal="center"/>
    </xf>
    <xf numFmtId="0" fontId="3" fillId="0" borderId="1" xfId="0" applyFont="1" applyBorder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33" borderId="7" xfId="0" applyFont="1" applyFill="1" applyBorder="1"/>
    <xf numFmtId="0" fontId="3" fillId="33" borderId="5" xfId="0" applyFont="1" applyFill="1" applyBorder="1" applyAlignment="1">
      <alignment horizontal="center"/>
    </xf>
    <xf numFmtId="9" fontId="3" fillId="33" borderId="5" xfId="0" applyNumberFormat="1" applyFont="1" applyFill="1" applyBorder="1" applyAlignment="1">
      <alignment horizontal="center"/>
    </xf>
    <xf numFmtId="0" fontId="3" fillId="33" borderId="5" xfId="0" applyFont="1" applyFill="1" applyBorder="1"/>
    <xf numFmtId="0" fontId="3" fillId="33" borderId="11" xfId="0" applyFont="1" applyFill="1" applyBorder="1"/>
    <xf numFmtId="0" fontId="0" fillId="0" borderId="0" xfId="0" applyAlignment="1">
      <alignment horizontal="left"/>
    </xf>
    <xf numFmtId="0" fontId="4" fillId="6" borderId="0" xfId="0" applyFont="1" applyFill="1" applyAlignment="1">
      <alignment horizontal="center"/>
    </xf>
    <xf numFmtId="0" fontId="45" fillId="0" borderId="0" xfId="0" applyFont="1"/>
    <xf numFmtId="0" fontId="4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47" fillId="11" borderId="0" xfId="0" applyFont="1" applyFill="1"/>
    <xf numFmtId="0" fontId="49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57" fillId="5" borderId="13" xfId="0" applyFont="1" applyFill="1" applyBorder="1" applyAlignment="1">
      <alignment horizontal="center"/>
    </xf>
    <xf numFmtId="0" fontId="0" fillId="10" borderId="8" xfId="0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7" borderId="8" xfId="0" applyFill="1" applyBorder="1" applyAlignment="1" applyProtection="1">
      <alignment horizontal="center" vertical="center"/>
      <protection locked="0"/>
    </xf>
    <xf numFmtId="0" fontId="0" fillId="8" borderId="14" xfId="0" applyFill="1" applyBorder="1" applyProtection="1">
      <protection locked="0"/>
    </xf>
    <xf numFmtId="0" fontId="0" fillId="8" borderId="18" xfId="0" applyFill="1" applyBorder="1" applyProtection="1">
      <protection locked="0"/>
    </xf>
    <xf numFmtId="0" fontId="0" fillId="18" borderId="14" xfId="0" applyFill="1" applyBorder="1" applyProtection="1">
      <protection locked="0"/>
    </xf>
    <xf numFmtId="0" fontId="0" fillId="18" borderId="18" xfId="0" applyFill="1" applyBorder="1" applyProtection="1">
      <protection locked="0"/>
    </xf>
    <xf numFmtId="0" fontId="0" fillId="8" borderId="16" xfId="0" applyFill="1" applyBorder="1" applyProtection="1">
      <protection locked="0"/>
    </xf>
    <xf numFmtId="0" fontId="0" fillId="8" borderId="19" xfId="0" applyFill="1" applyBorder="1" applyProtection="1">
      <protection locked="0"/>
    </xf>
    <xf numFmtId="0" fontId="0" fillId="0" borderId="0" xfId="0" applyProtection="1">
      <protection locked="0"/>
    </xf>
    <xf numFmtId="0" fontId="0" fillId="10" borderId="0" xfId="0" applyFill="1" applyAlignment="1" applyProtection="1">
      <alignment horizontal="center"/>
      <protection locked="0"/>
    </xf>
    <xf numFmtId="0" fontId="0" fillId="10" borderId="10" xfId="0" applyFill="1" applyBorder="1" applyProtection="1">
      <protection locked="0"/>
    </xf>
    <xf numFmtId="0" fontId="0" fillId="10" borderId="0" xfId="0" applyFill="1" applyProtection="1">
      <protection locked="0"/>
    </xf>
    <xf numFmtId="0" fontId="52" fillId="0" borderId="0" xfId="0" applyFont="1" applyAlignment="1" applyProtection="1">
      <alignment horizontal="center"/>
      <protection locked="0"/>
    </xf>
    <xf numFmtId="0" fontId="50" fillId="0" borderId="0" xfId="0" applyFont="1" applyAlignment="1" applyProtection="1">
      <alignment horizontal="center"/>
      <protection locked="0"/>
    </xf>
    <xf numFmtId="0" fontId="48" fillId="0" borderId="0" xfId="0" applyFont="1" applyAlignment="1" applyProtection="1">
      <alignment horizontal="center"/>
      <protection locked="0"/>
    </xf>
    <xf numFmtId="164" fontId="7" fillId="8" borderId="14" xfId="0" applyNumberFormat="1" applyFont="1" applyFill="1" applyBorder="1" applyProtection="1">
      <protection locked="0"/>
    </xf>
    <xf numFmtId="164" fontId="7" fillId="18" borderId="14" xfId="0" applyNumberFormat="1" applyFont="1" applyFill="1" applyBorder="1" applyProtection="1">
      <protection locked="0"/>
    </xf>
    <xf numFmtId="164" fontId="9" fillId="21" borderId="14" xfId="0" applyNumberFormat="1" applyFont="1" applyFill="1" applyBorder="1" applyProtection="1">
      <protection locked="0"/>
    </xf>
    <xf numFmtId="164" fontId="9" fillId="22" borderId="14" xfId="0" applyNumberFormat="1" applyFont="1" applyFill="1" applyBorder="1" applyProtection="1">
      <protection locked="0"/>
    </xf>
    <xf numFmtId="164" fontId="9" fillId="17" borderId="14" xfId="0" applyNumberFormat="1" applyFont="1" applyFill="1" applyBorder="1" applyProtection="1">
      <protection locked="0"/>
    </xf>
    <xf numFmtId="164" fontId="9" fillId="23" borderId="14" xfId="0" applyNumberFormat="1" applyFont="1" applyFill="1" applyBorder="1" applyProtection="1">
      <protection locked="0"/>
    </xf>
    <xf numFmtId="0" fontId="7" fillId="8" borderId="14" xfId="0" applyFont="1" applyFill="1" applyBorder="1" applyProtection="1">
      <protection locked="0"/>
    </xf>
    <xf numFmtId="0" fontId="7" fillId="18" borderId="14" xfId="0" applyFont="1" applyFill="1" applyBorder="1" applyProtection="1">
      <protection locked="0"/>
    </xf>
    <xf numFmtId="0" fontId="7" fillId="8" borderId="16" xfId="0" applyFont="1" applyFill="1" applyBorder="1" applyProtection="1">
      <protection locked="0"/>
    </xf>
    <xf numFmtId="0" fontId="7" fillId="8" borderId="18" xfId="0" applyFont="1" applyFill="1" applyBorder="1" applyProtection="1">
      <protection locked="0"/>
    </xf>
    <xf numFmtId="0" fontId="7" fillId="18" borderId="18" xfId="0" applyFont="1" applyFill="1" applyBorder="1" applyProtection="1">
      <protection locked="0"/>
    </xf>
    <xf numFmtId="0" fontId="9" fillId="21" borderId="14" xfId="0" applyFont="1" applyFill="1" applyBorder="1" applyProtection="1">
      <protection locked="0"/>
    </xf>
    <xf numFmtId="0" fontId="9" fillId="21" borderId="18" xfId="0" applyFont="1" applyFill="1" applyBorder="1" applyProtection="1">
      <protection locked="0"/>
    </xf>
    <xf numFmtId="0" fontId="9" fillId="22" borderId="14" xfId="0" applyFont="1" applyFill="1" applyBorder="1" applyProtection="1">
      <protection locked="0"/>
    </xf>
    <xf numFmtId="0" fontId="9" fillId="22" borderId="18" xfId="0" applyFont="1" applyFill="1" applyBorder="1" applyProtection="1">
      <protection locked="0"/>
    </xf>
    <xf numFmtId="0" fontId="9" fillId="17" borderId="14" xfId="0" applyFont="1" applyFill="1" applyBorder="1" applyProtection="1">
      <protection locked="0"/>
    </xf>
    <xf numFmtId="0" fontId="9" fillId="17" borderId="18" xfId="0" applyFont="1" applyFill="1" applyBorder="1" applyProtection="1">
      <protection locked="0"/>
    </xf>
    <xf numFmtId="0" fontId="9" fillId="23" borderId="14" xfId="0" applyFont="1" applyFill="1" applyBorder="1" applyProtection="1">
      <protection locked="0"/>
    </xf>
    <xf numFmtId="0" fontId="9" fillId="23" borderId="18" xfId="0" applyFont="1" applyFill="1" applyBorder="1" applyProtection="1">
      <protection locked="0"/>
    </xf>
    <xf numFmtId="0" fontId="7" fillId="8" borderId="19" xfId="0" applyFont="1" applyFill="1" applyBorder="1" applyProtection="1">
      <protection locked="0"/>
    </xf>
    <xf numFmtId="0" fontId="21" fillId="10" borderId="8" xfId="0" applyFont="1" applyFill="1" applyBorder="1" applyProtection="1">
      <protection locked="0"/>
    </xf>
    <xf numFmtId="164" fontId="9" fillId="22" borderId="16" xfId="0" applyNumberFormat="1" applyFont="1" applyFill="1" applyBorder="1" applyProtection="1">
      <protection locked="0"/>
    </xf>
    <xf numFmtId="0" fontId="9" fillId="22" borderId="19" xfId="0" applyFont="1" applyFill="1" applyBorder="1" applyProtection="1">
      <protection locked="0"/>
    </xf>
    <xf numFmtId="0" fontId="7" fillId="18" borderId="8" xfId="0" applyFont="1" applyFill="1" applyBorder="1" applyProtection="1">
      <protection locked="0"/>
    </xf>
    <xf numFmtId="0" fontId="7" fillId="8" borderId="8" xfId="0" applyFont="1" applyFill="1" applyBorder="1" applyProtection="1">
      <protection locked="0"/>
    </xf>
    <xf numFmtId="164" fontId="21" fillId="10" borderId="8" xfId="0" applyNumberFormat="1" applyFont="1" applyFill="1" applyBorder="1" applyProtection="1">
      <protection locked="0"/>
    </xf>
    <xf numFmtId="0" fontId="7" fillId="10" borderId="14" xfId="0" applyFont="1" applyFill="1" applyBorder="1" applyAlignment="1" applyProtection="1">
      <alignment horizontal="center"/>
      <protection locked="0"/>
    </xf>
    <xf numFmtId="0" fontId="7" fillId="10" borderId="16" xfId="0" applyFont="1" applyFill="1" applyBorder="1" applyAlignment="1" applyProtection="1">
      <alignment horizontal="center"/>
      <protection locked="0"/>
    </xf>
    <xf numFmtId="0" fontId="3" fillId="20" borderId="20" xfId="0" applyFont="1" applyFill="1" applyBorder="1" applyAlignment="1" applyProtection="1">
      <alignment horizontal="center"/>
      <protection locked="0"/>
    </xf>
    <xf numFmtId="0" fontId="3" fillId="20" borderId="20" xfId="0" applyFont="1" applyFill="1" applyBorder="1" applyProtection="1">
      <protection locked="0"/>
    </xf>
    <xf numFmtId="0" fontId="22" fillId="20" borderId="22" xfId="0" applyFont="1" applyFill="1" applyBorder="1" applyProtection="1">
      <protection locked="0"/>
    </xf>
    <xf numFmtId="0" fontId="3" fillId="5" borderId="6" xfId="0" applyFont="1" applyFill="1" applyBorder="1"/>
    <xf numFmtId="0" fontId="3" fillId="5" borderId="40" xfId="0" applyFont="1" applyFill="1" applyBorder="1"/>
    <xf numFmtId="0" fontId="0" fillId="0" borderId="41" xfId="0" applyBorder="1"/>
    <xf numFmtId="0" fontId="0" fillId="10" borderId="42" xfId="0" applyFill="1" applyBorder="1"/>
    <xf numFmtId="0" fontId="3" fillId="5" borderId="43" xfId="0" applyFont="1" applyFill="1" applyBorder="1"/>
    <xf numFmtId="0" fontId="3" fillId="5" borderId="44" xfId="0" applyFont="1" applyFill="1" applyBorder="1"/>
    <xf numFmtId="0" fontId="0" fillId="0" borderId="45" xfId="0" applyBorder="1"/>
    <xf numFmtId="0" fontId="0" fillId="0" borderId="46" xfId="0" applyBorder="1"/>
    <xf numFmtId="0" fontId="0" fillId="10" borderId="47" xfId="0" applyFill="1" applyBorder="1"/>
    <xf numFmtId="0" fontId="0" fillId="10" borderId="48" xfId="0" applyFill="1" applyBorder="1"/>
    <xf numFmtId="0" fontId="3" fillId="37" borderId="42" xfId="0" applyFont="1" applyFill="1" applyBorder="1"/>
    <xf numFmtId="0" fontId="3" fillId="37" borderId="47" xfId="0" applyFont="1" applyFill="1" applyBorder="1"/>
    <xf numFmtId="9" fontId="3" fillId="37" borderId="47" xfId="0" applyNumberFormat="1" applyFont="1" applyFill="1" applyBorder="1"/>
    <xf numFmtId="0" fontId="3" fillId="37" borderId="48" xfId="0" applyFont="1" applyFill="1" applyBorder="1"/>
    <xf numFmtId="0" fontId="3" fillId="5" borderId="8" xfId="0" applyFont="1" applyFill="1" applyBorder="1"/>
    <xf numFmtId="0" fontId="0" fillId="39" borderId="8" xfId="0" applyFill="1" applyBorder="1"/>
    <xf numFmtId="0" fontId="0" fillId="8" borderId="8" xfId="0" applyFill="1" applyBorder="1"/>
    <xf numFmtId="0" fontId="65" fillId="39" borderId="8" xfId="0" applyFont="1" applyFill="1" applyBorder="1"/>
    <xf numFmtId="0" fontId="65" fillId="8" borderId="8" xfId="0" applyFont="1" applyFill="1" applyBorder="1"/>
    <xf numFmtId="0" fontId="20" fillId="30" borderId="50" xfId="0" applyFont="1" applyFill="1" applyBorder="1" applyAlignment="1">
      <alignment horizontal="center"/>
    </xf>
    <xf numFmtId="0" fontId="0" fillId="8" borderId="51" xfId="0" applyFill="1" applyBorder="1" applyAlignment="1">
      <alignment wrapText="1"/>
    </xf>
    <xf numFmtId="0" fontId="0" fillId="29" borderId="51" xfId="0" applyFill="1" applyBorder="1" applyAlignment="1">
      <alignment wrapText="1"/>
    </xf>
    <xf numFmtId="0" fontId="0" fillId="8" borderId="52" xfId="0" applyFill="1" applyBorder="1" applyAlignment="1">
      <alignment wrapText="1"/>
    </xf>
    <xf numFmtId="0" fontId="20" fillId="30" borderId="53" xfId="0" applyFont="1" applyFill="1" applyBorder="1" applyAlignment="1">
      <alignment horizontal="center"/>
    </xf>
    <xf numFmtId="0" fontId="34" fillId="11" borderId="54" xfId="0" applyFont="1" applyFill="1" applyBorder="1" applyAlignment="1">
      <alignment horizontal="center"/>
    </xf>
    <xf numFmtId="0" fontId="35" fillId="9" borderId="54" xfId="0" applyFont="1" applyFill="1" applyBorder="1" applyAlignment="1">
      <alignment horizontal="center"/>
    </xf>
    <xf numFmtId="0" fontId="36" fillId="13" borderId="54" xfId="0" applyFont="1" applyFill="1" applyBorder="1" applyAlignment="1">
      <alignment horizontal="center"/>
    </xf>
    <xf numFmtId="0" fontId="37" fillId="31" borderId="55" xfId="0" applyFont="1" applyFill="1" applyBorder="1" applyAlignment="1">
      <alignment horizontal="center"/>
    </xf>
    <xf numFmtId="0" fontId="0" fillId="8" borderId="54" xfId="0" applyFill="1" applyBorder="1"/>
    <xf numFmtId="0" fontId="0" fillId="29" borderId="54" xfId="0" applyFill="1" applyBorder="1"/>
    <xf numFmtId="0" fontId="0" fillId="8" borderId="55" xfId="0" applyFill="1" applyBorder="1"/>
    <xf numFmtId="0" fontId="3" fillId="5" borderId="12" xfId="0" applyFont="1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9" fontId="0" fillId="0" borderId="12" xfId="0" applyNumberFormat="1" applyBorder="1" applyAlignment="1">
      <alignment vertical="center"/>
    </xf>
    <xf numFmtId="0" fontId="0" fillId="10" borderId="12" xfId="0" applyFill="1" applyBorder="1" applyAlignment="1" applyProtection="1">
      <alignment vertical="center"/>
      <protection locked="0"/>
    </xf>
    <xf numFmtId="0" fontId="19" fillId="17" borderId="56" xfId="0" applyFont="1" applyFill="1" applyBorder="1" applyAlignment="1">
      <alignment horizontal="center"/>
    </xf>
    <xf numFmtId="0" fontId="0" fillId="8" borderId="57" xfId="0" applyFill="1" applyBorder="1" applyProtection="1">
      <protection locked="0"/>
    </xf>
    <xf numFmtId="0" fontId="0" fillId="18" borderId="57" xfId="0" applyFill="1" applyBorder="1" applyProtection="1">
      <protection locked="0"/>
    </xf>
    <xf numFmtId="0" fontId="0" fillId="8" borderId="58" xfId="0" applyFill="1" applyBorder="1" applyProtection="1">
      <protection locked="0"/>
    </xf>
    <xf numFmtId="0" fontId="9" fillId="17" borderId="56" xfId="0" applyFont="1" applyFill="1" applyBorder="1" applyAlignment="1">
      <alignment horizontal="center"/>
    </xf>
    <xf numFmtId="0" fontId="7" fillId="18" borderId="57" xfId="0" applyFont="1" applyFill="1" applyBorder="1"/>
    <xf numFmtId="0" fontId="7" fillId="8" borderId="57" xfId="0" applyFont="1" applyFill="1" applyBorder="1"/>
    <xf numFmtId="0" fontId="7" fillId="18" borderId="58" xfId="0" applyFont="1" applyFill="1" applyBorder="1"/>
    <xf numFmtId="0" fontId="7" fillId="8" borderId="58" xfId="0" applyFont="1" applyFill="1" applyBorder="1"/>
    <xf numFmtId="164" fontId="7" fillId="8" borderId="57" xfId="0" applyNumberFormat="1" applyFont="1" applyFill="1" applyBorder="1" applyProtection="1">
      <protection locked="0"/>
    </xf>
    <xf numFmtId="164" fontId="7" fillId="18" borderId="57" xfId="0" applyNumberFormat="1" applyFont="1" applyFill="1" applyBorder="1" applyProtection="1">
      <protection locked="0"/>
    </xf>
    <xf numFmtId="164" fontId="9" fillId="21" borderId="57" xfId="0" applyNumberFormat="1" applyFont="1" applyFill="1" applyBorder="1" applyProtection="1">
      <protection locked="0"/>
    </xf>
    <xf numFmtId="164" fontId="9" fillId="22" borderId="57" xfId="0" applyNumberFormat="1" applyFont="1" applyFill="1" applyBorder="1" applyProtection="1">
      <protection locked="0"/>
    </xf>
    <xf numFmtId="164" fontId="9" fillId="17" borderId="57" xfId="0" applyNumberFormat="1" applyFont="1" applyFill="1" applyBorder="1" applyProtection="1">
      <protection locked="0"/>
    </xf>
    <xf numFmtId="164" fontId="9" fillId="23" borderId="57" xfId="0" applyNumberFormat="1" applyFont="1" applyFill="1" applyBorder="1" applyProtection="1">
      <protection locked="0"/>
    </xf>
    <xf numFmtId="0" fontId="7" fillId="8" borderId="57" xfId="0" applyFont="1" applyFill="1" applyBorder="1" applyProtection="1">
      <protection locked="0"/>
    </xf>
    <xf numFmtId="0" fontId="7" fillId="18" borderId="57" xfId="0" applyFont="1" applyFill="1" applyBorder="1" applyProtection="1">
      <protection locked="0"/>
    </xf>
    <xf numFmtId="0" fontId="7" fillId="8" borderId="58" xfId="0" applyFont="1" applyFill="1" applyBorder="1" applyProtection="1">
      <protection locked="0"/>
    </xf>
    <xf numFmtId="0" fontId="3" fillId="17" borderId="12" xfId="0" applyFont="1" applyFill="1" applyBorder="1" applyAlignment="1">
      <alignment horizontal="center"/>
    </xf>
    <xf numFmtId="0" fontId="21" fillId="10" borderId="12" xfId="0" applyFont="1" applyFill="1" applyBorder="1" applyProtection="1">
      <protection locked="0"/>
    </xf>
    <xf numFmtId="164" fontId="9" fillId="22" borderId="58" xfId="0" applyNumberFormat="1" applyFont="1" applyFill="1" applyBorder="1" applyProtection="1">
      <protection locked="0"/>
    </xf>
    <xf numFmtId="0" fontId="9" fillId="17" borderId="12" xfId="0" applyFont="1" applyFill="1" applyBorder="1" applyAlignment="1">
      <alignment horizontal="center"/>
    </xf>
    <xf numFmtId="0" fontId="7" fillId="18" borderId="12" xfId="0" applyFont="1" applyFill="1" applyBorder="1" applyProtection="1">
      <protection locked="0"/>
    </xf>
    <xf numFmtId="0" fontId="7" fillId="8" borderId="12" xfId="0" applyFont="1" applyFill="1" applyBorder="1" applyProtection="1">
      <protection locked="0"/>
    </xf>
    <xf numFmtId="0" fontId="9" fillId="22" borderId="12" xfId="0" applyFont="1" applyFill="1" applyBorder="1"/>
    <xf numFmtId="164" fontId="21" fillId="10" borderId="12" xfId="0" applyNumberFormat="1" applyFont="1" applyFill="1" applyBorder="1" applyProtection="1">
      <protection locked="0"/>
    </xf>
    <xf numFmtId="0" fontId="7" fillId="8" borderId="57" xfId="0" applyFont="1" applyFill="1" applyBorder="1" applyAlignment="1">
      <alignment wrapText="1"/>
    </xf>
    <xf numFmtId="9" fontId="7" fillId="8" borderId="57" xfId="0" applyNumberFormat="1" applyFont="1" applyFill="1" applyBorder="1" applyAlignment="1">
      <alignment horizontal="center"/>
    </xf>
    <xf numFmtId="9" fontId="7" fillId="18" borderId="57" xfId="0" applyNumberFormat="1" applyFont="1" applyFill="1" applyBorder="1" applyAlignment="1">
      <alignment horizontal="center"/>
    </xf>
    <xf numFmtId="9" fontId="7" fillId="8" borderId="58" xfId="0" applyNumberFormat="1" applyFont="1" applyFill="1" applyBorder="1" applyAlignment="1">
      <alignment horizontal="center"/>
    </xf>
    <xf numFmtId="0" fontId="7" fillId="22" borderId="12" xfId="0" applyFont="1" applyFill="1" applyBorder="1" applyAlignment="1">
      <alignment horizontal="center"/>
    </xf>
    <xf numFmtId="0" fontId="7" fillId="21" borderId="12" xfId="0" applyFont="1" applyFill="1" applyBorder="1" applyAlignment="1">
      <alignment horizontal="center"/>
    </xf>
    <xf numFmtId="0" fontId="7" fillId="24" borderId="12" xfId="0" applyFont="1" applyFill="1" applyBorder="1" applyAlignment="1">
      <alignment horizontal="center"/>
    </xf>
    <xf numFmtId="0" fontId="7" fillId="25" borderId="12" xfId="0" applyFont="1" applyFill="1" applyBorder="1" applyAlignment="1">
      <alignment horizontal="center"/>
    </xf>
    <xf numFmtId="0" fontId="20" fillId="30" borderId="62" xfId="0" applyFont="1" applyFill="1" applyBorder="1" applyAlignment="1">
      <alignment horizontal="center"/>
    </xf>
    <xf numFmtId="0" fontId="33" fillId="8" borderId="63" xfId="0" applyFont="1" applyFill="1" applyBorder="1" applyAlignment="1">
      <alignment horizontal="center"/>
    </xf>
    <xf numFmtId="0" fontId="33" fillId="29" borderId="63" xfId="0" applyFont="1" applyFill="1" applyBorder="1" applyAlignment="1">
      <alignment horizontal="center"/>
    </xf>
    <xf numFmtId="0" fontId="33" fillId="8" borderId="64" xfId="0" applyFont="1" applyFill="1" applyBorder="1" applyAlignment="1">
      <alignment horizontal="center"/>
    </xf>
    <xf numFmtId="0" fontId="20" fillId="30" borderId="65" xfId="0" applyFont="1" applyFill="1" applyBorder="1" applyAlignment="1">
      <alignment horizontal="center"/>
    </xf>
    <xf numFmtId="0" fontId="0" fillId="11" borderId="66" xfId="0" applyFill="1" applyBorder="1" applyAlignment="1">
      <alignment horizontal="center"/>
    </xf>
    <xf numFmtId="0" fontId="0" fillId="9" borderId="66" xfId="0" applyFill="1" applyBorder="1" applyAlignment="1">
      <alignment horizontal="center"/>
    </xf>
    <xf numFmtId="0" fontId="0" fillId="13" borderId="66" xfId="0" applyFill="1" applyBorder="1" applyAlignment="1">
      <alignment horizontal="center"/>
    </xf>
    <xf numFmtId="0" fontId="0" fillId="31" borderId="67" xfId="0" applyFill="1" applyBorder="1" applyAlignment="1">
      <alignment horizontal="center"/>
    </xf>
    <xf numFmtId="0" fontId="20" fillId="8" borderId="66" xfId="0" applyFont="1" applyFill="1" applyBorder="1"/>
    <xf numFmtId="0" fontId="20" fillId="29" borderId="66" xfId="0" applyFont="1" applyFill="1" applyBorder="1"/>
    <xf numFmtId="0" fontId="20" fillId="8" borderId="67" xfId="0" applyFont="1" applyFill="1" applyBorder="1"/>
    <xf numFmtId="0" fontId="3" fillId="5" borderId="6" xfId="0" applyFont="1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8" borderId="0" xfId="0" applyFill="1"/>
    <xf numFmtId="0" fontId="19" fillId="17" borderId="68" xfId="0" applyFont="1" applyFill="1" applyBorder="1" applyAlignment="1">
      <alignment horizontal="center"/>
    </xf>
    <xf numFmtId="0" fontId="0" fillId="8" borderId="69" xfId="0" applyFill="1" applyBorder="1" applyProtection="1">
      <protection locked="0"/>
    </xf>
    <xf numFmtId="0" fontId="0" fillId="18" borderId="69" xfId="0" applyFill="1" applyBorder="1" applyProtection="1">
      <protection locked="0"/>
    </xf>
    <xf numFmtId="0" fontId="0" fillId="8" borderId="70" xfId="0" applyFill="1" applyBorder="1" applyProtection="1">
      <protection locked="0"/>
    </xf>
    <xf numFmtId="0" fontId="9" fillId="17" borderId="68" xfId="0" applyFont="1" applyFill="1" applyBorder="1" applyAlignment="1">
      <alignment horizontal="center"/>
    </xf>
    <xf numFmtId="0" fontId="7" fillId="18" borderId="69" xfId="0" applyFont="1" applyFill="1" applyBorder="1"/>
    <xf numFmtId="0" fontId="7" fillId="8" borderId="69" xfId="0" applyFont="1" applyFill="1" applyBorder="1"/>
    <xf numFmtId="0" fontId="7" fillId="18" borderId="70" xfId="0" applyFont="1" applyFill="1" applyBorder="1"/>
    <xf numFmtId="0" fontId="7" fillId="8" borderId="70" xfId="0" applyFont="1" applyFill="1" applyBorder="1"/>
    <xf numFmtId="0" fontId="3" fillId="0" borderId="0" xfId="0" applyFont="1"/>
    <xf numFmtId="0" fontId="3" fillId="11" borderId="0" xfId="0" applyFont="1" applyFill="1"/>
    <xf numFmtId="0" fontId="9" fillId="21" borderId="69" xfId="0" applyFont="1" applyFill="1" applyBorder="1"/>
    <xf numFmtId="0" fontId="9" fillId="22" borderId="69" xfId="0" applyFont="1" applyFill="1" applyBorder="1"/>
    <xf numFmtId="0" fontId="9" fillId="17" borderId="69" xfId="0" applyFont="1" applyFill="1" applyBorder="1"/>
    <xf numFmtId="0" fontId="9" fillId="23" borderId="69" xfId="0" applyFont="1" applyFill="1" applyBorder="1"/>
    <xf numFmtId="0" fontId="3" fillId="17" borderId="6" xfId="0" applyFont="1" applyFill="1" applyBorder="1" applyAlignment="1">
      <alignment horizontal="center"/>
    </xf>
    <xf numFmtId="0" fontId="21" fillId="10" borderId="6" xfId="0" applyFont="1" applyFill="1" applyBorder="1" applyProtection="1">
      <protection locked="0"/>
    </xf>
    <xf numFmtId="0" fontId="9" fillId="22" borderId="70" xfId="0" applyFont="1" applyFill="1" applyBorder="1"/>
    <xf numFmtId="0" fontId="9" fillId="17" borderId="6" xfId="0" applyFont="1" applyFill="1" applyBorder="1" applyAlignment="1">
      <alignment horizontal="center"/>
    </xf>
    <xf numFmtId="0" fontId="7" fillId="18" borderId="6" xfId="0" applyFont="1" applyFill="1" applyBorder="1"/>
    <xf numFmtId="0" fontId="7" fillId="8" borderId="6" xfId="0" applyFont="1" applyFill="1" applyBorder="1"/>
    <xf numFmtId="0" fontId="9" fillId="22" borderId="6" xfId="0" applyFont="1" applyFill="1" applyBorder="1"/>
    <xf numFmtId="0" fontId="7" fillId="22" borderId="6" xfId="0" applyFont="1" applyFill="1" applyBorder="1" applyAlignment="1">
      <alignment horizontal="center"/>
    </xf>
    <xf numFmtId="0" fontId="7" fillId="21" borderId="6" xfId="0" applyFont="1" applyFill="1" applyBorder="1" applyAlignment="1">
      <alignment horizontal="center"/>
    </xf>
    <xf numFmtId="0" fontId="7" fillId="24" borderId="6" xfId="0" applyFont="1" applyFill="1" applyBorder="1" applyAlignment="1">
      <alignment horizontal="center"/>
    </xf>
    <xf numFmtId="0" fontId="7" fillId="25" borderId="6" xfId="0" applyFont="1" applyFill="1" applyBorder="1" applyAlignment="1">
      <alignment horizontal="center"/>
    </xf>
    <xf numFmtId="0" fontId="0" fillId="39" borderId="6" xfId="0" applyFill="1" applyBorder="1"/>
    <xf numFmtId="0" fontId="0" fillId="8" borderId="6" xfId="0" applyFill="1" applyBorder="1"/>
    <xf numFmtId="0" fontId="3" fillId="5" borderId="59" xfId="0" applyFont="1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10" borderId="61" xfId="0" applyFill="1" applyBorder="1" applyAlignment="1">
      <alignment horizontal="center"/>
    </xf>
    <xf numFmtId="16" fontId="0" fillId="0" borderId="60" xfId="0" applyNumberFormat="1" applyBorder="1" applyAlignment="1">
      <alignment horizontal="center"/>
    </xf>
    <xf numFmtId="0" fontId="0" fillId="10" borderId="60" xfId="0" applyFill="1" applyBorder="1" applyAlignment="1">
      <alignment horizontal="center"/>
    </xf>
    <xf numFmtId="0" fontId="3" fillId="37" borderId="6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0" borderId="12" xfId="0" applyBorder="1" applyAlignment="1">
      <alignment vertical="center" wrapText="1"/>
    </xf>
    <xf numFmtId="0" fontId="0" fillId="7" borderId="12" xfId="0" applyFill="1" applyBorder="1" applyAlignment="1">
      <alignment vertical="center" wrapText="1"/>
    </xf>
    <xf numFmtId="0" fontId="67" fillId="0" borderId="0" xfId="1"/>
    <xf numFmtId="0" fontId="0" fillId="6" borderId="0" xfId="0" applyFill="1" applyAlignment="1">
      <alignment horizontal="center" wrapText="1"/>
    </xf>
    <xf numFmtId="0" fontId="0" fillId="6" borderId="49" xfId="0" applyFill="1" applyBorder="1" applyAlignment="1">
      <alignment horizontal="center" wrapText="1"/>
    </xf>
    <xf numFmtId="0" fontId="41" fillId="10" borderId="0" xfId="0" applyFont="1" applyFill="1" applyAlignment="1">
      <alignment wrapText="1"/>
    </xf>
    <xf numFmtId="0" fontId="31" fillId="32" borderId="0" xfId="0" applyFont="1" applyFill="1" applyAlignment="1">
      <alignment horizontal="left"/>
    </xf>
    <xf numFmtId="0" fontId="31" fillId="28" borderId="0" xfId="0" applyFont="1" applyFill="1" applyAlignment="1">
      <alignment horizontal="left"/>
    </xf>
    <xf numFmtId="0" fontId="40" fillId="3" borderId="0" xfId="0" applyFont="1" applyFill="1" applyAlignment="1">
      <alignment horizontal="left"/>
    </xf>
    <xf numFmtId="0" fontId="28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27" fillId="34" borderId="0" xfId="0" applyFont="1" applyFill="1" applyAlignment="1">
      <alignment horizontal="center" vertical="center"/>
    </xf>
    <xf numFmtId="0" fontId="29" fillId="26" borderId="0" xfId="0" applyFont="1" applyFill="1" applyAlignment="1">
      <alignment horizontal="center" vertical="center"/>
    </xf>
    <xf numFmtId="0" fontId="30" fillId="27" borderId="0" xfId="0" applyFont="1" applyFill="1" applyAlignment="1">
      <alignment horizontal="center"/>
    </xf>
    <xf numFmtId="0" fontId="32" fillId="29" borderId="0" xfId="0" applyFont="1" applyFill="1" applyAlignment="1">
      <alignment wrapText="1"/>
    </xf>
    <xf numFmtId="0" fontId="3" fillId="6" borderId="6" xfId="0" applyFont="1" applyFill="1" applyBorder="1" applyAlignment="1">
      <alignment vertical="center"/>
    </xf>
    <xf numFmtId="0" fontId="3" fillId="6" borderId="12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3" fillId="7" borderId="6" xfId="0" applyFont="1" applyFill="1" applyBorder="1" applyAlignment="1">
      <alignment vertical="center"/>
    </xf>
    <xf numFmtId="0" fontId="3" fillId="7" borderId="12" xfId="0" applyFont="1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0" fontId="2" fillId="3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2" fillId="2" borderId="3" xfId="0" applyFont="1" applyFill="1" applyBorder="1" applyAlignment="1">
      <alignment horizontal="left" vertical="center"/>
    </xf>
    <xf numFmtId="0" fontId="20" fillId="4" borderId="0" xfId="0" applyFont="1" applyFill="1" applyAlignment="1">
      <alignment horizontal="left"/>
    </xf>
    <xf numFmtId="0" fontId="12" fillId="2" borderId="0" xfId="0" applyFont="1" applyFill="1" applyAlignment="1">
      <alignment horizontal="left" vertical="center"/>
    </xf>
    <xf numFmtId="0" fontId="13" fillId="34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26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7" fillId="15" borderId="6" xfId="0" applyFont="1" applyFill="1" applyBorder="1" applyAlignment="1">
      <alignment horizontal="center"/>
    </xf>
    <xf numFmtId="0" fontId="15" fillId="14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64" fillId="9" borderId="0" xfId="0" applyFont="1" applyFill="1" applyAlignment="1">
      <alignment wrapText="1"/>
    </xf>
    <xf numFmtId="0" fontId="63" fillId="0" borderId="0" xfId="0" applyFont="1" applyAlignment="1">
      <alignment horizontal="center"/>
    </xf>
    <xf numFmtId="0" fontId="62" fillId="38" borderId="0" xfId="0" applyFont="1" applyFill="1" applyAlignment="1">
      <alignment wrapText="1"/>
    </xf>
    <xf numFmtId="0" fontId="13" fillId="35" borderId="0" xfId="0" applyFont="1" applyFill="1" applyAlignment="1">
      <alignment horizontal="center" vertical="center"/>
    </xf>
    <xf numFmtId="0" fontId="58" fillId="26" borderId="0" xfId="0" applyFont="1" applyFill="1" applyAlignment="1">
      <alignment horizontal="center"/>
    </xf>
    <xf numFmtId="0" fontId="59" fillId="36" borderId="0" xfId="0" applyFont="1" applyFill="1" applyAlignment="1">
      <alignment horizontal="center"/>
    </xf>
    <xf numFmtId="0" fontId="60" fillId="3" borderId="0" xfId="0" applyFont="1" applyFill="1" applyAlignment="1">
      <alignment wrapText="1"/>
    </xf>
    <xf numFmtId="0" fontId="8" fillId="2" borderId="39" xfId="0" applyFont="1" applyFill="1" applyBorder="1" applyAlignment="1"/>
    <xf numFmtId="0" fontId="8" fillId="2" borderId="35" xfId="0" applyFont="1" applyFill="1" applyBorder="1" applyAlignment="1"/>
    <xf numFmtId="0" fontId="8" fillId="2" borderId="0" xfId="0" applyFont="1" applyFill="1" applyAlignment="1"/>
    <xf numFmtId="0" fontId="39" fillId="11" borderId="0" xfId="0" applyFont="1" applyFill="1" applyAlignment="1"/>
    <xf numFmtId="0" fontId="1" fillId="34" borderId="0" xfId="0" applyFont="1" applyFill="1" applyAlignment="1"/>
    <xf numFmtId="0" fontId="0" fillId="0" borderId="0" xfId="0" applyAlignment="1"/>
    <xf numFmtId="0" fontId="0" fillId="0" borderId="4" xfId="0" applyBorder="1" applyAlignment="1"/>
    <xf numFmtId="0" fontId="0" fillId="0" borderId="12" xfId="0" applyBorder="1" applyAlignment="1"/>
    <xf numFmtId="0" fontId="12" fillId="2" borderId="0" xfId="0" applyFont="1" applyFill="1" applyAlignment="1"/>
    <xf numFmtId="0" fontId="18" fillId="16" borderId="0" xfId="0" applyFont="1" applyFill="1" applyAlignment="1"/>
    <xf numFmtId="0" fontId="20" fillId="19" borderId="0" xfId="0" applyFont="1" applyFill="1" applyAlignment="1"/>
    <xf numFmtId="0" fontId="46" fillId="0" borderId="0" xfId="0" applyFont="1" applyAlignment="1"/>
    <xf numFmtId="0" fontId="20" fillId="4" borderId="0" xfId="0" applyFont="1" applyFill="1" applyAlignment="1"/>
    <xf numFmtId="0" fontId="56" fillId="11" borderId="0" xfId="0" applyFont="1" applyFill="1" applyAlignment="1"/>
    <xf numFmtId="0" fontId="57" fillId="11" borderId="13" xfId="0" applyFont="1" applyFill="1" applyBorder="1" applyAlignment="1"/>
    <xf numFmtId="0" fontId="0" fillId="0" borderId="0" xfId="0" applyAlignment="1" applyProtection="1">
      <protection locked="0"/>
    </xf>
    <xf numFmtId="0" fontId="23" fillId="0" borderId="0" xfId="0" applyFont="1" applyAlignment="1"/>
    <xf numFmtId="0" fontId="45" fillId="0" borderId="0" xfId="0" applyFont="1" applyAlignment="1"/>
    <xf numFmtId="0" fontId="20" fillId="6" borderId="0" xfId="0" applyFont="1" applyFill="1" applyAlignment="1"/>
    <xf numFmtId="0" fontId="61" fillId="3" borderId="0" xfId="0" applyFont="1" applyFill="1" applyAlignment="1"/>
    <xf numFmtId="0" fontId="4" fillId="12" borderId="0" xfId="0" applyFont="1" applyFill="1" applyAlignment="1"/>
    <xf numFmtId="0" fontId="11" fillId="0" borderId="0" xfId="0" applyFont="1" applyAlignment="1"/>
    <xf numFmtId="0" fontId="66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en-us/azure/migrate/migrate-appliance?view=migrate" TargetMode="External"/><Relationship Id="rId2" Type="http://schemas.openxmlformats.org/officeDocument/2006/relationships/hyperlink" Target="https://learn.microsoft.com/en-us/assessments/8fefc6d5-97ac-42b3-8e97-d82701e55bab/" TargetMode="External"/><Relationship Id="rId1" Type="http://schemas.openxmlformats.org/officeDocument/2006/relationships/hyperlink" Target="https://learn.microsoft.com/en-us/azure/migrate/migrate-appli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4F71-FB69-48D5-8C8A-03B9A8DD7C14}">
  <dimension ref="A1:E84"/>
  <sheetViews>
    <sheetView tabSelected="1" workbookViewId="0">
      <pane ySplit="4" topLeftCell="A7" activePane="bottomLeft" state="frozen"/>
      <selection pane="bottomLeft" activeCell="D51" sqref="D51"/>
    </sheetView>
  </sheetViews>
  <sheetFormatPr defaultRowHeight="14.45"/>
  <cols>
    <col min="1" max="1" width="29.140625" customWidth="1"/>
    <col min="2" max="2" width="76.5703125" customWidth="1"/>
    <col min="3" max="3" width="48.140625" bestFit="1" customWidth="1"/>
    <col min="4" max="4" width="42.140625" bestFit="1" customWidth="1"/>
    <col min="5" max="5" width="5.42578125" customWidth="1"/>
  </cols>
  <sheetData>
    <row r="1" spans="1:5" ht="54.95" customHeight="1">
      <c r="A1" s="286" t="s">
        <v>0</v>
      </c>
      <c r="B1" s="286"/>
      <c r="C1" s="286"/>
      <c r="D1" s="286"/>
      <c r="E1" s="286"/>
    </row>
    <row r="2" spans="1:5" ht="32.1" customHeight="1">
      <c r="A2" s="287" t="s">
        <v>1</v>
      </c>
      <c r="B2" s="287"/>
      <c r="C2" s="287"/>
      <c r="D2" s="287"/>
      <c r="E2" s="287"/>
    </row>
    <row r="3" spans="1:5" ht="24" customHeight="1">
      <c r="A3" s="288" t="s">
        <v>2</v>
      </c>
      <c r="B3" s="288"/>
      <c r="C3" s="288"/>
      <c r="D3" s="288"/>
      <c r="E3" s="288"/>
    </row>
    <row r="4" spans="1:5" ht="9.9499999999999993" customHeight="1"/>
    <row r="5" spans="1:5" ht="32.1" customHeight="1">
      <c r="A5" s="279" t="s">
        <v>3</v>
      </c>
      <c r="B5" s="279"/>
      <c r="C5" s="279"/>
      <c r="D5" s="279"/>
      <c r="E5" s="279"/>
    </row>
    <row r="6" spans="1:5" ht="50.1" customHeight="1">
      <c r="A6" s="289" t="s">
        <v>4</v>
      </c>
      <c r="B6" s="289"/>
      <c r="C6" s="289"/>
      <c r="D6" s="289"/>
      <c r="E6" s="289"/>
    </row>
    <row r="7" spans="1:5" ht="15" customHeight="1"/>
    <row r="8" spans="1:5" ht="32.1" customHeight="1">
      <c r="A8" s="285" t="s">
        <v>5</v>
      </c>
      <c r="B8" s="285"/>
      <c r="C8" s="285"/>
      <c r="D8" s="285"/>
      <c r="E8" s="285"/>
    </row>
    <row r="9" spans="1:5" ht="26.1" customHeight="1" thickBot="1">
      <c r="A9" s="219" t="s">
        <v>6</v>
      </c>
      <c r="B9" s="168" t="s">
        <v>7</v>
      </c>
      <c r="C9" s="46" t="s">
        <v>8</v>
      </c>
      <c r="D9" s="47" t="s">
        <v>9</v>
      </c>
    </row>
    <row r="10" spans="1:5" ht="27.6" customHeight="1" thickBot="1">
      <c r="A10" s="220" t="s">
        <v>10</v>
      </c>
      <c r="B10" s="169" t="s">
        <v>11</v>
      </c>
      <c r="C10" s="48" t="s">
        <v>12</v>
      </c>
      <c r="D10" s="49" t="s">
        <v>13</v>
      </c>
    </row>
    <row r="11" spans="1:5" ht="29.45" thickBot="1">
      <c r="A11" s="221" t="s">
        <v>14</v>
      </c>
      <c r="B11" s="170" t="s">
        <v>15</v>
      </c>
      <c r="C11" s="50" t="s">
        <v>12</v>
      </c>
      <c r="D11" s="51" t="s">
        <v>13</v>
      </c>
    </row>
    <row r="12" spans="1:5" ht="27.95" customHeight="1" thickBot="1">
      <c r="A12" s="220" t="s">
        <v>16</v>
      </c>
      <c r="B12" s="169" t="s">
        <v>17</v>
      </c>
      <c r="C12" s="48" t="s">
        <v>18</v>
      </c>
      <c r="D12" s="49" t="s">
        <v>13</v>
      </c>
    </row>
    <row r="13" spans="1:5" ht="27.95" customHeight="1" thickBot="1">
      <c r="A13" s="221" t="s">
        <v>19</v>
      </c>
      <c r="B13" s="170" t="s">
        <v>20</v>
      </c>
      <c r="C13" s="50" t="s">
        <v>21</v>
      </c>
      <c r="D13" s="51" t="s">
        <v>13</v>
      </c>
    </row>
    <row r="14" spans="1:5" ht="27.95" customHeight="1" thickBot="1">
      <c r="A14" s="220" t="s">
        <v>22</v>
      </c>
      <c r="B14" s="169" t="s">
        <v>23</v>
      </c>
      <c r="C14" s="48" t="s">
        <v>21</v>
      </c>
      <c r="D14" s="49" t="s">
        <v>24</v>
      </c>
    </row>
    <row r="15" spans="1:5" ht="27.95" customHeight="1" thickBot="1">
      <c r="A15" s="221" t="s">
        <v>25</v>
      </c>
      <c r="B15" s="170" t="s">
        <v>26</v>
      </c>
      <c r="C15" s="50" t="s">
        <v>27</v>
      </c>
      <c r="D15" s="51" t="s">
        <v>24</v>
      </c>
    </row>
    <row r="16" spans="1:5" ht="27.95" customHeight="1">
      <c r="A16" s="222" t="s">
        <v>28</v>
      </c>
      <c r="B16" s="171" t="s">
        <v>29</v>
      </c>
      <c r="C16" s="52" t="s">
        <v>30</v>
      </c>
      <c r="D16" s="53" t="s">
        <v>13</v>
      </c>
    </row>
    <row r="17" spans="1:5" ht="20.100000000000001" customHeight="1"/>
    <row r="18" spans="1:5" ht="32.1" customHeight="1">
      <c r="A18" s="279" t="s">
        <v>31</v>
      </c>
      <c r="B18" s="279"/>
      <c r="C18" s="279"/>
      <c r="D18" s="279"/>
      <c r="E18" s="279"/>
    </row>
    <row r="19" spans="1:5" ht="8.1" customHeight="1"/>
    <row r="20" spans="1:5" ht="27.95" customHeight="1">
      <c r="A20" s="324" t="s">
        <v>32</v>
      </c>
      <c r="B20" s="325"/>
      <c r="C20" s="326"/>
      <c r="D20" s="326"/>
      <c r="E20" s="326"/>
    </row>
    <row r="21" spans="1:5">
      <c r="A21" s="70" t="s">
        <v>33</v>
      </c>
      <c r="B21" s="276" t="s">
        <v>34</v>
      </c>
      <c r="C21" s="276"/>
    </row>
    <row r="22" spans="1:5">
      <c r="A22" s="68" t="s">
        <v>35</v>
      </c>
      <c r="B22" s="276" t="s">
        <v>36</v>
      </c>
      <c r="C22" s="276"/>
    </row>
    <row r="23" spans="1:5">
      <c r="A23" s="68" t="s">
        <v>37</v>
      </c>
      <c r="B23" s="276" t="s">
        <v>38</v>
      </c>
      <c r="C23" s="276"/>
    </row>
    <row r="24" spans="1:5">
      <c r="A24" s="69" t="s">
        <v>39</v>
      </c>
      <c r="B24" s="276" t="s">
        <v>40</v>
      </c>
      <c r="C24" s="276"/>
    </row>
    <row r="25" spans="1:5" ht="12" customHeight="1"/>
    <row r="26" spans="1:5" ht="27.95" customHeight="1">
      <c r="A26" s="324" t="s">
        <v>41</v>
      </c>
      <c r="B26" s="325"/>
      <c r="C26" s="326"/>
      <c r="D26" s="326"/>
      <c r="E26" s="326"/>
    </row>
    <row r="27" spans="1:5">
      <c r="A27" s="68" t="s">
        <v>33</v>
      </c>
      <c r="B27" s="276" t="s">
        <v>42</v>
      </c>
      <c r="C27" s="276"/>
    </row>
    <row r="28" spans="1:5">
      <c r="A28" s="68" t="s">
        <v>35</v>
      </c>
      <c r="B28" s="276" t="s">
        <v>43</v>
      </c>
      <c r="C28" s="276"/>
    </row>
    <row r="29" spans="1:5">
      <c r="A29" s="68" t="s">
        <v>37</v>
      </c>
      <c r="B29" s="276" t="s">
        <v>44</v>
      </c>
      <c r="C29" s="276"/>
    </row>
    <row r="30" spans="1:5">
      <c r="A30" s="69" t="s">
        <v>45</v>
      </c>
      <c r="B30" s="276" t="s">
        <v>46</v>
      </c>
      <c r="C30" s="276"/>
    </row>
    <row r="31" spans="1:5" ht="12" customHeight="1"/>
    <row r="32" spans="1:5" ht="27.95" customHeight="1">
      <c r="A32" s="324" t="s">
        <v>47</v>
      </c>
      <c r="B32" s="325"/>
      <c r="C32" s="326"/>
      <c r="D32" s="326"/>
      <c r="E32" s="326"/>
    </row>
    <row r="33" spans="1:5" ht="30.95" customHeight="1">
      <c r="A33" s="68" t="s">
        <v>33</v>
      </c>
      <c r="B33" s="276" t="s">
        <v>48</v>
      </c>
      <c r="C33" s="276"/>
    </row>
    <row r="34" spans="1:5" ht="29.1" customHeight="1">
      <c r="A34" s="68" t="s">
        <v>35</v>
      </c>
      <c r="B34" s="276" t="s">
        <v>49</v>
      </c>
      <c r="C34" s="276"/>
    </row>
    <row r="35" spans="1:5">
      <c r="A35" s="68" t="s">
        <v>37</v>
      </c>
      <c r="B35" s="276" t="s">
        <v>50</v>
      </c>
      <c r="C35" s="276"/>
    </row>
    <row r="36" spans="1:5" ht="29.1" customHeight="1">
      <c r="A36" s="68" t="s">
        <v>51</v>
      </c>
      <c r="B36" s="276" t="s">
        <v>52</v>
      </c>
      <c r="C36" s="276"/>
    </row>
    <row r="37" spans="1:5" ht="12" customHeight="1"/>
    <row r="38" spans="1:5" ht="27.95" customHeight="1">
      <c r="A38" s="324" t="s">
        <v>53</v>
      </c>
      <c r="B38" s="325"/>
      <c r="C38" s="326"/>
      <c r="D38" s="326"/>
      <c r="E38" s="326"/>
    </row>
    <row r="39" spans="1:5" ht="29.1" customHeight="1">
      <c r="A39" s="68" t="s">
        <v>33</v>
      </c>
      <c r="B39" s="275" t="s">
        <v>54</v>
      </c>
      <c r="C39" s="275"/>
    </row>
    <row r="40" spans="1:5">
      <c r="A40" s="68" t="s">
        <v>35</v>
      </c>
      <c r="B40" s="275" t="s">
        <v>55</v>
      </c>
      <c r="C40" s="275"/>
    </row>
    <row r="41" spans="1:5">
      <c r="A41" s="68" t="s">
        <v>37</v>
      </c>
      <c r="B41" s="275" t="s">
        <v>56</v>
      </c>
      <c r="C41" s="275"/>
    </row>
    <row r="42" spans="1:5" ht="29.1" customHeight="1">
      <c r="A42" s="69" t="s">
        <v>57</v>
      </c>
      <c r="B42" s="275" t="s">
        <v>58</v>
      </c>
      <c r="C42" s="275"/>
    </row>
    <row r="43" spans="1:5" ht="12" customHeight="1"/>
    <row r="44" spans="1:5" ht="27.95" customHeight="1">
      <c r="A44" s="324" t="s">
        <v>59</v>
      </c>
      <c r="B44" s="325"/>
      <c r="C44" s="326"/>
      <c r="D44" s="326"/>
      <c r="E44" s="326"/>
    </row>
    <row r="45" spans="1:5" ht="29.1" customHeight="1">
      <c r="A45" s="68" t="s">
        <v>33</v>
      </c>
      <c r="B45" s="275" t="s">
        <v>60</v>
      </c>
      <c r="C45" s="275"/>
    </row>
    <row r="46" spans="1:5">
      <c r="A46" s="68" t="s">
        <v>35</v>
      </c>
      <c r="B46" s="275" t="s">
        <v>61</v>
      </c>
      <c r="C46" s="275"/>
    </row>
    <row r="47" spans="1:5">
      <c r="A47" s="68" t="s">
        <v>37</v>
      </c>
      <c r="B47" s="275" t="s">
        <v>62</v>
      </c>
      <c r="C47" s="275"/>
    </row>
    <row r="48" spans="1:5" ht="29.1" customHeight="1">
      <c r="A48" s="69" t="s">
        <v>63</v>
      </c>
      <c r="B48" s="275" t="s">
        <v>64</v>
      </c>
      <c r="C48" s="275"/>
    </row>
    <row r="49" spans="1:5" ht="20.100000000000001" customHeight="1"/>
    <row r="50" spans="1:5" ht="32.1" customHeight="1">
      <c r="A50" s="279" t="s">
        <v>65</v>
      </c>
      <c r="B50" s="279"/>
      <c r="C50" s="279"/>
      <c r="D50" s="279"/>
      <c r="E50" s="279"/>
    </row>
    <row r="51" spans="1:5" ht="26.1" customHeight="1">
      <c r="A51" s="223" t="s">
        <v>66</v>
      </c>
      <c r="B51" s="172" t="s">
        <v>67</v>
      </c>
      <c r="C51" s="55" t="s">
        <v>68</v>
      </c>
      <c r="D51" s="56" t="s">
        <v>69</v>
      </c>
    </row>
    <row r="52" spans="1:5" ht="27.95" customHeight="1">
      <c r="A52" s="224" t="s">
        <v>70</v>
      </c>
      <c r="B52" s="173" t="s">
        <v>71</v>
      </c>
      <c r="C52" s="57" t="s">
        <v>72</v>
      </c>
      <c r="D52" s="58" t="s">
        <v>73</v>
      </c>
    </row>
    <row r="53" spans="1:5" ht="27.95" customHeight="1">
      <c r="A53" s="225" t="s">
        <v>74</v>
      </c>
      <c r="B53" s="174" t="s">
        <v>75</v>
      </c>
      <c r="C53" s="59" t="s">
        <v>76</v>
      </c>
      <c r="D53" s="60" t="s">
        <v>77</v>
      </c>
    </row>
    <row r="54" spans="1:5" ht="27.95" customHeight="1">
      <c r="A54" s="226" t="s">
        <v>78</v>
      </c>
      <c r="B54" s="175" t="s">
        <v>79</v>
      </c>
      <c r="C54" s="61" t="s">
        <v>80</v>
      </c>
      <c r="D54" s="62" t="s">
        <v>81</v>
      </c>
    </row>
    <row r="55" spans="1:5" ht="27.95" customHeight="1">
      <c r="A55" s="227" t="s">
        <v>82</v>
      </c>
      <c r="B55" s="176" t="s">
        <v>83</v>
      </c>
      <c r="C55" s="63" t="s">
        <v>84</v>
      </c>
      <c r="D55" s="64" t="s">
        <v>85</v>
      </c>
    </row>
    <row r="56" spans="1:5" ht="20.100000000000001" customHeight="1"/>
    <row r="57" spans="1:5" ht="32.1" customHeight="1">
      <c r="A57" s="279" t="s">
        <v>86</v>
      </c>
      <c r="B57" s="279"/>
      <c r="C57" s="279"/>
      <c r="D57" s="279"/>
      <c r="E57" s="279"/>
    </row>
    <row r="58" spans="1:5" ht="26.1" customHeight="1">
      <c r="A58" s="223" t="s">
        <v>87</v>
      </c>
      <c r="B58" s="172" t="s">
        <v>88</v>
      </c>
      <c r="C58" s="56" t="s">
        <v>89</v>
      </c>
    </row>
    <row r="59" spans="1:5" ht="24" customHeight="1">
      <c r="A59" s="228" t="s">
        <v>90</v>
      </c>
      <c r="B59" s="177" t="s">
        <v>91</v>
      </c>
      <c r="C59" s="65" t="s">
        <v>92</v>
      </c>
    </row>
    <row r="60" spans="1:5" ht="24" customHeight="1">
      <c r="A60" s="229" t="s">
        <v>93</v>
      </c>
      <c r="B60" s="178" t="s">
        <v>94</v>
      </c>
      <c r="C60" s="66" t="s">
        <v>95</v>
      </c>
    </row>
    <row r="61" spans="1:5" ht="24" customHeight="1">
      <c r="A61" s="228" t="s">
        <v>96</v>
      </c>
      <c r="B61" s="177" t="s">
        <v>97</v>
      </c>
      <c r="C61" s="65" t="s">
        <v>98</v>
      </c>
    </row>
    <row r="62" spans="1:5" ht="24" customHeight="1">
      <c r="A62" s="229" t="s">
        <v>99</v>
      </c>
      <c r="B62" s="178" t="s">
        <v>100</v>
      </c>
      <c r="C62" s="66" t="s">
        <v>101</v>
      </c>
    </row>
    <row r="63" spans="1:5" ht="24" customHeight="1">
      <c r="A63" s="228" t="s">
        <v>102</v>
      </c>
      <c r="B63" s="177" t="s">
        <v>103</v>
      </c>
      <c r="C63" s="65" t="s">
        <v>104</v>
      </c>
    </row>
    <row r="64" spans="1:5" ht="24" customHeight="1">
      <c r="A64" s="229" t="s">
        <v>105</v>
      </c>
      <c r="B64" s="178" t="s">
        <v>106</v>
      </c>
      <c r="C64" s="66" t="s">
        <v>107</v>
      </c>
    </row>
    <row r="65" spans="1:5" ht="24" customHeight="1">
      <c r="A65" s="228" t="s">
        <v>108</v>
      </c>
      <c r="B65" s="177" t="s">
        <v>109</v>
      </c>
      <c r="C65" s="65" t="s">
        <v>110</v>
      </c>
    </row>
    <row r="66" spans="1:5" ht="24" customHeight="1">
      <c r="A66" s="229" t="s">
        <v>111</v>
      </c>
      <c r="B66" s="178" t="s">
        <v>112</v>
      </c>
      <c r="C66" s="66" t="s">
        <v>113</v>
      </c>
    </row>
    <row r="67" spans="1:5" ht="24" customHeight="1">
      <c r="A67" s="230" t="s">
        <v>114</v>
      </c>
      <c r="B67" s="179" t="s">
        <v>115</v>
      </c>
      <c r="C67" s="67" t="s">
        <v>116</v>
      </c>
    </row>
    <row r="68" spans="1:5" ht="20.100000000000001" customHeight="1"/>
    <row r="69" spans="1:5" ht="32.1" customHeight="1">
      <c r="A69" s="278" t="s">
        <v>117</v>
      </c>
      <c r="B69" s="278"/>
      <c r="C69" s="278"/>
      <c r="D69" s="278"/>
      <c r="E69" s="278"/>
    </row>
    <row r="70" spans="1:5" ht="26.1" customHeight="1">
      <c r="A70" s="327" t="s">
        <v>118</v>
      </c>
      <c r="B70" s="327"/>
      <c r="C70" s="327"/>
      <c r="D70" s="327"/>
      <c r="E70" s="327"/>
    </row>
    <row r="71" spans="1:5" ht="26.1" customHeight="1">
      <c r="A71" s="327" t="s">
        <v>119</v>
      </c>
      <c r="B71" s="327"/>
      <c r="C71" s="327"/>
      <c r="D71" s="327"/>
      <c r="E71" s="327"/>
    </row>
    <row r="72" spans="1:5" ht="26.1" customHeight="1">
      <c r="A72" s="327" t="s">
        <v>120</v>
      </c>
      <c r="B72" s="327"/>
      <c r="C72" s="327"/>
      <c r="D72" s="327"/>
      <c r="E72" s="327"/>
    </row>
    <row r="73" spans="1:5" ht="20.100000000000001" customHeight="1"/>
    <row r="74" spans="1:5" ht="30" customHeight="1">
      <c r="A74" s="280" t="s">
        <v>121</v>
      </c>
      <c r="B74" s="280"/>
      <c r="C74" s="280"/>
      <c r="D74" s="280"/>
      <c r="E74" s="280"/>
    </row>
    <row r="75" spans="1:5" ht="21.95" customHeight="1">
      <c r="A75" s="277" t="s">
        <v>122</v>
      </c>
      <c r="B75" s="277"/>
      <c r="C75" s="277"/>
      <c r="D75" s="277"/>
      <c r="E75" s="277"/>
    </row>
    <row r="76" spans="1:5" ht="21.95" customHeight="1">
      <c r="A76" s="277" t="s">
        <v>123</v>
      </c>
      <c r="B76" s="277"/>
      <c r="C76" s="277"/>
      <c r="D76" s="277"/>
      <c r="E76" s="277"/>
    </row>
    <row r="77" spans="1:5" ht="21.95" customHeight="1">
      <c r="A77" s="277" t="s">
        <v>124</v>
      </c>
      <c r="B77" s="277"/>
      <c r="C77" s="277"/>
      <c r="D77" s="277"/>
      <c r="E77" s="277"/>
    </row>
    <row r="78" spans="1:5" ht="21.95" customHeight="1">
      <c r="A78" s="277" t="s">
        <v>125</v>
      </c>
      <c r="B78" s="277"/>
      <c r="C78" s="277"/>
      <c r="D78" s="277"/>
      <c r="E78" s="277"/>
    </row>
    <row r="79" spans="1:5" ht="21.95" customHeight="1">
      <c r="A79" s="277" t="s">
        <v>126</v>
      </c>
      <c r="B79" s="277"/>
      <c r="C79" s="277"/>
      <c r="D79" s="277"/>
      <c r="E79" s="277"/>
    </row>
    <row r="80" spans="1:5" ht="15" customHeight="1"/>
    <row r="81" spans="1:5" ht="20.100000000000001" customHeight="1">
      <c r="A81" s="281" t="s">
        <v>127</v>
      </c>
      <c r="B81" s="281"/>
      <c r="C81" s="281"/>
      <c r="D81" s="281"/>
      <c r="E81" s="281"/>
    </row>
    <row r="82" spans="1:5" ht="21.95" customHeight="1">
      <c r="A82" s="282" t="s">
        <v>128</v>
      </c>
      <c r="B82" s="282"/>
      <c r="C82" s="282"/>
      <c r="D82" s="282"/>
      <c r="E82" s="282"/>
    </row>
    <row r="83" spans="1:5" ht="20.100000000000001" customHeight="1">
      <c r="A83" s="283" t="s">
        <v>129</v>
      </c>
      <c r="B83" s="283"/>
      <c r="C83" s="283"/>
      <c r="D83" s="283"/>
      <c r="E83" s="283"/>
    </row>
    <row r="84" spans="1:5" ht="27.95" customHeight="1">
      <c r="A84" s="284" t="s">
        <v>130</v>
      </c>
      <c r="B84" s="284"/>
      <c r="C84" s="284"/>
      <c r="D84" s="284"/>
      <c r="E84" s="284"/>
    </row>
  </sheetData>
  <sheetProtection sheet="1" objects="1" scenarios="1"/>
  <mergeCells count="48">
    <mergeCell ref="A1:E1"/>
    <mergeCell ref="A2:E2"/>
    <mergeCell ref="A3:E3"/>
    <mergeCell ref="A5:E5"/>
    <mergeCell ref="A6:E6"/>
    <mergeCell ref="A8:E8"/>
    <mergeCell ref="A18:E18"/>
    <mergeCell ref="A26:E26"/>
    <mergeCell ref="A38:E38"/>
    <mergeCell ref="A44:E44"/>
    <mergeCell ref="A20:E20"/>
    <mergeCell ref="A32:E32"/>
    <mergeCell ref="B33:C33"/>
    <mergeCell ref="B34:C34"/>
    <mergeCell ref="B35:C35"/>
    <mergeCell ref="B36:C36"/>
    <mergeCell ref="B21:C21"/>
    <mergeCell ref="B22:C22"/>
    <mergeCell ref="B23:C23"/>
    <mergeCell ref="B24:C24"/>
    <mergeCell ref="B27:C27"/>
    <mergeCell ref="A81:E81"/>
    <mergeCell ref="A82:E82"/>
    <mergeCell ref="A83:E83"/>
    <mergeCell ref="A84:E84"/>
    <mergeCell ref="A77:E77"/>
    <mergeCell ref="A78:E78"/>
    <mergeCell ref="A79:E79"/>
    <mergeCell ref="A75:E75"/>
    <mergeCell ref="A76:E76"/>
    <mergeCell ref="A69:E69"/>
    <mergeCell ref="A70:E70"/>
    <mergeCell ref="B46:C46"/>
    <mergeCell ref="B47:C47"/>
    <mergeCell ref="B48:C48"/>
    <mergeCell ref="A50:E50"/>
    <mergeCell ref="A57:E57"/>
    <mergeCell ref="A71:E71"/>
    <mergeCell ref="A72:E72"/>
    <mergeCell ref="A74:E74"/>
    <mergeCell ref="B41:C41"/>
    <mergeCell ref="B42:C42"/>
    <mergeCell ref="B45:C45"/>
    <mergeCell ref="B28:C28"/>
    <mergeCell ref="B29:C29"/>
    <mergeCell ref="B30:C30"/>
    <mergeCell ref="B39:C39"/>
    <mergeCell ref="B40:C40"/>
  </mergeCells>
  <pageMargins left="0.7" right="0.7" top="0.75" bottom="0.75" header="0.3" footer="0.3"/>
  <pageSetup paperSize="0" scale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64AA-0041-411D-BB8E-6065CFD4BC07}">
  <dimension ref="B3:C7"/>
  <sheetViews>
    <sheetView workbookViewId="0">
      <selection activeCell="C18" sqref="C18"/>
    </sheetView>
  </sheetViews>
  <sheetFormatPr defaultRowHeight="14.45"/>
  <cols>
    <col min="2" max="2" width="57.42578125" bestFit="1" customWidth="1"/>
    <col min="3" max="3" width="96.85546875" bestFit="1" customWidth="1"/>
  </cols>
  <sheetData>
    <row r="3" spans="2:3">
      <c r="B3" s="274" t="s">
        <v>131</v>
      </c>
      <c r="C3" s="274" t="s">
        <v>132</v>
      </c>
    </row>
    <row r="5" spans="2:3">
      <c r="B5" t="s">
        <v>133</v>
      </c>
      <c r="C5" t="s">
        <v>134</v>
      </c>
    </row>
    <row r="6" spans="2:3">
      <c r="B6" s="274"/>
    </row>
    <row r="7" spans="2:3">
      <c r="B7" t="s">
        <v>135</v>
      </c>
      <c r="C7" s="274" t="s">
        <v>136</v>
      </c>
    </row>
  </sheetData>
  <hyperlinks>
    <hyperlink ref="B3" r:id="rId1" location="deployment-scenarios" display="https://learn.microsoft.com/en-us/azure/migrate/migrate-appliance - deployment-scenarios" xr:uid="{A47F7C37-03D9-4F6D-83BB-5432EF790374}"/>
    <hyperlink ref="C7" r:id="rId2" xr:uid="{A0343C2B-0ABB-45CF-B4B8-2512FAC51011}"/>
    <hyperlink ref="C3" r:id="rId3" location="deployment-scenarios" xr:uid="{98A87E0F-3980-43E4-97F3-B044DAA9539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CFD8-3A94-4246-905B-746E396F8742}">
  <dimension ref="A1:E133"/>
  <sheetViews>
    <sheetView workbookViewId="0">
      <pane ySplit="4" topLeftCell="A72" activePane="bottomLeft" state="frozen"/>
      <selection pane="bottomLeft" activeCell="B14" sqref="B14"/>
    </sheetView>
  </sheetViews>
  <sheetFormatPr defaultRowHeight="14.45"/>
  <cols>
    <col min="1" max="1" width="36.42578125" customWidth="1"/>
    <col min="2" max="2" width="35.85546875" customWidth="1"/>
    <col min="3" max="3" width="37.42578125" style="23" customWidth="1"/>
    <col min="4" max="4" width="27.28515625" style="23" customWidth="1"/>
    <col min="5" max="5" width="31.42578125" style="23" bestFit="1" customWidth="1"/>
    <col min="6" max="6" width="32.7109375" customWidth="1"/>
  </cols>
  <sheetData>
    <row r="1" spans="1:5" ht="32.1" customHeight="1">
      <c r="A1" s="302" t="s">
        <v>137</v>
      </c>
      <c r="B1" s="302"/>
      <c r="C1" s="302"/>
      <c r="D1" s="302"/>
      <c r="E1" s="302"/>
    </row>
    <row r="2" spans="1:5">
      <c r="A2" s="303" t="s">
        <v>138</v>
      </c>
      <c r="B2" s="303"/>
      <c r="C2" s="303"/>
      <c r="D2" s="303"/>
      <c r="E2" s="303"/>
    </row>
    <row r="3" spans="1:5" ht="21.95" customHeight="1">
      <c r="A3" s="304" t="s">
        <v>139</v>
      </c>
      <c r="B3" s="304"/>
      <c r="C3" s="304"/>
      <c r="D3" s="304"/>
      <c r="E3" s="304"/>
    </row>
    <row r="4" spans="1:5" ht="21.95" customHeight="1">
      <c r="A4" s="1"/>
      <c r="B4" s="1"/>
      <c r="C4" s="38"/>
      <c r="D4" s="38"/>
      <c r="E4" s="38"/>
    </row>
    <row r="5" spans="1:5" ht="27.95" customHeight="1">
      <c r="A5" s="300" t="s">
        <v>140</v>
      </c>
      <c r="B5" s="300"/>
      <c r="C5" s="300"/>
      <c r="D5" s="300"/>
      <c r="E5" s="300"/>
    </row>
    <row r="6" spans="1:5" ht="12" customHeight="1">
      <c r="A6" s="231" t="s">
        <v>141</v>
      </c>
      <c r="B6" s="180" t="s">
        <v>142</v>
      </c>
      <c r="C6" s="39" t="s">
        <v>143</v>
      </c>
      <c r="D6" s="39" t="s">
        <v>144</v>
      </c>
      <c r="E6" s="39" t="s">
        <v>145</v>
      </c>
    </row>
    <row r="7" spans="1:5" ht="27.95" customHeight="1">
      <c r="A7" s="290" t="s">
        <v>146</v>
      </c>
      <c r="B7" s="291"/>
      <c r="C7" s="292"/>
      <c r="D7" s="292"/>
      <c r="E7" s="292"/>
    </row>
    <row r="8" spans="1:5">
      <c r="A8" s="232" t="s">
        <v>147</v>
      </c>
      <c r="B8" s="181" t="s">
        <v>148</v>
      </c>
      <c r="C8" s="40" t="s">
        <v>143</v>
      </c>
      <c r="D8" s="40" t="s">
        <v>144</v>
      </c>
      <c r="E8" s="40" t="s">
        <v>145</v>
      </c>
    </row>
    <row r="9" spans="1:5">
      <c r="A9" s="233" t="s">
        <v>147</v>
      </c>
      <c r="B9" s="182" t="s">
        <v>149</v>
      </c>
      <c r="C9" s="41" t="s">
        <v>150</v>
      </c>
      <c r="D9" s="41" t="s">
        <v>150</v>
      </c>
      <c r="E9" s="41" t="s">
        <v>150</v>
      </c>
    </row>
    <row r="10" spans="1:5">
      <c r="A10" s="232" t="s">
        <v>147</v>
      </c>
      <c r="B10" s="181" t="s">
        <v>151</v>
      </c>
      <c r="C10" s="40" t="s">
        <v>152</v>
      </c>
      <c r="D10" s="40" t="s">
        <v>152</v>
      </c>
      <c r="E10" s="40" t="s">
        <v>152</v>
      </c>
    </row>
    <row r="11" spans="1:5">
      <c r="A11" s="233" t="s">
        <v>147</v>
      </c>
      <c r="B11" s="182" t="s">
        <v>153</v>
      </c>
      <c r="C11" s="41" t="s">
        <v>154</v>
      </c>
      <c r="D11" s="41" t="s">
        <v>154</v>
      </c>
      <c r="E11" s="41" t="s">
        <v>154</v>
      </c>
    </row>
    <row r="12" spans="1:5">
      <c r="A12" s="232" t="s">
        <v>147</v>
      </c>
      <c r="B12" s="181" t="s">
        <v>155</v>
      </c>
      <c r="C12" s="40" t="s">
        <v>156</v>
      </c>
      <c r="D12" s="40" t="s">
        <v>156</v>
      </c>
      <c r="E12" s="40" t="s">
        <v>156</v>
      </c>
    </row>
    <row r="13" spans="1:5">
      <c r="A13" s="233" t="s">
        <v>147</v>
      </c>
      <c r="B13" s="182" t="s">
        <v>157</v>
      </c>
      <c r="C13" s="41">
        <v>0</v>
      </c>
      <c r="D13" s="41">
        <v>0</v>
      </c>
      <c r="E13" s="41">
        <v>0</v>
      </c>
    </row>
    <row r="14" spans="1:5">
      <c r="A14" s="232" t="s">
        <v>147</v>
      </c>
      <c r="B14" s="181" t="s">
        <v>158</v>
      </c>
      <c r="C14" s="40">
        <v>31</v>
      </c>
      <c r="D14" s="40">
        <v>31</v>
      </c>
      <c r="E14" s="40">
        <v>31</v>
      </c>
    </row>
    <row r="15" spans="1:5">
      <c r="A15" s="233" t="s">
        <v>147</v>
      </c>
      <c r="B15" s="182" t="s">
        <v>159</v>
      </c>
      <c r="C15" s="41">
        <v>24</v>
      </c>
      <c r="D15" s="41">
        <v>24</v>
      </c>
      <c r="E15" s="41">
        <v>24</v>
      </c>
    </row>
    <row r="16" spans="1:5">
      <c r="A16" s="297" t="s">
        <v>160</v>
      </c>
      <c r="B16" s="298"/>
      <c r="C16" s="299"/>
      <c r="D16" s="299"/>
      <c r="E16" s="299"/>
    </row>
    <row r="17" spans="1:5">
      <c r="A17" s="233" t="s">
        <v>161</v>
      </c>
      <c r="B17" s="182" t="s">
        <v>162</v>
      </c>
      <c r="C17" s="41" t="s">
        <v>163</v>
      </c>
      <c r="D17" s="41" t="s">
        <v>163</v>
      </c>
      <c r="E17" s="41" t="s">
        <v>163</v>
      </c>
    </row>
    <row r="18" spans="1:5">
      <c r="A18" s="232" t="s">
        <v>161</v>
      </c>
      <c r="B18" s="181" t="s">
        <v>164</v>
      </c>
      <c r="C18" s="40" t="s">
        <v>165</v>
      </c>
      <c r="D18" s="40" t="s">
        <v>165</v>
      </c>
      <c r="E18" s="40" t="s">
        <v>165</v>
      </c>
    </row>
    <row r="19" spans="1:5">
      <c r="A19" s="233" t="s">
        <v>161</v>
      </c>
      <c r="B19" s="182" t="s">
        <v>166</v>
      </c>
      <c r="C19" s="41" t="s">
        <v>167</v>
      </c>
      <c r="D19" s="41" t="s">
        <v>167</v>
      </c>
      <c r="E19" s="41" t="s">
        <v>167</v>
      </c>
    </row>
    <row r="20" spans="1:5" ht="27.95" customHeight="1">
      <c r="A20" s="232" t="s">
        <v>161</v>
      </c>
      <c r="B20" s="181" t="s">
        <v>168</v>
      </c>
      <c r="C20" s="40">
        <v>1</v>
      </c>
      <c r="D20" s="40">
        <v>1</v>
      </c>
      <c r="E20" s="40">
        <v>1</v>
      </c>
    </row>
    <row r="21" spans="1:5" ht="24" customHeight="1">
      <c r="A21" s="290" t="s">
        <v>169</v>
      </c>
      <c r="B21" s="291"/>
      <c r="C21" s="292"/>
      <c r="D21" s="292"/>
      <c r="E21" s="292"/>
    </row>
    <row r="22" spans="1:5">
      <c r="A22" s="232" t="s">
        <v>170</v>
      </c>
      <c r="B22" s="181" t="s">
        <v>171</v>
      </c>
      <c r="C22" s="40" t="s">
        <v>172</v>
      </c>
      <c r="D22" s="40" t="s">
        <v>172</v>
      </c>
      <c r="E22" s="40" t="s">
        <v>172</v>
      </c>
    </row>
    <row r="23" spans="1:5">
      <c r="A23" s="290" t="s">
        <v>173</v>
      </c>
      <c r="B23" s="291"/>
      <c r="C23" s="292"/>
      <c r="D23" s="292"/>
      <c r="E23" s="292"/>
    </row>
    <row r="24" spans="1:5">
      <c r="A24" s="232" t="s">
        <v>174</v>
      </c>
      <c r="B24" s="181" t="s">
        <v>175</v>
      </c>
      <c r="C24" s="40" t="s">
        <v>176</v>
      </c>
      <c r="D24" s="40" t="s">
        <v>176</v>
      </c>
      <c r="E24" s="40" t="s">
        <v>176</v>
      </c>
    </row>
    <row r="25" spans="1:5">
      <c r="A25" s="233" t="s">
        <v>174</v>
      </c>
      <c r="B25" s="182" t="s">
        <v>177</v>
      </c>
      <c r="C25" s="41" t="s">
        <v>176</v>
      </c>
      <c r="D25" s="41" t="s">
        <v>176</v>
      </c>
      <c r="E25" s="41" t="s">
        <v>176</v>
      </c>
    </row>
    <row r="26" spans="1:5" ht="24" customHeight="1">
      <c r="A26" s="297" t="s">
        <v>178</v>
      </c>
      <c r="B26" s="298"/>
      <c r="C26" s="299"/>
      <c r="D26" s="299"/>
      <c r="E26" s="299"/>
    </row>
    <row r="27" spans="1:5">
      <c r="A27" s="233" t="s">
        <v>179</v>
      </c>
      <c r="B27" s="182" t="s">
        <v>180</v>
      </c>
      <c r="C27" s="41" t="s">
        <v>176</v>
      </c>
      <c r="D27" s="41" t="s">
        <v>176</v>
      </c>
      <c r="E27" s="41" t="s">
        <v>176</v>
      </c>
    </row>
    <row r="28" spans="1:5">
      <c r="A28" s="297" t="s">
        <v>181</v>
      </c>
      <c r="B28" s="298"/>
      <c r="C28" s="299"/>
      <c r="D28" s="299"/>
      <c r="E28" s="299"/>
    </row>
    <row r="29" spans="1:5" ht="29.1">
      <c r="A29" s="233" t="s">
        <v>182</v>
      </c>
      <c r="B29" s="182" t="s">
        <v>183</v>
      </c>
      <c r="C29" s="54" t="s">
        <v>184</v>
      </c>
      <c r="D29" s="41" t="s">
        <v>185</v>
      </c>
      <c r="E29" s="41" t="s">
        <v>185</v>
      </c>
    </row>
    <row r="30" spans="1:5">
      <c r="A30" s="232" t="s">
        <v>182</v>
      </c>
      <c r="B30" s="181" t="s">
        <v>186</v>
      </c>
      <c r="C30" s="45" t="s">
        <v>187</v>
      </c>
      <c r="D30" s="40" t="s">
        <v>185</v>
      </c>
      <c r="E30" s="40" t="s">
        <v>185</v>
      </c>
    </row>
    <row r="31" spans="1:5">
      <c r="A31" s="233" t="s">
        <v>182</v>
      </c>
      <c r="B31" s="182" t="s">
        <v>188</v>
      </c>
      <c r="C31" s="41" t="s">
        <v>189</v>
      </c>
      <c r="D31" s="41" t="s">
        <v>185</v>
      </c>
      <c r="E31" s="41" t="s">
        <v>185</v>
      </c>
    </row>
    <row r="32" spans="1:5">
      <c r="A32" s="1"/>
      <c r="B32" s="1"/>
      <c r="C32" s="38"/>
      <c r="D32" s="38"/>
      <c r="E32" s="38"/>
    </row>
    <row r="33" spans="1:5" ht="27.95" customHeight="1">
      <c r="A33" s="300" t="s">
        <v>190</v>
      </c>
      <c r="B33" s="300"/>
      <c r="C33" s="300"/>
      <c r="D33" s="300"/>
      <c r="E33" s="300"/>
    </row>
    <row r="34" spans="1:5">
      <c r="A34" s="231" t="s">
        <v>141</v>
      </c>
      <c r="B34" s="180" t="s">
        <v>142</v>
      </c>
      <c r="C34" s="39" t="s">
        <v>143</v>
      </c>
      <c r="D34" s="39" t="s">
        <v>144</v>
      </c>
      <c r="E34" s="39" t="s">
        <v>145</v>
      </c>
    </row>
    <row r="35" spans="1:5">
      <c r="A35" s="290" t="s">
        <v>146</v>
      </c>
      <c r="B35" s="291"/>
      <c r="C35" s="292"/>
      <c r="D35" s="292"/>
      <c r="E35" s="292"/>
    </row>
    <row r="36" spans="1:5">
      <c r="A36" s="232" t="s">
        <v>147</v>
      </c>
      <c r="B36" s="181" t="s">
        <v>148</v>
      </c>
      <c r="C36" s="40" t="s">
        <v>143</v>
      </c>
      <c r="D36" s="40" t="s">
        <v>144</v>
      </c>
      <c r="E36" s="40" t="s">
        <v>145</v>
      </c>
    </row>
    <row r="37" spans="1:5" ht="24" customHeight="1">
      <c r="A37" s="233" t="s">
        <v>147</v>
      </c>
      <c r="B37" s="182" t="s">
        <v>149</v>
      </c>
      <c r="C37" s="41" t="s">
        <v>150</v>
      </c>
      <c r="D37" s="41" t="s">
        <v>150</v>
      </c>
      <c r="E37" s="41" t="s">
        <v>150</v>
      </c>
    </row>
    <row r="38" spans="1:5">
      <c r="A38" s="232" t="s">
        <v>147</v>
      </c>
      <c r="B38" s="181" t="s">
        <v>151</v>
      </c>
      <c r="C38" s="40" t="s">
        <v>152</v>
      </c>
      <c r="D38" s="40" t="s">
        <v>152</v>
      </c>
      <c r="E38" s="40" t="s">
        <v>152</v>
      </c>
    </row>
    <row r="39" spans="1:5">
      <c r="A39" s="233" t="s">
        <v>147</v>
      </c>
      <c r="B39" s="182" t="s">
        <v>153</v>
      </c>
      <c r="C39" s="41" t="s">
        <v>154</v>
      </c>
      <c r="D39" s="41" t="s">
        <v>154</v>
      </c>
      <c r="E39" s="41" t="s">
        <v>154</v>
      </c>
    </row>
    <row r="40" spans="1:5">
      <c r="A40" s="232" t="s">
        <v>147</v>
      </c>
      <c r="B40" s="181" t="s">
        <v>155</v>
      </c>
      <c r="C40" s="40" t="s">
        <v>191</v>
      </c>
      <c r="D40" s="40" t="s">
        <v>185</v>
      </c>
      <c r="E40" s="40" t="s">
        <v>185</v>
      </c>
    </row>
    <row r="41" spans="1:5">
      <c r="A41" s="233" t="s">
        <v>147</v>
      </c>
      <c r="B41" s="182" t="s">
        <v>157</v>
      </c>
      <c r="C41" s="41">
        <v>0</v>
      </c>
      <c r="D41" s="41">
        <v>0</v>
      </c>
      <c r="E41" s="41">
        <v>0</v>
      </c>
    </row>
    <row r="42" spans="1:5">
      <c r="A42" s="232" t="s">
        <v>147</v>
      </c>
      <c r="B42" s="181" t="s">
        <v>192</v>
      </c>
      <c r="C42" s="40" t="s">
        <v>193</v>
      </c>
      <c r="D42" s="40" t="s">
        <v>193</v>
      </c>
      <c r="E42" s="40" t="s">
        <v>193</v>
      </c>
    </row>
    <row r="43" spans="1:5">
      <c r="A43" s="233" t="s">
        <v>147</v>
      </c>
      <c r="B43" s="182" t="s">
        <v>194</v>
      </c>
      <c r="C43" s="41" t="s">
        <v>195</v>
      </c>
      <c r="D43" s="41" t="s">
        <v>185</v>
      </c>
      <c r="E43" s="41" t="s">
        <v>185</v>
      </c>
    </row>
    <row r="44" spans="1:5">
      <c r="A44" s="297" t="s">
        <v>160</v>
      </c>
      <c r="B44" s="298"/>
      <c r="C44" s="299"/>
      <c r="D44" s="299"/>
      <c r="E44" s="299"/>
    </row>
    <row r="45" spans="1:5">
      <c r="A45" s="233" t="s">
        <v>161</v>
      </c>
      <c r="B45" s="182" t="s">
        <v>162</v>
      </c>
      <c r="C45" s="41" t="s">
        <v>163</v>
      </c>
      <c r="D45" s="41" t="s">
        <v>163</v>
      </c>
      <c r="E45" s="41" t="s">
        <v>163</v>
      </c>
    </row>
    <row r="46" spans="1:5">
      <c r="A46" s="232" t="s">
        <v>161</v>
      </c>
      <c r="B46" s="181" t="s">
        <v>164</v>
      </c>
      <c r="C46" s="40" t="s">
        <v>165</v>
      </c>
      <c r="D46" s="40" t="s">
        <v>165</v>
      </c>
      <c r="E46" s="40" t="s">
        <v>165</v>
      </c>
    </row>
    <row r="47" spans="1:5">
      <c r="A47" s="233" t="s">
        <v>161</v>
      </c>
      <c r="B47" s="182" t="s">
        <v>166</v>
      </c>
      <c r="C47" s="41" t="s">
        <v>167</v>
      </c>
      <c r="D47" s="41" t="s">
        <v>167</v>
      </c>
      <c r="E47" s="41" t="s">
        <v>167</v>
      </c>
    </row>
    <row r="48" spans="1:5">
      <c r="A48" s="232" t="s">
        <v>161</v>
      </c>
      <c r="B48" s="181" t="s">
        <v>168</v>
      </c>
      <c r="C48" s="40">
        <v>1</v>
      </c>
      <c r="D48" s="40">
        <v>1</v>
      </c>
      <c r="E48" s="40">
        <v>1</v>
      </c>
    </row>
    <row r="49" spans="1:5">
      <c r="A49" s="290" t="s">
        <v>173</v>
      </c>
      <c r="B49" s="291"/>
      <c r="C49" s="292"/>
      <c r="D49" s="292"/>
      <c r="E49" s="292"/>
    </row>
    <row r="50" spans="1:5">
      <c r="A50" s="232" t="s">
        <v>174</v>
      </c>
      <c r="B50" s="181" t="s">
        <v>175</v>
      </c>
      <c r="C50" s="40" t="s">
        <v>176</v>
      </c>
      <c r="D50" s="40" t="s">
        <v>176</v>
      </c>
      <c r="E50" s="40" t="s">
        <v>176</v>
      </c>
    </row>
    <row r="51" spans="1:5" ht="27.95" customHeight="1">
      <c r="A51" s="233" t="s">
        <v>174</v>
      </c>
      <c r="B51" s="182" t="s">
        <v>177</v>
      </c>
      <c r="C51" s="41" t="s">
        <v>176</v>
      </c>
      <c r="D51" s="41" t="s">
        <v>176</v>
      </c>
      <c r="E51" s="41" t="s">
        <v>176</v>
      </c>
    </row>
    <row r="52" spans="1:5" ht="24" customHeight="1">
      <c r="A52" s="297" t="s">
        <v>178</v>
      </c>
      <c r="B52" s="298"/>
      <c r="C52" s="299"/>
      <c r="D52" s="299"/>
      <c r="E52" s="299"/>
    </row>
    <row r="53" spans="1:5">
      <c r="A53" s="233" t="s">
        <v>179</v>
      </c>
      <c r="B53" s="182" t="s">
        <v>196</v>
      </c>
      <c r="C53" s="41" t="s">
        <v>176</v>
      </c>
      <c r="D53" s="41" t="s">
        <v>176</v>
      </c>
      <c r="E53" s="41" t="s">
        <v>176</v>
      </c>
    </row>
    <row r="54" spans="1:5">
      <c r="A54" s="297" t="s">
        <v>169</v>
      </c>
      <c r="B54" s="298"/>
      <c r="C54" s="299"/>
      <c r="D54" s="299"/>
      <c r="E54" s="299"/>
    </row>
    <row r="55" spans="1:5">
      <c r="A55" s="233" t="s">
        <v>170</v>
      </c>
      <c r="B55" s="182" t="s">
        <v>171</v>
      </c>
      <c r="C55" s="41" t="s">
        <v>172</v>
      </c>
      <c r="D55" s="41" t="s">
        <v>172</v>
      </c>
      <c r="E55" s="41" t="s">
        <v>172</v>
      </c>
    </row>
    <row r="56" spans="1:5">
      <c r="A56" s="297" t="s">
        <v>181</v>
      </c>
      <c r="B56" s="298"/>
      <c r="C56" s="299"/>
      <c r="D56" s="299"/>
      <c r="E56" s="299"/>
    </row>
    <row r="57" spans="1:5" ht="29.1">
      <c r="A57" s="233" t="s">
        <v>182</v>
      </c>
      <c r="B57" s="182" t="s">
        <v>183</v>
      </c>
      <c r="C57" s="54" t="s">
        <v>184</v>
      </c>
      <c r="D57" s="41" t="s">
        <v>185</v>
      </c>
      <c r="E57" s="41" t="s">
        <v>185</v>
      </c>
    </row>
    <row r="58" spans="1:5">
      <c r="A58" s="232" t="s">
        <v>182</v>
      </c>
      <c r="B58" s="181" t="s">
        <v>186</v>
      </c>
      <c r="C58" s="45" t="s">
        <v>187</v>
      </c>
      <c r="D58" s="40" t="s">
        <v>185</v>
      </c>
      <c r="E58" s="40" t="s">
        <v>185</v>
      </c>
    </row>
    <row r="59" spans="1:5">
      <c r="A59" s="233" t="s">
        <v>182</v>
      </c>
      <c r="B59" s="182" t="s">
        <v>188</v>
      </c>
      <c r="C59" s="41" t="s">
        <v>189</v>
      </c>
      <c r="D59" s="41" t="s">
        <v>185</v>
      </c>
      <c r="E59" s="41" t="s">
        <v>185</v>
      </c>
    </row>
    <row r="60" spans="1:5">
      <c r="A60" s="1"/>
      <c r="B60" s="1"/>
      <c r="C60" s="38"/>
      <c r="D60" s="38"/>
      <c r="E60" s="38"/>
    </row>
    <row r="61" spans="1:5" ht="27.95" customHeight="1">
      <c r="A61" s="300" t="s">
        <v>197</v>
      </c>
      <c r="B61" s="300"/>
      <c r="C61" s="300"/>
      <c r="D61" s="300"/>
      <c r="E61" s="300"/>
    </row>
    <row r="62" spans="1:5">
      <c r="A62" s="231" t="s">
        <v>141</v>
      </c>
      <c r="B62" s="180" t="s">
        <v>142</v>
      </c>
      <c r="C62" s="39" t="s">
        <v>143</v>
      </c>
      <c r="D62" s="39" t="s">
        <v>144</v>
      </c>
      <c r="E62" s="39" t="s">
        <v>145</v>
      </c>
    </row>
    <row r="63" spans="1:5">
      <c r="A63" s="290" t="s">
        <v>198</v>
      </c>
      <c r="B63" s="291"/>
      <c r="C63" s="292"/>
      <c r="D63" s="292"/>
      <c r="E63" s="292"/>
    </row>
    <row r="64" spans="1:5" ht="29.1">
      <c r="A64" s="232" t="s">
        <v>199</v>
      </c>
      <c r="B64" s="181" t="s">
        <v>200</v>
      </c>
      <c r="C64" s="45" t="s">
        <v>201</v>
      </c>
      <c r="D64" s="40" t="s">
        <v>185</v>
      </c>
      <c r="E64" s="40" t="s">
        <v>185</v>
      </c>
    </row>
    <row r="65" spans="1:5" ht="29.1">
      <c r="A65" s="233" t="s">
        <v>199</v>
      </c>
      <c r="B65" s="272" t="s">
        <v>202</v>
      </c>
      <c r="C65" s="103" t="s">
        <v>203</v>
      </c>
      <c r="D65" s="103" t="s">
        <v>204</v>
      </c>
      <c r="E65" s="103" t="s">
        <v>204</v>
      </c>
    </row>
    <row r="66" spans="1:5">
      <c r="A66" s="232" t="s">
        <v>199</v>
      </c>
      <c r="B66" s="181" t="s">
        <v>205</v>
      </c>
      <c r="C66" s="104" t="s">
        <v>203</v>
      </c>
      <c r="D66" s="104" t="s">
        <v>185</v>
      </c>
      <c r="E66" s="104" t="s">
        <v>185</v>
      </c>
    </row>
    <row r="67" spans="1:5">
      <c r="A67" s="290" t="s">
        <v>206</v>
      </c>
      <c r="B67" s="291"/>
      <c r="C67" s="292"/>
      <c r="D67" s="292"/>
      <c r="E67" s="292"/>
    </row>
    <row r="68" spans="1:5" ht="101.45">
      <c r="A68" s="232" t="s">
        <v>207</v>
      </c>
      <c r="B68" s="181" t="s">
        <v>208</v>
      </c>
      <c r="C68" s="45" t="s">
        <v>209</v>
      </c>
      <c r="D68" s="40" t="s">
        <v>185</v>
      </c>
      <c r="E68" s="40" t="s">
        <v>185</v>
      </c>
    </row>
    <row r="69" spans="1:5" ht="27.95" customHeight="1">
      <c r="A69" s="290" t="s">
        <v>210</v>
      </c>
      <c r="B69" s="291"/>
      <c r="C69" s="292"/>
      <c r="D69" s="292"/>
      <c r="E69" s="292"/>
    </row>
    <row r="70" spans="1:5" ht="29.1">
      <c r="A70" s="232" t="s">
        <v>211</v>
      </c>
      <c r="B70" s="181" t="s">
        <v>188</v>
      </c>
      <c r="C70" s="45" t="s">
        <v>212</v>
      </c>
      <c r="D70" s="40" t="s">
        <v>185</v>
      </c>
      <c r="E70" s="40" t="s">
        <v>185</v>
      </c>
    </row>
    <row r="71" spans="1:5">
      <c r="A71" s="290" t="s">
        <v>213</v>
      </c>
      <c r="B71" s="291"/>
      <c r="C71" s="292"/>
      <c r="D71" s="292"/>
      <c r="E71" s="292"/>
    </row>
    <row r="72" spans="1:5">
      <c r="A72" s="232" t="s">
        <v>214</v>
      </c>
      <c r="B72" s="181" t="s">
        <v>215</v>
      </c>
      <c r="C72" s="40" t="s">
        <v>216</v>
      </c>
      <c r="D72" s="40" t="s">
        <v>185</v>
      </c>
      <c r="E72" s="40" t="s">
        <v>185</v>
      </c>
    </row>
    <row r="73" spans="1:5">
      <c r="A73" s="233" t="s">
        <v>214</v>
      </c>
      <c r="B73" s="182" t="s">
        <v>217</v>
      </c>
      <c r="C73" s="41" t="s">
        <v>176</v>
      </c>
      <c r="D73" s="41" t="s">
        <v>176</v>
      </c>
      <c r="E73" s="41" t="s">
        <v>176</v>
      </c>
    </row>
    <row r="74" spans="1:5">
      <c r="A74" s="297" t="s">
        <v>160</v>
      </c>
      <c r="B74" s="298"/>
      <c r="C74" s="299"/>
      <c r="D74" s="299"/>
      <c r="E74" s="299"/>
    </row>
    <row r="75" spans="1:5">
      <c r="A75" s="233" t="s">
        <v>161</v>
      </c>
      <c r="B75" s="182" t="s">
        <v>162</v>
      </c>
      <c r="C75" s="41" t="s">
        <v>163</v>
      </c>
      <c r="D75" s="41" t="s">
        <v>163</v>
      </c>
      <c r="E75" s="41" t="s">
        <v>163</v>
      </c>
    </row>
    <row r="76" spans="1:5" ht="24" customHeight="1">
      <c r="A76" s="232" t="s">
        <v>161</v>
      </c>
      <c r="B76" s="181" t="s">
        <v>164</v>
      </c>
      <c r="C76" s="40" t="s">
        <v>165</v>
      </c>
      <c r="D76" s="40" t="s">
        <v>165</v>
      </c>
      <c r="E76" s="40" t="s">
        <v>165</v>
      </c>
    </row>
    <row r="77" spans="1:5">
      <c r="A77" s="233" t="s">
        <v>161</v>
      </c>
      <c r="B77" s="182" t="s">
        <v>166</v>
      </c>
      <c r="C77" s="41" t="s">
        <v>167</v>
      </c>
      <c r="D77" s="41" t="s">
        <v>167</v>
      </c>
      <c r="E77" s="41" t="s">
        <v>167</v>
      </c>
    </row>
    <row r="78" spans="1:5">
      <c r="A78" s="232" t="s">
        <v>161</v>
      </c>
      <c r="B78" s="181" t="s">
        <v>168</v>
      </c>
      <c r="C78" s="40">
        <v>1</v>
      </c>
      <c r="D78" s="40">
        <v>1</v>
      </c>
      <c r="E78" s="40">
        <v>1</v>
      </c>
    </row>
    <row r="79" spans="1:5">
      <c r="A79" s="290" t="s">
        <v>218</v>
      </c>
      <c r="B79" s="291"/>
      <c r="C79" s="292"/>
      <c r="D79" s="292"/>
      <c r="E79" s="292"/>
    </row>
    <row r="80" spans="1:5" ht="29.1">
      <c r="A80" s="232" t="s">
        <v>219</v>
      </c>
      <c r="B80" s="181" t="s">
        <v>220</v>
      </c>
      <c r="C80" s="45" t="s">
        <v>221</v>
      </c>
      <c r="D80" s="40" t="s">
        <v>185</v>
      </c>
      <c r="E80" s="40" t="s">
        <v>185</v>
      </c>
    </row>
    <row r="81" spans="1:5">
      <c r="A81" s="233" t="s">
        <v>219</v>
      </c>
      <c r="B81" s="182" t="s">
        <v>222</v>
      </c>
      <c r="C81" s="41" t="s">
        <v>223</v>
      </c>
      <c r="D81" s="41" t="s">
        <v>185</v>
      </c>
      <c r="E81" s="41" t="s">
        <v>185</v>
      </c>
    </row>
    <row r="82" spans="1:5">
      <c r="A82" s="1"/>
      <c r="B82" s="1"/>
      <c r="C82" s="38"/>
      <c r="D82" s="38"/>
      <c r="E82" s="38"/>
    </row>
    <row r="83" spans="1:5" ht="27.95" customHeight="1">
      <c r="A83" s="300" t="s">
        <v>224</v>
      </c>
      <c r="B83" s="300"/>
      <c r="C83" s="300"/>
      <c r="D83" s="300"/>
      <c r="E83" s="300"/>
    </row>
    <row r="84" spans="1:5">
      <c r="A84" s="231" t="s">
        <v>225</v>
      </c>
      <c r="B84" s="180" t="s">
        <v>226</v>
      </c>
      <c r="C84" s="39" t="s">
        <v>227</v>
      </c>
      <c r="D84" s="39" t="s">
        <v>228</v>
      </c>
      <c r="E84" s="39" t="s">
        <v>219</v>
      </c>
    </row>
    <row r="85" spans="1:5" ht="29.1">
      <c r="A85" s="232" t="s">
        <v>229</v>
      </c>
      <c r="B85" s="273" t="s">
        <v>230</v>
      </c>
      <c r="C85" s="40" t="s">
        <v>231</v>
      </c>
      <c r="D85" s="40" t="s">
        <v>232</v>
      </c>
      <c r="E85" s="40" t="s">
        <v>233</v>
      </c>
    </row>
    <row r="86" spans="1:5" ht="29.1">
      <c r="A86" s="233" t="s">
        <v>151</v>
      </c>
      <c r="B86" s="272" t="s">
        <v>234</v>
      </c>
      <c r="C86" s="41" t="s">
        <v>231</v>
      </c>
      <c r="D86" s="41" t="s">
        <v>232</v>
      </c>
      <c r="E86" s="41" t="s">
        <v>235</v>
      </c>
    </row>
    <row r="87" spans="1:5" ht="43.5">
      <c r="A87" s="232" t="s">
        <v>236</v>
      </c>
      <c r="B87" s="273" t="s">
        <v>237</v>
      </c>
      <c r="C87" s="40" t="s">
        <v>238</v>
      </c>
      <c r="D87" s="40" t="s">
        <v>232</v>
      </c>
      <c r="E87" s="40" t="s">
        <v>239</v>
      </c>
    </row>
    <row r="88" spans="1:5" ht="43.5">
      <c r="A88" s="233" t="s">
        <v>240</v>
      </c>
      <c r="B88" s="272" t="s">
        <v>241</v>
      </c>
      <c r="C88" s="41" t="s">
        <v>231</v>
      </c>
      <c r="D88" s="41" t="s">
        <v>232</v>
      </c>
      <c r="E88" s="41" t="s">
        <v>242</v>
      </c>
    </row>
    <row r="89" spans="1:5" ht="43.5">
      <c r="A89" s="232" t="s">
        <v>220</v>
      </c>
      <c r="B89" s="273" t="s">
        <v>243</v>
      </c>
      <c r="C89" s="40" t="s">
        <v>231</v>
      </c>
      <c r="D89" s="40" t="s">
        <v>232</v>
      </c>
      <c r="E89" s="40" t="s">
        <v>244</v>
      </c>
    </row>
    <row r="90" spans="1:5" ht="24" customHeight="1">
      <c r="A90" s="233" t="s">
        <v>245</v>
      </c>
      <c r="B90" s="272" t="s">
        <v>246</v>
      </c>
      <c r="C90" s="41" t="s">
        <v>238</v>
      </c>
      <c r="D90" s="41" t="s">
        <v>232</v>
      </c>
      <c r="E90" s="41" t="s">
        <v>247</v>
      </c>
    </row>
    <row r="91" spans="1:5" ht="29.1">
      <c r="A91" s="232" t="s">
        <v>248</v>
      </c>
      <c r="B91" s="273" t="s">
        <v>249</v>
      </c>
      <c r="C91" s="40" t="s">
        <v>238</v>
      </c>
      <c r="D91" s="40" t="s">
        <v>232</v>
      </c>
      <c r="E91" s="40" t="s">
        <v>250</v>
      </c>
    </row>
    <row r="92" spans="1:5" ht="29.1">
      <c r="A92" s="233" t="s">
        <v>251</v>
      </c>
      <c r="B92" s="272" t="s">
        <v>252</v>
      </c>
      <c r="C92" s="41" t="s">
        <v>238</v>
      </c>
      <c r="D92" s="41" t="s">
        <v>232</v>
      </c>
      <c r="E92" s="41" t="s">
        <v>253</v>
      </c>
    </row>
    <row r="93" spans="1:5" ht="43.5">
      <c r="A93" s="232" t="s">
        <v>254</v>
      </c>
      <c r="B93" s="273" t="s">
        <v>255</v>
      </c>
      <c r="C93" s="40" t="s">
        <v>256</v>
      </c>
      <c r="D93" s="40" t="s">
        <v>257</v>
      </c>
      <c r="E93" s="40" t="s">
        <v>258</v>
      </c>
    </row>
    <row r="94" spans="1:5">
      <c r="A94" s="233" t="s">
        <v>259</v>
      </c>
      <c r="B94" s="272" t="s">
        <v>260</v>
      </c>
      <c r="C94" s="41" t="s">
        <v>231</v>
      </c>
      <c r="D94" s="41" t="s">
        <v>257</v>
      </c>
      <c r="E94" s="41" t="s">
        <v>261</v>
      </c>
    </row>
    <row r="95" spans="1:5">
      <c r="A95" s="232" t="s">
        <v>262</v>
      </c>
      <c r="B95" s="273" t="s">
        <v>263</v>
      </c>
      <c r="C95" s="40" t="s">
        <v>231</v>
      </c>
      <c r="D95" s="40" t="s">
        <v>232</v>
      </c>
      <c r="E95" s="40" t="s">
        <v>264</v>
      </c>
    </row>
    <row r="96" spans="1:5">
      <c r="A96" s="1"/>
      <c r="B96" s="1"/>
      <c r="C96" s="38"/>
      <c r="D96" s="38"/>
      <c r="E96" s="38"/>
    </row>
    <row r="97" spans="1:5" ht="27.95" customHeight="1">
      <c r="A97" s="300" t="s">
        <v>265</v>
      </c>
      <c r="B97" s="300"/>
      <c r="C97" s="300"/>
      <c r="D97" s="300"/>
      <c r="E97" s="300"/>
    </row>
    <row r="98" spans="1:5">
      <c r="A98" s="231" t="s">
        <v>142</v>
      </c>
      <c r="B98" s="180" t="s">
        <v>266</v>
      </c>
      <c r="C98" s="39" t="s">
        <v>267</v>
      </c>
      <c r="D98" s="39" t="s">
        <v>268</v>
      </c>
      <c r="E98" s="39" t="s">
        <v>269</v>
      </c>
    </row>
    <row r="99" spans="1:5">
      <c r="A99" s="232" t="s">
        <v>270</v>
      </c>
      <c r="B99" s="181" t="s">
        <v>271</v>
      </c>
      <c r="C99" s="40" t="s">
        <v>272</v>
      </c>
      <c r="D99" s="40" t="s">
        <v>273</v>
      </c>
      <c r="E99" s="43" t="s">
        <v>274</v>
      </c>
    </row>
    <row r="100" spans="1:5">
      <c r="A100" s="233" t="s">
        <v>205</v>
      </c>
      <c r="B100" s="183">
        <v>0</v>
      </c>
      <c r="C100" s="42">
        <v>0</v>
      </c>
      <c r="D100" s="41" t="s">
        <v>275</v>
      </c>
      <c r="E100" s="44" t="s">
        <v>276</v>
      </c>
    </row>
    <row r="101" spans="1:5">
      <c r="A101" s="232" t="s">
        <v>277</v>
      </c>
      <c r="B101" s="181" t="s">
        <v>163</v>
      </c>
      <c r="C101" s="40" t="s">
        <v>163</v>
      </c>
      <c r="D101" s="40" t="s">
        <v>163</v>
      </c>
      <c r="E101" s="43" t="s">
        <v>278</v>
      </c>
    </row>
    <row r="102" spans="1:5" ht="27.95" customHeight="1">
      <c r="A102" s="233" t="s">
        <v>279</v>
      </c>
      <c r="B102" s="182" t="s">
        <v>165</v>
      </c>
      <c r="C102" s="41" t="s">
        <v>165</v>
      </c>
      <c r="D102" s="41" t="s">
        <v>165</v>
      </c>
      <c r="E102" s="44" t="s">
        <v>280</v>
      </c>
    </row>
    <row r="103" spans="1:5" ht="24" customHeight="1">
      <c r="A103" s="232" t="s">
        <v>281</v>
      </c>
      <c r="B103" s="181" t="s">
        <v>167</v>
      </c>
      <c r="C103" s="40" t="s">
        <v>167</v>
      </c>
      <c r="D103" s="40" t="s">
        <v>167</v>
      </c>
      <c r="E103" s="43" t="s">
        <v>282</v>
      </c>
    </row>
    <row r="104" spans="1:5">
      <c r="A104" s="233" t="s">
        <v>283</v>
      </c>
      <c r="B104" s="182" t="s">
        <v>284</v>
      </c>
      <c r="C104" s="41" t="s">
        <v>284</v>
      </c>
      <c r="D104" s="41" t="s">
        <v>284</v>
      </c>
      <c r="E104" s="44" t="s">
        <v>285</v>
      </c>
    </row>
    <row r="105" spans="1:5">
      <c r="A105" s="232" t="s">
        <v>286</v>
      </c>
      <c r="B105" s="181" t="s">
        <v>172</v>
      </c>
      <c r="C105" s="40" t="s">
        <v>172</v>
      </c>
      <c r="D105" s="40" t="s">
        <v>287</v>
      </c>
      <c r="E105" s="43" t="s">
        <v>288</v>
      </c>
    </row>
    <row r="106" spans="1:5">
      <c r="A106" s="233" t="s">
        <v>289</v>
      </c>
      <c r="B106" s="182" t="s">
        <v>176</v>
      </c>
      <c r="C106" s="41" t="s">
        <v>176</v>
      </c>
      <c r="D106" s="41" t="s">
        <v>290</v>
      </c>
      <c r="E106" s="44" t="s">
        <v>291</v>
      </c>
    </row>
    <row r="107" spans="1:5">
      <c r="A107" s="232" t="s">
        <v>292</v>
      </c>
      <c r="B107" s="181" t="s">
        <v>176</v>
      </c>
      <c r="C107" s="40" t="s">
        <v>176</v>
      </c>
      <c r="D107" s="40" t="s">
        <v>176</v>
      </c>
      <c r="E107" s="43" t="s">
        <v>293</v>
      </c>
    </row>
    <row r="108" spans="1:5">
      <c r="A108" s="233" t="s">
        <v>294</v>
      </c>
      <c r="B108" s="182" t="s">
        <v>176</v>
      </c>
      <c r="C108" s="41" t="s">
        <v>176</v>
      </c>
      <c r="D108" s="41" t="s">
        <v>176</v>
      </c>
      <c r="E108" s="44" t="s">
        <v>295</v>
      </c>
    </row>
    <row r="109" spans="1:5">
      <c r="A109" s="232" t="s">
        <v>296</v>
      </c>
      <c r="B109" s="181" t="s">
        <v>297</v>
      </c>
      <c r="C109" s="40" t="s">
        <v>297</v>
      </c>
      <c r="D109" s="40" t="s">
        <v>298</v>
      </c>
      <c r="E109" s="43" t="s">
        <v>299</v>
      </c>
    </row>
    <row r="110" spans="1:5" ht="24" customHeight="1">
      <c r="A110" s="233" t="s">
        <v>300</v>
      </c>
      <c r="B110" s="182" t="s">
        <v>301</v>
      </c>
      <c r="C110" s="41" t="s">
        <v>301</v>
      </c>
      <c r="D110" s="41" t="s">
        <v>302</v>
      </c>
      <c r="E110" s="44" t="s">
        <v>303</v>
      </c>
    </row>
    <row r="111" spans="1:5">
      <c r="A111" s="232" t="s">
        <v>304</v>
      </c>
      <c r="B111" s="181" t="s">
        <v>176</v>
      </c>
      <c r="C111" s="40" t="s">
        <v>176</v>
      </c>
      <c r="D111" s="40" t="s">
        <v>176</v>
      </c>
      <c r="E111" s="43" t="s">
        <v>305</v>
      </c>
    </row>
    <row r="112" spans="1:5">
      <c r="A112" s="233" t="s">
        <v>306</v>
      </c>
      <c r="B112" s="182" t="s">
        <v>307</v>
      </c>
      <c r="C112" s="41" t="s">
        <v>308</v>
      </c>
      <c r="D112" s="41" t="s">
        <v>309</v>
      </c>
      <c r="E112" s="44" t="s">
        <v>310</v>
      </c>
    </row>
    <row r="113" spans="1:5">
      <c r="A113" s="1"/>
      <c r="B113" s="1"/>
      <c r="C113" s="38"/>
      <c r="D113" s="38"/>
      <c r="E113" s="38"/>
    </row>
    <row r="114" spans="1:5" ht="27.95" customHeight="1">
      <c r="A114" s="300" t="s">
        <v>311</v>
      </c>
      <c r="B114" s="300"/>
      <c r="C114" s="300"/>
      <c r="D114" s="300"/>
      <c r="E114" s="300"/>
    </row>
    <row r="115" spans="1:5">
      <c r="A115" s="231" t="s">
        <v>312</v>
      </c>
      <c r="B115" s="180" t="s">
        <v>313</v>
      </c>
      <c r="C115" s="39" t="s">
        <v>314</v>
      </c>
      <c r="D115" s="39" t="s">
        <v>315</v>
      </c>
      <c r="E115" s="39" t="s">
        <v>228</v>
      </c>
    </row>
    <row r="116" spans="1:5">
      <c r="A116" s="233" t="s">
        <v>316</v>
      </c>
      <c r="B116" s="184" t="s">
        <v>317</v>
      </c>
      <c r="C116" s="102" t="s">
        <v>318</v>
      </c>
      <c r="D116" s="102"/>
      <c r="E116" s="41" t="s">
        <v>257</v>
      </c>
    </row>
    <row r="117" spans="1:5">
      <c r="A117" s="233" t="s">
        <v>319</v>
      </c>
      <c r="B117" s="184" t="s">
        <v>317</v>
      </c>
      <c r="C117" s="102" t="s">
        <v>318</v>
      </c>
      <c r="D117" s="102"/>
      <c r="E117" s="41" t="s">
        <v>257</v>
      </c>
    </row>
    <row r="118" spans="1:5">
      <c r="A118" s="233" t="s">
        <v>320</v>
      </c>
      <c r="B118" s="184" t="s">
        <v>317</v>
      </c>
      <c r="C118" s="102" t="s">
        <v>318</v>
      </c>
      <c r="D118" s="102"/>
      <c r="E118" s="41" t="s">
        <v>257</v>
      </c>
    </row>
    <row r="119" spans="1:5" ht="27.95" customHeight="1">
      <c r="A119" s="233" t="s">
        <v>321</v>
      </c>
      <c r="B119" s="184" t="s">
        <v>317</v>
      </c>
      <c r="C119" s="102" t="s">
        <v>318</v>
      </c>
      <c r="D119" s="102"/>
      <c r="E119" s="41" t="s">
        <v>257</v>
      </c>
    </row>
    <row r="120" spans="1:5">
      <c r="A120" s="233" t="s">
        <v>322</v>
      </c>
      <c r="B120" s="184" t="s">
        <v>317</v>
      </c>
      <c r="C120" s="102" t="s">
        <v>318</v>
      </c>
      <c r="D120" s="102"/>
      <c r="E120" s="41" t="s">
        <v>257</v>
      </c>
    </row>
    <row r="121" spans="1:5">
      <c r="A121" s="233" t="s">
        <v>323</v>
      </c>
      <c r="B121" s="184" t="s">
        <v>317</v>
      </c>
      <c r="C121" s="102" t="s">
        <v>318</v>
      </c>
      <c r="D121" s="102"/>
      <c r="E121" s="41" t="s">
        <v>257</v>
      </c>
    </row>
    <row r="122" spans="1:5">
      <c r="A122" s="1"/>
      <c r="B122" s="1"/>
      <c r="C122" s="38"/>
      <c r="D122" s="38"/>
      <c r="E122" s="38"/>
    </row>
    <row r="123" spans="1:5">
      <c r="A123" s="301" t="s">
        <v>324</v>
      </c>
      <c r="B123" s="301"/>
      <c r="C123" s="301"/>
      <c r="D123" s="301"/>
      <c r="E123" s="301"/>
    </row>
    <row r="124" spans="1:5">
      <c r="A124" s="293" t="s">
        <v>325</v>
      </c>
      <c r="B124" s="293"/>
      <c r="C124" s="293"/>
      <c r="D124" s="293"/>
      <c r="E124" s="293"/>
    </row>
    <row r="125" spans="1:5">
      <c r="A125" s="293" t="s">
        <v>326</v>
      </c>
      <c r="B125" s="293"/>
      <c r="C125" s="293"/>
      <c r="D125" s="293"/>
      <c r="E125" s="293"/>
    </row>
    <row r="126" spans="1:5">
      <c r="A126" s="293" t="s">
        <v>327</v>
      </c>
      <c r="B126" s="293"/>
      <c r="C126" s="293"/>
      <c r="D126" s="293"/>
      <c r="E126" s="293"/>
    </row>
    <row r="127" spans="1:5">
      <c r="A127" s="293" t="s">
        <v>328</v>
      </c>
      <c r="B127" s="293"/>
      <c r="C127" s="293"/>
      <c r="D127" s="293"/>
      <c r="E127" s="293"/>
    </row>
    <row r="128" spans="1:5" ht="24" customHeight="1">
      <c r="A128" s="293" t="s">
        <v>329</v>
      </c>
      <c r="B128" s="293"/>
      <c r="C128" s="293"/>
      <c r="D128" s="293"/>
      <c r="E128" s="293"/>
    </row>
    <row r="129" spans="1:5">
      <c r="A129" s="1"/>
      <c r="B129" s="1"/>
      <c r="C129" s="38"/>
      <c r="D129" s="38"/>
      <c r="E129" s="38"/>
    </row>
    <row r="130" spans="1:5" ht="24" customHeight="1">
      <c r="A130" s="294" t="s">
        <v>330</v>
      </c>
      <c r="B130" s="294"/>
      <c r="C130" s="294"/>
      <c r="D130" s="294"/>
      <c r="E130" s="294"/>
    </row>
    <row r="131" spans="1:5" ht="24" customHeight="1">
      <c r="A131" s="295" t="s">
        <v>331</v>
      </c>
      <c r="B131" s="295"/>
      <c r="C131" s="295"/>
      <c r="D131" s="295"/>
      <c r="E131" s="295"/>
    </row>
    <row r="132" spans="1:5">
      <c r="A132" s="1"/>
      <c r="B132" s="1"/>
      <c r="C132" s="38"/>
      <c r="D132" s="38"/>
      <c r="E132" s="38"/>
    </row>
    <row r="133" spans="1:5">
      <c r="A133" s="296" t="s">
        <v>332</v>
      </c>
      <c r="B133" s="296"/>
      <c r="C133" s="296"/>
      <c r="D133" s="296"/>
      <c r="E133" s="296"/>
    </row>
  </sheetData>
  <sheetProtection sheet="1" objects="1" scenarios="1"/>
  <mergeCells count="36">
    <mergeCell ref="A1:E1"/>
    <mergeCell ref="A2:E2"/>
    <mergeCell ref="A3:E3"/>
    <mergeCell ref="A63:E63"/>
    <mergeCell ref="A5:E5"/>
    <mergeCell ref="A7:E7"/>
    <mergeCell ref="A16:E16"/>
    <mergeCell ref="A21:E21"/>
    <mergeCell ref="A23:E23"/>
    <mergeCell ref="A26:E26"/>
    <mergeCell ref="A28:E28"/>
    <mergeCell ref="A33:E33"/>
    <mergeCell ref="A35:E35"/>
    <mergeCell ref="A44:E44"/>
    <mergeCell ref="A49:E49"/>
    <mergeCell ref="A52:E52"/>
    <mergeCell ref="A54:E54"/>
    <mergeCell ref="A56:E56"/>
    <mergeCell ref="A61:E61"/>
    <mergeCell ref="A67:E67"/>
    <mergeCell ref="A69:E69"/>
    <mergeCell ref="A128:E128"/>
    <mergeCell ref="A130:E130"/>
    <mergeCell ref="A131:E131"/>
    <mergeCell ref="A133:E133"/>
    <mergeCell ref="A74:E74"/>
    <mergeCell ref="A79:E79"/>
    <mergeCell ref="A83:E83"/>
    <mergeCell ref="A97:E97"/>
    <mergeCell ref="A114:E114"/>
    <mergeCell ref="A123:E123"/>
    <mergeCell ref="A124:E124"/>
    <mergeCell ref="A125:E125"/>
    <mergeCell ref="A126:E126"/>
    <mergeCell ref="A127:E127"/>
    <mergeCell ref="A71:E71"/>
  </mergeCells>
  <pageMargins left="0.7" right="0.7" top="0.75" bottom="0.75" header="0.3" footer="0.3"/>
  <pageSetup paperSize="0" scale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showGridLines="0" zoomScaleNormal="100" workbookViewId="0">
      <pane ySplit="7" topLeftCell="A70" activePane="bottomLeft" state="frozen"/>
      <selection pane="bottomLeft" activeCell="D126" sqref="D126"/>
    </sheetView>
  </sheetViews>
  <sheetFormatPr defaultColWidth="8.5703125" defaultRowHeight="14.45"/>
  <cols>
    <col min="1" max="1" width="40" customWidth="1"/>
    <col min="2" max="2" width="20" customWidth="1"/>
    <col min="3" max="3" width="18.140625" customWidth="1"/>
    <col min="4" max="4" width="32.7109375" customWidth="1"/>
    <col min="5" max="5" width="37.85546875" bestFit="1" customWidth="1"/>
    <col min="6" max="6" width="24.42578125" bestFit="1" customWidth="1"/>
  </cols>
  <sheetData>
    <row r="1" spans="1:6" ht="39.950000000000003" customHeight="1">
      <c r="A1" s="310" t="s">
        <v>333</v>
      </c>
      <c r="B1" s="328"/>
      <c r="C1" s="328"/>
      <c r="D1" s="328"/>
      <c r="E1" s="328"/>
      <c r="F1" s="328"/>
    </row>
    <row r="2" spans="1:6" ht="24.95" customHeight="1">
      <c r="A2" s="311" t="s">
        <v>334</v>
      </c>
      <c r="B2" s="329"/>
      <c r="C2" s="329"/>
      <c r="D2" s="329"/>
      <c r="E2" s="329"/>
      <c r="F2" s="329"/>
    </row>
    <row r="3" spans="1:6" ht="21.95" customHeight="1">
      <c r="A3" s="315" t="s">
        <v>335</v>
      </c>
      <c r="B3" s="329"/>
      <c r="C3" s="329"/>
      <c r="D3" s="329"/>
      <c r="E3" s="329"/>
      <c r="F3" s="329"/>
    </row>
    <row r="4" spans="1:6" ht="27.95" customHeight="1">
      <c r="A4" s="312" t="s">
        <v>336</v>
      </c>
      <c r="B4" s="313"/>
      <c r="C4" s="313"/>
      <c r="D4" s="313"/>
      <c r="E4" s="313"/>
      <c r="F4" s="313"/>
    </row>
    <row r="5" spans="1:6" ht="8.1" customHeight="1">
      <c r="A5" s="234"/>
    </row>
    <row r="6" spans="1:6" ht="27.95" customHeight="1">
      <c r="A6" s="314" t="s">
        <v>337</v>
      </c>
      <c r="B6" s="330"/>
      <c r="C6" s="330"/>
      <c r="D6" s="330"/>
      <c r="E6" s="330"/>
      <c r="F6" s="331"/>
    </row>
    <row r="7" spans="1:6" ht="12" customHeight="1"/>
    <row r="8" spans="1:6" ht="27.95" customHeight="1">
      <c r="A8" s="332" t="s">
        <v>32</v>
      </c>
      <c r="B8" s="329"/>
      <c r="C8" s="329"/>
      <c r="D8" s="329"/>
      <c r="E8" s="329"/>
      <c r="F8" s="329"/>
    </row>
    <row r="9" spans="1:6" ht="27.95" customHeight="1">
      <c r="A9" s="333" t="s">
        <v>338</v>
      </c>
      <c r="B9" s="329"/>
      <c r="C9" s="329"/>
      <c r="D9" s="329"/>
      <c r="E9" s="329"/>
      <c r="F9" s="329"/>
    </row>
    <row r="10" spans="1:6" ht="24" customHeight="1">
      <c r="A10" s="235" t="s">
        <v>339</v>
      </c>
      <c r="B10" s="185" t="s">
        <v>340</v>
      </c>
      <c r="C10" s="2" t="s">
        <v>341</v>
      </c>
      <c r="D10" s="2" t="s">
        <v>342</v>
      </c>
      <c r="E10" s="2" t="s">
        <v>343</v>
      </c>
      <c r="F10" s="3" t="s">
        <v>344</v>
      </c>
    </row>
    <row r="11" spans="1:6" ht="21.95" customHeight="1">
      <c r="A11" s="236"/>
      <c r="B11" s="186"/>
      <c r="C11" s="105"/>
      <c r="D11" s="105"/>
      <c r="E11" s="105"/>
      <c r="F11" s="106"/>
    </row>
    <row r="12" spans="1:6" ht="21.95" customHeight="1">
      <c r="A12" s="237"/>
      <c r="B12" s="187"/>
      <c r="C12" s="107"/>
      <c r="D12" s="107"/>
      <c r="E12" s="107"/>
      <c r="F12" s="108"/>
    </row>
    <row r="13" spans="1:6" ht="21.95" customHeight="1">
      <c r="A13" s="236"/>
      <c r="B13" s="186"/>
      <c r="C13" s="105"/>
      <c r="D13" s="105"/>
      <c r="E13" s="105"/>
      <c r="F13" s="106"/>
    </row>
    <row r="14" spans="1:6" ht="21.95" customHeight="1">
      <c r="A14" s="237"/>
      <c r="B14" s="187"/>
      <c r="C14" s="107"/>
      <c r="D14" s="107"/>
      <c r="E14" s="107"/>
      <c r="F14" s="108"/>
    </row>
    <row r="15" spans="1:6" ht="21.95" customHeight="1">
      <c r="A15" s="238"/>
      <c r="B15" s="188"/>
      <c r="C15" s="109"/>
      <c r="D15" s="109"/>
      <c r="E15" s="109"/>
      <c r="F15" s="110"/>
    </row>
    <row r="16" spans="1:6" ht="6" customHeight="1">
      <c r="A16" s="111"/>
      <c r="B16" s="111"/>
      <c r="C16" s="111"/>
      <c r="D16" s="111"/>
      <c r="E16" s="111"/>
      <c r="F16" s="111"/>
    </row>
    <row r="17" spans="1:6" ht="24" customHeight="1">
      <c r="A17" s="334" t="s">
        <v>345</v>
      </c>
      <c r="B17" s="329"/>
      <c r="C17" s="329"/>
      <c r="D17" s="329"/>
      <c r="E17" s="329"/>
      <c r="F17" s="329"/>
    </row>
    <row r="18" spans="1:6" ht="18" customHeight="1">
      <c r="A18" s="239" t="s">
        <v>346</v>
      </c>
      <c r="B18" s="189" t="s">
        <v>341</v>
      </c>
      <c r="C18" s="6" t="s">
        <v>347</v>
      </c>
      <c r="D18" s="6" t="s">
        <v>348</v>
      </c>
      <c r="E18" s="6" t="s">
        <v>349</v>
      </c>
      <c r="F18" s="8" t="s">
        <v>219</v>
      </c>
    </row>
    <row r="19" spans="1:6" ht="18" customHeight="1">
      <c r="A19" s="240" t="s">
        <v>350</v>
      </c>
      <c r="B19" s="190" t="s">
        <v>351</v>
      </c>
      <c r="C19" s="4" t="s">
        <v>352</v>
      </c>
      <c r="D19" s="4" t="s">
        <v>163</v>
      </c>
      <c r="E19" s="4" t="s">
        <v>353</v>
      </c>
      <c r="F19" s="9"/>
    </row>
    <row r="20" spans="1:6" ht="18" customHeight="1">
      <c r="A20" s="241" t="s">
        <v>354</v>
      </c>
      <c r="B20" s="191" t="s">
        <v>355</v>
      </c>
      <c r="C20" s="5" t="s">
        <v>356</v>
      </c>
      <c r="D20" s="5" t="s">
        <v>163</v>
      </c>
      <c r="E20" s="5" t="s">
        <v>353</v>
      </c>
      <c r="F20" s="10"/>
    </row>
    <row r="21" spans="1:6" ht="18" customHeight="1">
      <c r="A21" s="240" t="s">
        <v>357</v>
      </c>
      <c r="B21" s="190" t="s">
        <v>358</v>
      </c>
      <c r="C21" s="4" t="s">
        <v>359</v>
      </c>
      <c r="D21" s="4" t="s">
        <v>360</v>
      </c>
      <c r="E21" s="4" t="s">
        <v>359</v>
      </c>
      <c r="F21" s="9"/>
    </row>
    <row r="22" spans="1:6" ht="18" customHeight="1">
      <c r="A22" s="241" t="s">
        <v>361</v>
      </c>
      <c r="B22" s="191" t="s">
        <v>362</v>
      </c>
      <c r="C22" s="5" t="s">
        <v>363</v>
      </c>
      <c r="D22" s="5" t="s">
        <v>163</v>
      </c>
      <c r="E22" s="5" t="s">
        <v>364</v>
      </c>
      <c r="F22" s="10"/>
    </row>
    <row r="23" spans="1:6" ht="18" customHeight="1">
      <c r="A23" s="242" t="s">
        <v>365</v>
      </c>
      <c r="B23" s="192" t="s">
        <v>366</v>
      </c>
      <c r="C23" s="7" t="s">
        <v>363</v>
      </c>
      <c r="D23" s="7" t="s">
        <v>163</v>
      </c>
      <c r="E23" s="7" t="s">
        <v>367</v>
      </c>
      <c r="F23" s="11"/>
    </row>
    <row r="24" spans="1:6" ht="6" customHeight="1"/>
    <row r="25" spans="1:6" ht="24" customHeight="1">
      <c r="A25" s="334" t="s">
        <v>368</v>
      </c>
      <c r="B25" s="329"/>
      <c r="C25" s="329"/>
      <c r="D25" s="329"/>
      <c r="E25" s="329"/>
      <c r="F25" s="329"/>
    </row>
    <row r="26" spans="1:6" ht="18" customHeight="1">
      <c r="A26" s="239" t="s">
        <v>369</v>
      </c>
      <c r="B26" s="189" t="s">
        <v>341</v>
      </c>
      <c r="C26" s="6" t="s">
        <v>370</v>
      </c>
      <c r="D26" s="6" t="s">
        <v>371</v>
      </c>
      <c r="E26" s="6" t="s">
        <v>372</v>
      </c>
      <c r="F26" s="8" t="s">
        <v>219</v>
      </c>
    </row>
    <row r="27" spans="1:6" ht="18" customHeight="1">
      <c r="A27" s="240" t="s">
        <v>373</v>
      </c>
      <c r="B27" s="190" t="s">
        <v>374</v>
      </c>
      <c r="C27" s="4" t="s">
        <v>375</v>
      </c>
      <c r="D27" s="4" t="s">
        <v>376</v>
      </c>
      <c r="E27" s="4"/>
      <c r="F27" s="9"/>
    </row>
    <row r="28" spans="1:6" ht="18" customHeight="1">
      <c r="A28" s="241" t="s">
        <v>377</v>
      </c>
      <c r="B28" s="191" t="s">
        <v>378</v>
      </c>
      <c r="C28" s="5" t="s">
        <v>379</v>
      </c>
      <c r="D28" s="5" t="s">
        <v>380</v>
      </c>
      <c r="E28" s="5"/>
      <c r="F28" s="10"/>
    </row>
    <row r="29" spans="1:6" ht="18" customHeight="1">
      <c r="A29" s="240" t="s">
        <v>381</v>
      </c>
      <c r="B29" s="190" t="s">
        <v>382</v>
      </c>
      <c r="C29" s="4" t="s">
        <v>375</v>
      </c>
      <c r="D29" s="4" t="s">
        <v>383</v>
      </c>
      <c r="E29" s="4"/>
      <c r="F29" s="9"/>
    </row>
    <row r="30" spans="1:6" ht="18" customHeight="1">
      <c r="A30" s="243" t="s">
        <v>384</v>
      </c>
      <c r="B30" s="193" t="s">
        <v>385</v>
      </c>
      <c r="C30" s="12" t="s">
        <v>375</v>
      </c>
      <c r="D30" s="12" t="s">
        <v>383</v>
      </c>
      <c r="E30" s="12"/>
      <c r="F30" s="13"/>
    </row>
    <row r="31" spans="1:6" ht="27.95" customHeight="1">
      <c r="A31" s="307" t="s">
        <v>386</v>
      </c>
      <c r="B31" s="307"/>
      <c r="C31" s="307"/>
      <c r="D31" s="307"/>
      <c r="E31" s="307"/>
      <c r="F31" s="307"/>
    </row>
    <row r="32" spans="1:6" ht="18" customHeight="1">
      <c r="A32" s="335" t="s">
        <v>387</v>
      </c>
      <c r="B32" s="335"/>
      <c r="C32" s="335"/>
      <c r="D32" s="335"/>
      <c r="E32" s="335"/>
      <c r="F32" s="335"/>
    </row>
    <row r="33" spans="1:6" ht="18" customHeight="1"/>
    <row r="34" spans="1:6" ht="18" customHeight="1">
      <c r="A34" s="336" t="s">
        <v>388</v>
      </c>
      <c r="B34" s="336"/>
      <c r="C34" s="336"/>
      <c r="D34" s="336"/>
      <c r="E34" s="336"/>
      <c r="F34" s="336"/>
    </row>
    <row r="35" spans="1:6" ht="21.95" customHeight="1">
      <c r="A35" s="80" t="s">
        <v>389</v>
      </c>
      <c r="B35" s="81" t="s">
        <v>390</v>
      </c>
      <c r="C35" s="81" t="s">
        <v>391</v>
      </c>
      <c r="D35" s="81" t="s">
        <v>392</v>
      </c>
      <c r="E35" s="81" t="s">
        <v>393</v>
      </c>
      <c r="F35" s="82" t="s">
        <v>394</v>
      </c>
    </row>
    <row r="36" spans="1:6" ht="18" customHeight="1">
      <c r="A36" s="79" t="s">
        <v>395</v>
      </c>
      <c r="B36" s="112">
        <v>0</v>
      </c>
      <c r="C36" s="23" t="str">
        <f>IF($B$40=0,"",TEXT(B36/$B$40,"0%"))</f>
        <v/>
      </c>
      <c r="D36" s="94" t="s">
        <v>396</v>
      </c>
      <c r="E36" t="s">
        <v>397</v>
      </c>
      <c r="F36" s="113"/>
    </row>
    <row r="37" spans="1:6" ht="18" customHeight="1">
      <c r="A37" s="79" t="s">
        <v>398</v>
      </c>
      <c r="B37" s="112">
        <v>0</v>
      </c>
      <c r="C37" s="23" t="str">
        <f>IF($B$40=0,"",TEXT(B37/$B$40,"0%"))</f>
        <v/>
      </c>
      <c r="D37" s="95" t="s">
        <v>399</v>
      </c>
      <c r="E37" t="s">
        <v>400</v>
      </c>
      <c r="F37" s="113"/>
    </row>
    <row r="38" spans="1:6" ht="18" customHeight="1">
      <c r="A38" s="79" t="s">
        <v>401</v>
      </c>
      <c r="B38" s="112">
        <v>0</v>
      </c>
      <c r="C38" s="23" t="str">
        <f>IF($B$40=0,"",TEXT(B38/$B$40,"0%"))</f>
        <v/>
      </c>
      <c r="D38" s="96" t="s">
        <v>402</v>
      </c>
      <c r="E38" t="s">
        <v>403</v>
      </c>
      <c r="F38" s="113"/>
    </row>
    <row r="39" spans="1:6" ht="18" customHeight="1">
      <c r="A39" s="79" t="s">
        <v>404</v>
      </c>
      <c r="B39" s="112">
        <v>0</v>
      </c>
      <c r="C39" s="23" t="str">
        <f>IF($B$40=0,"",TEXT(B39/$B$40,"0%"))</f>
        <v/>
      </c>
      <c r="D39" s="97" t="s">
        <v>405</v>
      </c>
      <c r="E39" t="s">
        <v>406</v>
      </c>
      <c r="F39" s="113"/>
    </row>
    <row r="40" spans="1:6" ht="18" customHeight="1">
      <c r="A40" s="83" t="s">
        <v>407</v>
      </c>
      <c r="B40" s="84">
        <f>SUM(B36:B39)</f>
        <v>0</v>
      </c>
      <c r="C40" s="85">
        <v>1</v>
      </c>
      <c r="D40" s="84"/>
      <c r="E40" s="86"/>
      <c r="F40" s="87"/>
    </row>
    <row r="41" spans="1:6" ht="18" customHeight="1"/>
    <row r="42" spans="1:6" ht="18" customHeight="1">
      <c r="A42" s="336" t="s">
        <v>408</v>
      </c>
      <c r="B42" s="336"/>
      <c r="C42" s="336"/>
      <c r="D42" s="336"/>
      <c r="E42" s="336"/>
      <c r="F42" s="336"/>
    </row>
    <row r="43" spans="1:6" ht="21.95" customHeight="1">
      <c r="A43" s="75" t="s">
        <v>409</v>
      </c>
      <c r="B43" s="75" t="s">
        <v>390</v>
      </c>
      <c r="C43" s="75" t="s">
        <v>391</v>
      </c>
      <c r="D43" s="75" t="s">
        <v>410</v>
      </c>
      <c r="E43" s="75" t="s">
        <v>411</v>
      </c>
      <c r="F43" s="75" t="s">
        <v>412</v>
      </c>
    </row>
    <row r="44" spans="1:6" ht="18" customHeight="1">
      <c r="A44" s="244" t="s">
        <v>413</v>
      </c>
      <c r="B44" s="112">
        <v>0</v>
      </c>
      <c r="C44" s="23" t="str">
        <f>IF($B$48=0,"",TEXT(B44/$B$48,"0%"))</f>
        <v/>
      </c>
      <c r="D44" t="s">
        <v>156</v>
      </c>
      <c r="E44" t="s">
        <v>156</v>
      </c>
      <c r="F44" s="98" t="s">
        <v>405</v>
      </c>
    </row>
    <row r="45" spans="1:6" ht="18" customHeight="1">
      <c r="A45" s="244" t="s">
        <v>414</v>
      </c>
      <c r="B45" s="112">
        <v>0</v>
      </c>
      <c r="C45" s="23" t="str">
        <f>IF($B$48=0,"",TEXT(B45/$B$48,"0%"))</f>
        <v/>
      </c>
      <c r="D45" s="114"/>
      <c r="E45" s="114"/>
      <c r="F45" s="115" t="s">
        <v>402</v>
      </c>
    </row>
    <row r="46" spans="1:6" ht="18" customHeight="1">
      <c r="A46" s="244" t="s">
        <v>415</v>
      </c>
      <c r="B46" s="112">
        <v>0</v>
      </c>
      <c r="C46" s="23" t="str">
        <f>IF($B$48=0,"",TEXT(B46/$B$48,"0%"))</f>
        <v/>
      </c>
      <c r="D46" s="114"/>
      <c r="E46" s="114"/>
      <c r="F46" s="116" t="s">
        <v>399</v>
      </c>
    </row>
    <row r="47" spans="1:6" ht="18" customHeight="1">
      <c r="A47" s="244" t="s">
        <v>416</v>
      </c>
      <c r="B47" s="112">
        <v>0</v>
      </c>
      <c r="C47" s="23" t="str">
        <f>IF($B$48=0,"",TEXT(B47/$B$48,"0%"))</f>
        <v/>
      </c>
      <c r="D47" s="114"/>
      <c r="E47" s="114"/>
      <c r="F47" s="117" t="s">
        <v>396</v>
      </c>
    </row>
    <row r="48" spans="1:6" ht="18" customHeight="1">
      <c r="A48" s="76" t="s">
        <v>407</v>
      </c>
      <c r="B48" s="77">
        <f>SUM(B44:B47)</f>
        <v>0</v>
      </c>
      <c r="C48" s="78">
        <v>1</v>
      </c>
      <c r="D48" s="76"/>
      <c r="E48" s="76"/>
      <c r="F48" s="77"/>
    </row>
    <row r="49" spans="1:6" ht="18" customHeight="1"/>
    <row r="50" spans="1:6" ht="18" customHeight="1">
      <c r="A50" s="336" t="s">
        <v>417</v>
      </c>
      <c r="B50" s="336"/>
      <c r="C50" s="336"/>
      <c r="D50" s="336"/>
      <c r="E50" s="336"/>
      <c r="F50" s="336"/>
    </row>
    <row r="51" spans="1:6" ht="21.95" customHeight="1">
      <c r="A51" s="75" t="s">
        <v>418</v>
      </c>
      <c r="B51" s="75" t="s">
        <v>419</v>
      </c>
      <c r="C51" s="75" t="s">
        <v>390</v>
      </c>
      <c r="D51" s="75" t="s">
        <v>391</v>
      </c>
      <c r="E51" s="75" t="s">
        <v>389</v>
      </c>
      <c r="F51" s="75" t="s">
        <v>349</v>
      </c>
    </row>
    <row r="52" spans="1:6" ht="18" customHeight="1">
      <c r="A52" s="88" t="s">
        <v>420</v>
      </c>
      <c r="B52" s="88">
        <v>2022</v>
      </c>
      <c r="C52" s="112">
        <v>0</v>
      </c>
      <c r="D52" s="23" t="str">
        <f t="shared" ref="D52:D61" si="0">IF($C$62=0,"",TEXT(C52/$C$62,"0%"))</f>
        <v/>
      </c>
      <c r="E52" s="23" t="s">
        <v>404</v>
      </c>
      <c r="F52" s="23" t="s">
        <v>364</v>
      </c>
    </row>
    <row r="53" spans="1:6" ht="18" customHeight="1">
      <c r="A53" s="99" t="s">
        <v>420</v>
      </c>
      <c r="B53" s="99">
        <v>2019</v>
      </c>
      <c r="C53" s="112">
        <v>0</v>
      </c>
      <c r="D53" s="100" t="str">
        <f t="shared" si="0"/>
        <v/>
      </c>
      <c r="E53" s="100" t="s">
        <v>404</v>
      </c>
      <c r="F53" s="100" t="s">
        <v>364</v>
      </c>
    </row>
    <row r="54" spans="1:6" ht="18" customHeight="1">
      <c r="A54" s="88" t="s">
        <v>420</v>
      </c>
      <c r="B54" s="88">
        <v>2016</v>
      </c>
      <c r="C54" s="112">
        <v>0</v>
      </c>
      <c r="D54" s="23" t="str">
        <f t="shared" si="0"/>
        <v/>
      </c>
      <c r="E54" s="23" t="s">
        <v>421</v>
      </c>
      <c r="F54" s="23" t="s">
        <v>364</v>
      </c>
    </row>
    <row r="55" spans="1:6" ht="18" customHeight="1">
      <c r="A55" s="99" t="s">
        <v>420</v>
      </c>
      <c r="B55" s="99" t="s">
        <v>422</v>
      </c>
      <c r="C55" s="112">
        <v>0</v>
      </c>
      <c r="D55" s="100" t="str">
        <f t="shared" si="0"/>
        <v/>
      </c>
      <c r="E55" s="100" t="s">
        <v>423</v>
      </c>
      <c r="F55" s="100" t="s">
        <v>364</v>
      </c>
    </row>
    <row r="56" spans="1:6" ht="18" customHeight="1">
      <c r="A56" s="88" t="s">
        <v>420</v>
      </c>
      <c r="B56" s="88">
        <v>2012</v>
      </c>
      <c r="C56" s="112">
        <v>0</v>
      </c>
      <c r="D56" s="23" t="str">
        <f t="shared" si="0"/>
        <v/>
      </c>
      <c r="E56" s="23" t="s">
        <v>423</v>
      </c>
      <c r="F56" s="23" t="s">
        <v>364</v>
      </c>
    </row>
    <row r="57" spans="1:6" ht="18" customHeight="1">
      <c r="A57" s="99" t="s">
        <v>420</v>
      </c>
      <c r="B57" s="99" t="s">
        <v>424</v>
      </c>
      <c r="C57" s="112">
        <v>0</v>
      </c>
      <c r="D57" s="100" t="str">
        <f t="shared" si="0"/>
        <v/>
      </c>
      <c r="E57" s="100" t="s">
        <v>425</v>
      </c>
      <c r="F57" s="100" t="s">
        <v>364</v>
      </c>
    </row>
    <row r="58" spans="1:6" ht="18" customHeight="1">
      <c r="A58" s="88" t="s">
        <v>426</v>
      </c>
      <c r="B58" s="88" t="s">
        <v>427</v>
      </c>
      <c r="C58" s="112">
        <v>0</v>
      </c>
      <c r="D58" s="23" t="str">
        <f t="shared" si="0"/>
        <v/>
      </c>
      <c r="E58" s="23" t="s">
        <v>404</v>
      </c>
      <c r="F58" s="23" t="s">
        <v>428</v>
      </c>
    </row>
    <row r="59" spans="1:6" ht="18" customHeight="1">
      <c r="A59" s="99" t="s">
        <v>429</v>
      </c>
      <c r="B59" s="99" t="s">
        <v>430</v>
      </c>
      <c r="C59" s="112">
        <v>0</v>
      </c>
      <c r="D59" s="100" t="str">
        <f t="shared" si="0"/>
        <v/>
      </c>
      <c r="E59" s="100" t="s">
        <v>404</v>
      </c>
      <c r="F59" s="100" t="s">
        <v>431</v>
      </c>
    </row>
    <row r="60" spans="1:6" ht="18" customHeight="1">
      <c r="A60" s="88" t="s">
        <v>432</v>
      </c>
      <c r="B60" s="88" t="s">
        <v>433</v>
      </c>
      <c r="C60" s="112">
        <v>0</v>
      </c>
      <c r="D60" s="23" t="str">
        <f t="shared" si="0"/>
        <v/>
      </c>
      <c r="E60" s="23" t="s">
        <v>404</v>
      </c>
      <c r="F60" s="23" t="s">
        <v>176</v>
      </c>
    </row>
    <row r="61" spans="1:6" ht="18" customHeight="1">
      <c r="A61" s="99" t="s">
        <v>434</v>
      </c>
      <c r="B61" s="99" t="s">
        <v>435</v>
      </c>
      <c r="C61" s="112">
        <v>0</v>
      </c>
      <c r="D61" s="100" t="str">
        <f t="shared" si="0"/>
        <v/>
      </c>
      <c r="E61" s="100" t="s">
        <v>436</v>
      </c>
      <c r="F61" s="100" t="s">
        <v>176</v>
      </c>
    </row>
    <row r="62" spans="1:6" ht="18" customHeight="1">
      <c r="A62" s="76" t="s">
        <v>407</v>
      </c>
      <c r="B62" s="76"/>
      <c r="C62" s="77">
        <f>SUM(C52:C61)</f>
        <v>0</v>
      </c>
      <c r="D62" s="78">
        <v>1</v>
      </c>
      <c r="E62" s="77"/>
      <c r="F62" s="77"/>
    </row>
    <row r="63" spans="1:6" ht="18" customHeight="1"/>
    <row r="64" spans="1:6" ht="18" customHeight="1">
      <c r="A64" s="308" t="s">
        <v>437</v>
      </c>
      <c r="B64" s="308"/>
      <c r="C64" s="308"/>
      <c r="D64" s="308"/>
      <c r="E64" s="308"/>
      <c r="F64" s="308"/>
    </row>
    <row r="65" spans="1:6" ht="21.95" customHeight="1">
      <c r="A65" s="75" t="s">
        <v>438</v>
      </c>
      <c r="B65" s="75" t="s">
        <v>439</v>
      </c>
      <c r="C65" s="75" t="s">
        <v>228</v>
      </c>
      <c r="D65" s="75" t="s">
        <v>219</v>
      </c>
    </row>
    <row r="66" spans="1:6" ht="15" customHeight="1">
      <c r="A66" s="244" t="s">
        <v>440</v>
      </c>
      <c r="B66" s="89">
        <f>B40</f>
        <v>0</v>
      </c>
      <c r="C66" s="23" t="str">
        <f>IF(B66&gt;0,"✅ Discovered","⏳ Pending")</f>
        <v>⏳ Pending</v>
      </c>
      <c r="D66" s="90" t="s">
        <v>441</v>
      </c>
    </row>
    <row r="67" spans="1:6" ht="27.95" customHeight="1">
      <c r="A67" s="244" t="s">
        <v>442</v>
      </c>
      <c r="B67" s="89">
        <f>B36</f>
        <v>0</v>
      </c>
      <c r="C67" s="23" t="str">
        <f>IF(B67&gt;0,"🔴 Action Required","🟢 OK")</f>
        <v>🟢 OK</v>
      </c>
      <c r="D67" s="90" t="s">
        <v>443</v>
      </c>
    </row>
    <row r="68" spans="1:6" ht="18" customHeight="1">
      <c r="A68" s="244" t="s">
        <v>444</v>
      </c>
      <c r="B68" s="89">
        <f>B44</f>
        <v>0</v>
      </c>
      <c r="C68" s="23" t="str">
        <f>IF(B68&gt;0,"🟢 Ready","🟡 Pending")</f>
        <v>🟡 Pending</v>
      </c>
      <c r="D68" s="90" t="s">
        <v>445</v>
      </c>
    </row>
    <row r="69" spans="1:6" ht="18" customHeight="1">
      <c r="A69" s="244" t="s">
        <v>446</v>
      </c>
      <c r="B69" s="89">
        <f>B47</f>
        <v>0</v>
      </c>
      <c r="C69" s="23" t="str">
        <f>IF(B69&gt;0,"🔴 Blockers Exist","🟢 OK")</f>
        <v>🟢 OK</v>
      </c>
      <c r="D69" s="90" t="s">
        <v>447</v>
      </c>
    </row>
    <row r="70" spans="1:6" ht="24" customHeight="1">
      <c r="A70" s="245" t="s">
        <v>448</v>
      </c>
      <c r="B70" s="91" t="str">
        <f>IF(B48=0,"0%",TEXT((B44+B45)/B48,"0%"))</f>
        <v>0%</v>
      </c>
      <c r="C70" s="92" t="str">
        <f>IF(ISNUMBER(SEARCH("%",B70)),IF(VALUE(SUBSTITUTE(B70,"%",""))&gt;=80,"🟢 High Readiness",IF(VALUE(SUBSTITUTE(B70,"%",""))&gt;=50,"🟡 Medium Readiness","🔴 Low Readiness")),"⏳ Pending")</f>
        <v>🔴 Low Readiness</v>
      </c>
      <c r="D70" s="93" t="s">
        <v>449</v>
      </c>
    </row>
    <row r="71" spans="1:6" ht="27.95" customHeight="1">
      <c r="A71" s="309" t="s">
        <v>41</v>
      </c>
      <c r="B71" s="309"/>
      <c r="C71" s="309"/>
      <c r="D71" s="309"/>
      <c r="E71" s="309"/>
      <c r="F71" s="309"/>
    </row>
    <row r="72" spans="1:6" ht="24" customHeight="1">
      <c r="A72" s="337" t="s">
        <v>450</v>
      </c>
      <c r="B72" s="337"/>
      <c r="C72" s="337"/>
      <c r="D72" s="337"/>
      <c r="E72" s="337"/>
      <c r="F72" s="337"/>
    </row>
    <row r="73" spans="1:6" ht="24" customHeight="1">
      <c r="A73" s="338" t="s">
        <v>451</v>
      </c>
      <c r="B73" s="338"/>
      <c r="C73" s="338"/>
      <c r="D73" s="338"/>
      <c r="E73" s="338"/>
      <c r="F73" s="338"/>
    </row>
    <row r="74" spans="1:6" ht="24" customHeight="1">
      <c r="A74" s="101" t="s">
        <v>452</v>
      </c>
      <c r="B74" s="101" t="s">
        <v>143</v>
      </c>
      <c r="C74" s="101" t="s">
        <v>144</v>
      </c>
      <c r="D74" s="101" t="s">
        <v>145</v>
      </c>
      <c r="E74" s="101" t="s">
        <v>453</v>
      </c>
      <c r="F74" s="101" t="s">
        <v>454</v>
      </c>
    </row>
    <row r="75" spans="1:6" ht="27.95" customHeight="1">
      <c r="A75" s="241" t="s">
        <v>455</v>
      </c>
      <c r="B75" s="194">
        <v>0</v>
      </c>
      <c r="C75" s="118">
        <v>0</v>
      </c>
      <c r="D75" s="118">
        <v>0</v>
      </c>
      <c r="E75" s="124"/>
      <c r="F75" s="127"/>
    </row>
    <row r="76" spans="1:6" ht="18" customHeight="1">
      <c r="A76" s="240" t="s">
        <v>456</v>
      </c>
      <c r="B76" s="195">
        <v>0</v>
      </c>
      <c r="C76" s="119">
        <v>0</v>
      </c>
      <c r="D76" s="119">
        <v>0</v>
      </c>
      <c r="E76" s="125"/>
      <c r="F76" s="128"/>
    </row>
    <row r="77" spans="1:6" ht="18" customHeight="1">
      <c r="A77" s="241" t="s">
        <v>457</v>
      </c>
      <c r="B77" s="194">
        <v>0</v>
      </c>
      <c r="C77" s="118">
        <v>0</v>
      </c>
      <c r="D77" s="118">
        <v>0</v>
      </c>
      <c r="E77" s="124"/>
      <c r="F77" s="127"/>
    </row>
    <row r="78" spans="1:6" ht="18" customHeight="1">
      <c r="A78" s="240" t="s">
        <v>458</v>
      </c>
      <c r="B78" s="195">
        <v>0</v>
      </c>
      <c r="C78" s="119">
        <v>0</v>
      </c>
      <c r="D78" s="119">
        <v>0</v>
      </c>
      <c r="E78" s="125"/>
      <c r="F78" s="128"/>
    </row>
    <row r="79" spans="1:6" ht="18" customHeight="1">
      <c r="A79" s="246" t="s">
        <v>459</v>
      </c>
      <c r="B79" s="196">
        <v>0</v>
      </c>
      <c r="C79" s="120">
        <v>0</v>
      </c>
      <c r="D79" s="120">
        <v>0</v>
      </c>
      <c r="E79" s="129"/>
      <c r="F79" s="130"/>
    </row>
    <row r="80" spans="1:6" ht="18" customHeight="1">
      <c r="A80" s="247" t="s">
        <v>460</v>
      </c>
      <c r="B80" s="197">
        <v>0</v>
      </c>
      <c r="C80" s="121">
        <v>0</v>
      </c>
      <c r="D80" s="121">
        <v>0</v>
      </c>
      <c r="E80" s="131"/>
      <c r="F80" s="132"/>
    </row>
    <row r="81" spans="1:6" ht="18" customHeight="1">
      <c r="A81" s="248" t="s">
        <v>461</v>
      </c>
      <c r="B81" s="198">
        <v>0</v>
      </c>
      <c r="C81" s="122">
        <v>0</v>
      </c>
      <c r="D81" s="122">
        <v>0</v>
      </c>
      <c r="E81" s="133"/>
      <c r="F81" s="134"/>
    </row>
    <row r="82" spans="1:6" ht="18" customHeight="1">
      <c r="A82" s="249" t="s">
        <v>462</v>
      </c>
      <c r="B82" s="199">
        <v>0</v>
      </c>
      <c r="C82" s="123">
        <v>0</v>
      </c>
      <c r="D82" s="123">
        <v>0</v>
      </c>
      <c r="E82" s="135"/>
      <c r="F82" s="136"/>
    </row>
    <row r="83" spans="1:6" ht="18" customHeight="1">
      <c r="A83" s="241" t="s">
        <v>463</v>
      </c>
      <c r="B83" s="200"/>
      <c r="C83" s="124"/>
      <c r="D83" s="124"/>
      <c r="E83" s="124"/>
      <c r="F83" s="127"/>
    </row>
    <row r="84" spans="1:6" ht="18" customHeight="1">
      <c r="A84" s="240" t="s">
        <v>464</v>
      </c>
      <c r="B84" s="201"/>
      <c r="C84" s="125"/>
      <c r="D84" s="125"/>
      <c r="E84" s="125"/>
      <c r="F84" s="128"/>
    </row>
    <row r="85" spans="1:6" ht="18" customHeight="1">
      <c r="A85" s="243" t="s">
        <v>465</v>
      </c>
      <c r="B85" s="202"/>
      <c r="C85" s="126"/>
      <c r="D85" s="126"/>
      <c r="E85" s="126"/>
      <c r="F85" s="137"/>
    </row>
    <row r="86" spans="1:6" ht="6" customHeight="1"/>
    <row r="87" spans="1:6" ht="18" customHeight="1">
      <c r="A87" s="334" t="s">
        <v>466</v>
      </c>
      <c r="B87" s="329"/>
      <c r="C87" s="329"/>
      <c r="D87" s="329"/>
      <c r="E87" s="329"/>
      <c r="F87" s="329"/>
    </row>
    <row r="88" spans="1:6" ht="18" customHeight="1">
      <c r="A88" s="250" t="s">
        <v>467</v>
      </c>
      <c r="B88" s="203" t="s">
        <v>468</v>
      </c>
      <c r="C88" s="14" t="s">
        <v>469</v>
      </c>
      <c r="D88" s="15"/>
      <c r="E88" s="15"/>
      <c r="F88" s="15"/>
    </row>
    <row r="89" spans="1:6" ht="18" customHeight="1">
      <c r="A89" s="251" t="s">
        <v>470</v>
      </c>
      <c r="B89" s="204" t="s">
        <v>470</v>
      </c>
      <c r="C89" s="138" t="s">
        <v>471</v>
      </c>
      <c r="D89" s="16"/>
      <c r="E89" s="16"/>
      <c r="F89" s="16"/>
    </row>
    <row r="90" spans="1:6" ht="15" customHeight="1"/>
    <row r="91" spans="1:6" ht="27.95" customHeight="1">
      <c r="A91" s="332" t="s">
        <v>47</v>
      </c>
      <c r="B91" s="329"/>
      <c r="C91" s="329"/>
      <c r="D91" s="329"/>
      <c r="E91" s="329"/>
      <c r="F91" s="329"/>
    </row>
    <row r="92" spans="1:6" ht="27.95" customHeight="1">
      <c r="A92" s="333" t="s">
        <v>472</v>
      </c>
      <c r="B92" s="329"/>
      <c r="C92" s="329"/>
      <c r="D92" s="329"/>
      <c r="E92" s="329"/>
      <c r="F92" s="329"/>
    </row>
    <row r="93" spans="1:6" ht="6" customHeight="1"/>
    <row r="94" spans="1:6" ht="24" customHeight="1">
      <c r="A94" s="334" t="s">
        <v>473</v>
      </c>
      <c r="B94" s="329"/>
      <c r="C94" s="329"/>
      <c r="D94" s="329"/>
      <c r="E94" s="329"/>
      <c r="F94" s="329"/>
    </row>
    <row r="95" spans="1:6" ht="24" customHeight="1">
      <c r="A95" s="239" t="s">
        <v>474</v>
      </c>
      <c r="B95" s="189" t="s">
        <v>475</v>
      </c>
      <c r="C95" s="6" t="s">
        <v>476</v>
      </c>
      <c r="D95" s="6" t="s">
        <v>477</v>
      </c>
      <c r="E95" s="6" t="s">
        <v>478</v>
      </c>
      <c r="F95" s="8" t="s">
        <v>219</v>
      </c>
    </row>
    <row r="96" spans="1:6" ht="18" customHeight="1">
      <c r="A96" s="240" t="s">
        <v>479</v>
      </c>
      <c r="B96" s="195">
        <v>0</v>
      </c>
      <c r="C96" s="119">
        <v>0</v>
      </c>
      <c r="D96" s="119">
        <v>0</v>
      </c>
      <c r="E96" s="4" t="s">
        <v>480</v>
      </c>
      <c r="F96" s="128" t="s">
        <v>481</v>
      </c>
    </row>
    <row r="97" spans="1:6" ht="18" customHeight="1">
      <c r="A97" s="241" t="s">
        <v>482</v>
      </c>
      <c r="B97" s="194">
        <v>0</v>
      </c>
      <c r="C97" s="118">
        <v>0</v>
      </c>
      <c r="D97" s="118">
        <v>0</v>
      </c>
      <c r="E97" s="5" t="str">
        <f>IF(B96=0,"—",TEXT((B96-B97)/B96,"0%"))</f>
        <v>—</v>
      </c>
      <c r="F97" s="127" t="s">
        <v>483</v>
      </c>
    </row>
    <row r="98" spans="1:6" ht="18" customHeight="1">
      <c r="A98" s="240" t="s">
        <v>484</v>
      </c>
      <c r="B98" s="195">
        <v>0</v>
      </c>
      <c r="C98" s="119">
        <v>0</v>
      </c>
      <c r="D98" s="119">
        <v>0</v>
      </c>
      <c r="E98" s="4" t="str">
        <f>IF(B96=0,"—",TEXT((B96-B98)/B96,"0%"))</f>
        <v>—</v>
      </c>
      <c r="F98" s="128" t="s">
        <v>485</v>
      </c>
    </row>
    <row r="99" spans="1:6" ht="18" customHeight="1">
      <c r="A99" s="241" t="s">
        <v>486</v>
      </c>
      <c r="B99" s="194">
        <v>0</v>
      </c>
      <c r="C99" s="118">
        <v>0</v>
      </c>
      <c r="D99" s="118">
        <v>0</v>
      </c>
      <c r="E99" s="5" t="str">
        <f>IF(B96=0,"—",TEXT((B96-B99)/B96,"0%"))</f>
        <v>—</v>
      </c>
      <c r="F99" s="127" t="s">
        <v>487</v>
      </c>
    </row>
    <row r="100" spans="1:6" ht="18" customHeight="1">
      <c r="A100" s="252" t="s">
        <v>488</v>
      </c>
      <c r="B100" s="205">
        <v>0</v>
      </c>
      <c r="C100" s="139">
        <v>0</v>
      </c>
      <c r="D100" s="139">
        <v>0</v>
      </c>
      <c r="E100" s="17" t="str">
        <f>IF(B96=0,"—",TEXT((B96-B100)/B96,"0%"))</f>
        <v>—</v>
      </c>
      <c r="F100" s="140" t="s">
        <v>489</v>
      </c>
    </row>
    <row r="101" spans="1:6" ht="8.1" customHeight="1"/>
    <row r="102" spans="1:6" ht="24" customHeight="1">
      <c r="A102" s="334" t="s">
        <v>490</v>
      </c>
      <c r="B102" s="329"/>
      <c r="C102" s="329"/>
      <c r="D102" s="329"/>
      <c r="E102" s="329"/>
      <c r="F102" s="329"/>
    </row>
    <row r="103" spans="1:6" ht="18" customHeight="1">
      <c r="A103" s="253" t="s">
        <v>491</v>
      </c>
      <c r="B103" s="206" t="s">
        <v>492</v>
      </c>
      <c r="C103" s="18" t="s">
        <v>493</v>
      </c>
      <c r="D103" s="18" t="s">
        <v>494</v>
      </c>
      <c r="E103" s="18" t="s">
        <v>495</v>
      </c>
      <c r="F103" s="18" t="s">
        <v>219</v>
      </c>
    </row>
    <row r="104" spans="1:6" ht="18" customHeight="1">
      <c r="A104" s="254" t="s">
        <v>420</v>
      </c>
      <c r="B104" s="207">
        <v>0</v>
      </c>
      <c r="C104" s="141"/>
      <c r="D104" s="35">
        <v>0</v>
      </c>
      <c r="E104" s="35">
        <v>0</v>
      </c>
      <c r="F104" s="141"/>
    </row>
    <row r="105" spans="1:6" ht="18" customHeight="1">
      <c r="A105" s="255" t="s">
        <v>496</v>
      </c>
      <c r="B105" s="208">
        <v>0</v>
      </c>
      <c r="C105" s="142"/>
      <c r="D105" s="36">
        <v>0</v>
      </c>
      <c r="E105" s="36">
        <v>0</v>
      </c>
      <c r="F105" s="142"/>
    </row>
    <row r="106" spans="1:6" ht="18" customHeight="1">
      <c r="A106" s="254" t="s">
        <v>497</v>
      </c>
      <c r="B106" s="207">
        <v>0</v>
      </c>
      <c r="C106" s="141"/>
      <c r="D106" s="35">
        <v>0</v>
      </c>
      <c r="E106" s="35">
        <v>0</v>
      </c>
      <c r="F106" s="141"/>
    </row>
    <row r="107" spans="1:6" ht="18" customHeight="1">
      <c r="A107" s="256" t="s">
        <v>498</v>
      </c>
      <c r="B107" s="209">
        <f>SUM(B104:B106)</f>
        <v>0</v>
      </c>
      <c r="C107" s="19"/>
      <c r="D107" s="37">
        <v>0</v>
      </c>
      <c r="E107" s="37">
        <v>0</v>
      </c>
      <c r="F107" s="19"/>
    </row>
    <row r="108" spans="1:6" ht="8.1" customHeight="1"/>
    <row r="109" spans="1:6" ht="18" customHeight="1">
      <c r="A109" s="334" t="s">
        <v>499</v>
      </c>
      <c r="B109" s="329"/>
      <c r="C109" s="329"/>
      <c r="D109" s="329"/>
      <c r="E109" s="329"/>
      <c r="F109" s="329"/>
    </row>
    <row r="110" spans="1:6" ht="18" customHeight="1">
      <c r="A110" s="250" t="s">
        <v>500</v>
      </c>
      <c r="B110" s="203" t="s">
        <v>475</v>
      </c>
      <c r="C110" s="14" t="s">
        <v>476</v>
      </c>
      <c r="D110" s="14" t="s">
        <v>501</v>
      </c>
      <c r="E110" s="14" t="s">
        <v>502</v>
      </c>
      <c r="F110" s="14" t="s">
        <v>503</v>
      </c>
    </row>
    <row r="111" spans="1:6" ht="18" customHeight="1">
      <c r="A111" s="251" t="s">
        <v>504</v>
      </c>
      <c r="B111" s="210">
        <v>0</v>
      </c>
      <c r="C111" s="143">
        <v>0</v>
      </c>
      <c r="D111" s="143">
        <v>0</v>
      </c>
      <c r="E111" s="138"/>
      <c r="F111" s="138" t="s">
        <v>505</v>
      </c>
    </row>
    <row r="112" spans="1:6" ht="15" customHeight="1"/>
    <row r="113" spans="1:6" ht="27.95" customHeight="1">
      <c r="A113" s="332" t="s">
        <v>53</v>
      </c>
      <c r="B113" s="329"/>
      <c r="C113" s="329"/>
      <c r="D113" s="329"/>
      <c r="E113" s="329"/>
      <c r="F113" s="329"/>
    </row>
    <row r="114" spans="1:6" ht="18" customHeight="1">
      <c r="A114" s="333" t="s">
        <v>506</v>
      </c>
      <c r="B114" s="329"/>
      <c r="C114" s="329"/>
      <c r="D114" s="329"/>
      <c r="E114" s="329"/>
      <c r="F114" s="329"/>
    </row>
    <row r="115" spans="1:6" ht="6" customHeight="1"/>
    <row r="116" spans="1:6" ht="24" customHeight="1">
      <c r="A116" s="239" t="s">
        <v>507</v>
      </c>
      <c r="B116" s="189" t="s">
        <v>508</v>
      </c>
      <c r="C116" s="6" t="s">
        <v>509</v>
      </c>
      <c r="D116" s="6" t="s">
        <v>510</v>
      </c>
      <c r="E116" s="6" t="s">
        <v>511</v>
      </c>
      <c r="F116" s="8" t="s">
        <v>219</v>
      </c>
    </row>
    <row r="117" spans="1:6" ht="26.45">
      <c r="A117" s="241" t="s">
        <v>93</v>
      </c>
      <c r="B117" s="211" t="s">
        <v>512</v>
      </c>
      <c r="C117" s="5" t="s">
        <v>513</v>
      </c>
      <c r="D117" s="5" t="s">
        <v>514</v>
      </c>
      <c r="E117" s="124"/>
      <c r="F117" s="127" t="s">
        <v>515</v>
      </c>
    </row>
    <row r="118" spans="1:6" ht="26.45">
      <c r="A118" s="241" t="s">
        <v>99</v>
      </c>
      <c r="B118" s="211" t="s">
        <v>516</v>
      </c>
      <c r="C118" s="5" t="s">
        <v>517</v>
      </c>
      <c r="D118" s="5" t="s">
        <v>518</v>
      </c>
      <c r="E118" s="124"/>
      <c r="F118" s="127" t="s">
        <v>519</v>
      </c>
    </row>
    <row r="119" spans="1:6" ht="18" customHeight="1">
      <c r="E119" s="111"/>
      <c r="F119" s="111"/>
    </row>
    <row r="120" spans="1:6" ht="18" customHeight="1">
      <c r="A120" s="332" t="s">
        <v>59</v>
      </c>
      <c r="B120" s="329"/>
      <c r="C120" s="329"/>
      <c r="D120" s="329"/>
      <c r="E120" s="339"/>
      <c r="F120" s="339"/>
    </row>
    <row r="121" spans="1:6" ht="18" customHeight="1">
      <c r="A121" s="333" t="s">
        <v>520</v>
      </c>
      <c r="B121" s="329"/>
      <c r="C121" s="329"/>
      <c r="D121" s="329"/>
      <c r="E121" s="329"/>
      <c r="F121" s="329"/>
    </row>
    <row r="122" spans="1:6" ht="15" customHeight="1"/>
    <row r="123" spans="1:6" ht="27.95" customHeight="1">
      <c r="A123" s="239" t="s">
        <v>521</v>
      </c>
      <c r="B123" s="189" t="s">
        <v>522</v>
      </c>
      <c r="C123" s="6" t="s">
        <v>523</v>
      </c>
      <c r="D123" s="6" t="s">
        <v>524</v>
      </c>
      <c r="E123" s="6" t="s">
        <v>525</v>
      </c>
      <c r="F123" s="8" t="s">
        <v>526</v>
      </c>
    </row>
    <row r="124" spans="1:6" ht="18" customHeight="1">
      <c r="A124" s="241" t="s">
        <v>527</v>
      </c>
      <c r="B124" s="212">
        <v>0.25</v>
      </c>
      <c r="C124" s="144">
        <v>0</v>
      </c>
      <c r="D124" s="20">
        <f t="shared" ref="D124:D130" si="1">IFERROR(VALUE(SUBSTITUTE(B124,"%",""))/100*C124,0)</f>
        <v>0</v>
      </c>
      <c r="E124" s="124"/>
      <c r="F124" s="127"/>
    </row>
    <row r="125" spans="1:6">
      <c r="A125" s="240" t="s">
        <v>528</v>
      </c>
      <c r="B125" s="213">
        <v>0.2</v>
      </c>
      <c r="C125" s="144">
        <v>0</v>
      </c>
      <c r="D125" s="21">
        <f t="shared" si="1"/>
        <v>0</v>
      </c>
      <c r="E125" s="125"/>
      <c r="F125" s="128"/>
    </row>
    <row r="126" spans="1:6" ht="26.1" customHeight="1">
      <c r="A126" s="241" t="s">
        <v>529</v>
      </c>
      <c r="B126" s="212">
        <v>0.15</v>
      </c>
      <c r="C126" s="144">
        <v>0</v>
      </c>
      <c r="D126" s="20">
        <f t="shared" si="1"/>
        <v>0</v>
      </c>
      <c r="E126" s="124"/>
      <c r="F126" s="127"/>
    </row>
    <row r="127" spans="1:6" ht="18" customHeight="1">
      <c r="A127" s="240" t="s">
        <v>530</v>
      </c>
      <c r="B127" s="213">
        <v>0.15</v>
      </c>
      <c r="C127" s="144">
        <v>0</v>
      </c>
      <c r="D127" s="21">
        <f t="shared" si="1"/>
        <v>0</v>
      </c>
      <c r="E127" s="125"/>
      <c r="F127" s="128"/>
    </row>
    <row r="128" spans="1:6" ht="18" customHeight="1">
      <c r="A128" s="241" t="s">
        <v>531</v>
      </c>
      <c r="B128" s="212">
        <v>0.1</v>
      </c>
      <c r="C128" s="144">
        <v>0</v>
      </c>
      <c r="D128" s="20">
        <f t="shared" si="1"/>
        <v>0</v>
      </c>
      <c r="E128" s="124"/>
      <c r="F128" s="127"/>
    </row>
    <row r="129" spans="1:6" ht="18" customHeight="1">
      <c r="A129" s="240" t="s">
        <v>532</v>
      </c>
      <c r="B129" s="213">
        <v>0.1</v>
      </c>
      <c r="C129" s="144">
        <v>0</v>
      </c>
      <c r="D129" s="21">
        <f t="shared" si="1"/>
        <v>0</v>
      </c>
      <c r="E129" s="125"/>
      <c r="F129" s="128"/>
    </row>
    <row r="130" spans="1:6" ht="18" customHeight="1">
      <c r="A130" s="243" t="s">
        <v>533</v>
      </c>
      <c r="B130" s="214">
        <v>0.05</v>
      </c>
      <c r="C130" s="145">
        <v>0</v>
      </c>
      <c r="D130" s="22">
        <f t="shared" si="1"/>
        <v>0</v>
      </c>
      <c r="E130" s="126"/>
      <c r="F130" s="137"/>
    </row>
    <row r="131" spans="1:6" ht="18" customHeight="1" thickBot="1">
      <c r="C131" s="111"/>
      <c r="E131" s="111"/>
      <c r="F131" s="111"/>
    </row>
    <row r="132" spans="1:6" ht="27.95" customHeight="1" thickBot="1">
      <c r="A132" s="26" t="s">
        <v>534</v>
      </c>
      <c r="B132" s="24">
        <v>1</v>
      </c>
      <c r="C132" s="146">
        <f>SUM(C124:C130)</f>
        <v>0</v>
      </c>
      <c r="D132" s="25">
        <f>ROUND(SUM(D124:D130),1)</f>
        <v>0</v>
      </c>
      <c r="E132" s="147" t="str">
        <f>IF(D132&gt;=80,"🟢 STRONG FIT",IF(D132&gt;=60,"🟡 MODERATE FIT",IF(D132&gt;=40,"🟠 CONDITIONAL FIT","🔴 POOR FIT")))</f>
        <v>🔴 POOR FIT</v>
      </c>
      <c r="F132" s="148" t="s">
        <v>535</v>
      </c>
    </row>
    <row r="134" spans="1:6">
      <c r="A134" s="334" t="s">
        <v>536</v>
      </c>
      <c r="B134" s="329"/>
      <c r="C134" s="329"/>
      <c r="D134" s="329"/>
      <c r="E134" s="329"/>
      <c r="F134" s="329"/>
    </row>
    <row r="135" spans="1:6" ht="32.1" customHeight="1">
      <c r="A135" s="250" t="s">
        <v>537</v>
      </c>
      <c r="B135" s="203" t="s">
        <v>538</v>
      </c>
      <c r="C135" s="14" t="s">
        <v>539</v>
      </c>
      <c r="D135" s="14" t="s">
        <v>540</v>
      </c>
      <c r="E135" s="15"/>
      <c r="F135" s="15"/>
    </row>
    <row r="136" spans="1:6" ht="39.6">
      <c r="A136" s="257" t="s">
        <v>70</v>
      </c>
      <c r="B136" s="215" t="s">
        <v>541</v>
      </c>
      <c r="C136" s="71" t="s">
        <v>72</v>
      </c>
      <c r="D136" s="27" t="s">
        <v>73</v>
      </c>
      <c r="E136" s="28"/>
      <c r="F136" s="28"/>
    </row>
    <row r="137" spans="1:6" ht="24" customHeight="1">
      <c r="A137" s="258" t="s">
        <v>74</v>
      </c>
      <c r="B137" s="216" t="s">
        <v>542</v>
      </c>
      <c r="C137" s="72" t="s">
        <v>76</v>
      </c>
      <c r="D137" s="29" t="s">
        <v>77</v>
      </c>
      <c r="E137" s="30"/>
      <c r="F137" s="30"/>
    </row>
    <row r="138" spans="1:6" ht="39.6">
      <c r="A138" s="259" t="s">
        <v>78</v>
      </c>
      <c r="B138" s="217" t="s">
        <v>543</v>
      </c>
      <c r="C138" s="73" t="s">
        <v>80</v>
      </c>
      <c r="D138" s="31" t="s">
        <v>544</v>
      </c>
      <c r="E138" s="32"/>
      <c r="F138" s="32"/>
    </row>
    <row r="139" spans="1:6" ht="39.6">
      <c r="A139" s="260" t="s">
        <v>82</v>
      </c>
      <c r="B139" s="218" t="s">
        <v>545</v>
      </c>
      <c r="C139" s="74" t="s">
        <v>546</v>
      </c>
      <c r="D139" s="33" t="s">
        <v>547</v>
      </c>
      <c r="E139" s="34"/>
      <c r="F139" s="34"/>
    </row>
    <row r="140" spans="1:6" ht="18" customHeight="1"/>
    <row r="141" spans="1:6" ht="18" customHeight="1">
      <c r="A141" s="340" t="s">
        <v>548</v>
      </c>
      <c r="B141" s="329"/>
      <c r="C141" s="329"/>
      <c r="D141" s="329"/>
      <c r="E141" s="329"/>
      <c r="F141" s="329"/>
    </row>
    <row r="142" spans="1:6" ht="18" customHeight="1">
      <c r="A142" s="305" t="s">
        <v>549</v>
      </c>
      <c r="B142" s="329"/>
      <c r="C142" s="329"/>
      <c r="D142" s="329"/>
      <c r="E142" s="329"/>
      <c r="F142" s="329"/>
    </row>
    <row r="143" spans="1:6" ht="15" customHeight="1">
      <c r="A143" s="306" t="s">
        <v>129</v>
      </c>
      <c r="B143" s="329"/>
      <c r="C143" s="329"/>
      <c r="D143" s="329"/>
      <c r="E143" s="329"/>
      <c r="F143" s="329"/>
    </row>
    <row r="144" spans="1:6" ht="18" customHeight="1"/>
  </sheetData>
  <sheetProtection sheet="1" objects="1" scenarios="1"/>
  <mergeCells count="32">
    <mergeCell ref="A114:F114"/>
    <mergeCell ref="A121:F121"/>
    <mergeCell ref="A134:F134"/>
    <mergeCell ref="A1:F1"/>
    <mergeCell ref="A2:F2"/>
    <mergeCell ref="A4:F4"/>
    <mergeCell ref="A120:F120"/>
    <mergeCell ref="A92:F92"/>
    <mergeCell ref="A94:F94"/>
    <mergeCell ref="A6:F6"/>
    <mergeCell ref="A9:F9"/>
    <mergeCell ref="A3:F3"/>
    <mergeCell ref="A8:F8"/>
    <mergeCell ref="A17:F17"/>
    <mergeCell ref="A25:F25"/>
    <mergeCell ref="A87:F87"/>
    <mergeCell ref="A142:F142"/>
    <mergeCell ref="A143:F143"/>
    <mergeCell ref="A31:F31"/>
    <mergeCell ref="A32:F32"/>
    <mergeCell ref="A34:F34"/>
    <mergeCell ref="A42:F42"/>
    <mergeCell ref="A50:F50"/>
    <mergeCell ref="A64:F64"/>
    <mergeCell ref="A71:F71"/>
    <mergeCell ref="A72:F72"/>
    <mergeCell ref="A73:F73"/>
    <mergeCell ref="A141:F141"/>
    <mergeCell ref="A91:F91"/>
    <mergeCell ref="A102:F102"/>
    <mergeCell ref="A109:F109"/>
    <mergeCell ref="A113:F113"/>
  </mergeCells>
  <dataValidations count="5">
    <dataValidation type="whole" allowBlank="1" showInputMessage="1" showErrorMessage="1" errorTitle="Invalid Score" error="Please enter a score between 0 and 100" promptTitle="Score Entry" prompt="Enter a score from 0 (poor) to 100 (excellent)" sqref="C124:C130" xr:uid="{97B87741-4F76-4442-B33F-A7AC9E112879}">
      <formula1>0</formula1>
      <formula2>100</formula2>
    </dataValidation>
    <dataValidation type="list" allowBlank="1" showInputMessage="1" showErrorMessage="1" sqref="D11:D15" xr:uid="{1950CB22-A9CC-4C4C-82D9-2ECEDF7CEDDE}">
      <formula1>"✅ Full,⚠️ Partial,❌ None,🔄 Requires Refactor"</formula1>
    </dataValidation>
    <dataValidation type="list" allowBlank="1" showInputMessage="1" showErrorMessage="1" sqref="E11:E15" xr:uid="{FEA36687-74D5-4397-A6D5-B5BA760625F2}">
      <formula1>"Rehost,Replatform,Refactor,Rebuild,Replace,Retire"</formula1>
    </dataValidation>
    <dataValidation type="list" allowBlank="1" showInputMessage="1" showErrorMessage="1" sqref="B83:D83" xr:uid="{D4FE6C2C-980C-4773-B6AB-F3D07F10B982}">
      <formula1>"Yes,No,Pending Review"</formula1>
    </dataValidation>
    <dataValidation type="list" allowBlank="1" showInputMessage="1" showErrorMessage="1" sqref="E117:E118" xr:uid="{95DE45AD-502F-43CA-8757-19956C6CD827}">
      <formula1>"✅ Ready,⚠️ Needs Setup,❌ Not Applicable,🔄 In Progress"</formula1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13E8-0955-4395-8201-5426A7418324}">
  <dimension ref="A1:E127"/>
  <sheetViews>
    <sheetView workbookViewId="0">
      <pane ySplit="4" topLeftCell="A123" activePane="bottomLeft" state="frozen"/>
      <selection pane="bottomLeft" activeCell="C131" sqref="C131"/>
    </sheetView>
  </sheetViews>
  <sheetFormatPr defaultRowHeight="14.45"/>
  <cols>
    <col min="1" max="1" width="32.7109375" customWidth="1"/>
    <col min="2" max="2" width="36.42578125" style="23" customWidth="1"/>
    <col min="3" max="3" width="90" bestFit="1" customWidth="1"/>
    <col min="4" max="4" width="45.42578125" customWidth="1"/>
    <col min="5" max="5" width="54.5703125" customWidth="1"/>
  </cols>
  <sheetData>
    <row r="1" spans="1:5" ht="39.950000000000003" customHeight="1">
      <c r="A1" s="320" t="s">
        <v>550</v>
      </c>
      <c r="B1" s="320"/>
      <c r="C1" s="320"/>
      <c r="D1" s="320"/>
      <c r="E1" s="320"/>
    </row>
    <row r="2" spans="1:5" ht="27.95" customHeight="1">
      <c r="A2" s="321" t="s">
        <v>551</v>
      </c>
      <c r="B2" s="321"/>
      <c r="C2" s="321"/>
      <c r="D2" s="321"/>
      <c r="E2" s="321"/>
    </row>
    <row r="3" spans="1:5" ht="21.95" customHeight="1">
      <c r="A3" s="322" t="s">
        <v>552</v>
      </c>
      <c r="B3" s="322"/>
      <c r="C3" s="322"/>
      <c r="D3" s="322"/>
      <c r="E3" s="322"/>
    </row>
    <row r="4" spans="1:5" ht="9.9499999999999993" customHeight="1"/>
    <row r="5" spans="1:5" ht="45" customHeight="1">
      <c r="A5" s="323" t="s">
        <v>553</v>
      </c>
      <c r="B5" s="323"/>
      <c r="C5" s="323"/>
      <c r="D5" s="323"/>
      <c r="E5" s="323"/>
    </row>
    <row r="6" spans="1:5" ht="15" customHeight="1"/>
    <row r="7" spans="1:5" ht="27.95" customHeight="1">
      <c r="A7" s="332" t="s">
        <v>554</v>
      </c>
      <c r="B7" s="332"/>
      <c r="C7" s="332"/>
      <c r="D7" s="332"/>
      <c r="E7" s="332"/>
    </row>
    <row r="8" spans="1:5" ht="21.95" customHeight="1">
      <c r="A8" s="341" t="s">
        <v>555</v>
      </c>
      <c r="B8" s="341"/>
      <c r="C8" s="341"/>
      <c r="D8" s="341"/>
      <c r="E8" s="341"/>
    </row>
    <row r="10" spans="1:5" ht="24" customHeight="1">
      <c r="A10" s="342" t="s">
        <v>556</v>
      </c>
      <c r="B10" s="342"/>
      <c r="C10" s="342"/>
      <c r="D10" s="342"/>
      <c r="E10" s="342"/>
    </row>
    <row r="11" spans="1:5" ht="24" customHeight="1">
      <c r="A11" s="150" t="s">
        <v>557</v>
      </c>
      <c r="B11" s="263" t="s">
        <v>558</v>
      </c>
      <c r="C11" s="153" t="s">
        <v>559</v>
      </c>
      <c r="D11" s="153" t="s">
        <v>560</v>
      </c>
      <c r="E11" s="154" t="s">
        <v>219</v>
      </c>
    </row>
    <row r="12" spans="1:5" ht="21.95" customHeight="1">
      <c r="A12" s="151" t="s">
        <v>561</v>
      </c>
      <c r="B12" s="264" t="s">
        <v>562</v>
      </c>
      <c r="C12" s="155" t="s">
        <v>563</v>
      </c>
      <c r="D12" s="155" t="s">
        <v>156</v>
      </c>
      <c r="E12" s="156" t="s">
        <v>564</v>
      </c>
    </row>
    <row r="13" spans="1:5" ht="21.95" customHeight="1">
      <c r="A13" s="151" t="s">
        <v>565</v>
      </c>
      <c r="B13" s="264" t="s">
        <v>562</v>
      </c>
      <c r="C13" s="155" t="s">
        <v>563</v>
      </c>
      <c r="D13" s="155" t="s">
        <v>156</v>
      </c>
      <c r="E13" s="156" t="s">
        <v>566</v>
      </c>
    </row>
    <row r="14" spans="1:5" ht="21.95" customHeight="1">
      <c r="A14" s="151" t="s">
        <v>567</v>
      </c>
      <c r="B14" s="264" t="s">
        <v>562</v>
      </c>
      <c r="C14" s="155" t="s">
        <v>563</v>
      </c>
      <c r="D14" s="155" t="s">
        <v>156</v>
      </c>
      <c r="E14" s="156" t="s">
        <v>568</v>
      </c>
    </row>
    <row r="15" spans="1:5" ht="21.95" customHeight="1">
      <c r="A15" s="151" t="s">
        <v>569</v>
      </c>
      <c r="B15" s="264" t="s">
        <v>562</v>
      </c>
      <c r="C15" s="155" t="s">
        <v>563</v>
      </c>
      <c r="D15" s="155" t="s">
        <v>156</v>
      </c>
      <c r="E15" s="156" t="s">
        <v>568</v>
      </c>
    </row>
    <row r="16" spans="1:5" ht="21.95" customHeight="1">
      <c r="A16" s="151" t="s">
        <v>570</v>
      </c>
      <c r="B16" s="264" t="s">
        <v>562</v>
      </c>
      <c r="C16" s="155" t="s">
        <v>563</v>
      </c>
      <c r="D16" s="155" t="s">
        <v>156</v>
      </c>
      <c r="E16" s="156" t="s">
        <v>568</v>
      </c>
    </row>
    <row r="17" spans="1:5" ht="21.95" customHeight="1">
      <c r="A17" s="151" t="s">
        <v>571</v>
      </c>
      <c r="B17" s="264" t="s">
        <v>562</v>
      </c>
      <c r="C17" s="155" t="s">
        <v>563</v>
      </c>
      <c r="D17" s="155" t="s">
        <v>156</v>
      </c>
      <c r="E17" s="156" t="s">
        <v>568</v>
      </c>
    </row>
    <row r="18" spans="1:5" ht="21.95" customHeight="1">
      <c r="A18" s="151" t="s">
        <v>572</v>
      </c>
      <c r="B18" s="264" t="s">
        <v>562</v>
      </c>
      <c r="C18" s="155" t="s">
        <v>563</v>
      </c>
      <c r="D18" s="155" t="s">
        <v>156</v>
      </c>
      <c r="E18" s="156" t="s">
        <v>573</v>
      </c>
    </row>
    <row r="19" spans="1:5" ht="21.95" customHeight="1">
      <c r="A19" s="152" t="s">
        <v>574</v>
      </c>
      <c r="B19" s="265"/>
      <c r="C19" s="157"/>
      <c r="D19" s="157"/>
      <c r="E19" s="158"/>
    </row>
    <row r="21" spans="1:5" ht="24" customHeight="1">
      <c r="A21" s="342" t="s">
        <v>575</v>
      </c>
      <c r="B21" s="342"/>
      <c r="C21" s="342"/>
      <c r="D21" s="342"/>
      <c r="E21" s="342"/>
    </row>
    <row r="22" spans="1:5" ht="24" customHeight="1">
      <c r="A22" s="150" t="s">
        <v>576</v>
      </c>
      <c r="B22" s="263" t="s">
        <v>577</v>
      </c>
      <c r="C22" s="153" t="s">
        <v>578</v>
      </c>
      <c r="D22" s="153" t="s">
        <v>579</v>
      </c>
      <c r="E22" s="154" t="s">
        <v>219</v>
      </c>
    </row>
    <row r="23" spans="1:5" ht="21.95" customHeight="1">
      <c r="A23" s="151" t="s">
        <v>580</v>
      </c>
      <c r="B23" s="264" t="s">
        <v>581</v>
      </c>
      <c r="C23" s="155" t="s">
        <v>582</v>
      </c>
      <c r="D23" s="155" t="s">
        <v>583</v>
      </c>
      <c r="E23" s="156" t="s">
        <v>584</v>
      </c>
    </row>
    <row r="24" spans="1:5" ht="21.95" customHeight="1">
      <c r="A24" s="151" t="s">
        <v>585</v>
      </c>
      <c r="B24" s="264" t="s">
        <v>586</v>
      </c>
      <c r="C24" s="155" t="s">
        <v>587</v>
      </c>
      <c r="D24" s="155" t="s">
        <v>588</v>
      </c>
      <c r="E24" s="156" t="s">
        <v>589</v>
      </c>
    </row>
    <row r="25" spans="1:5" ht="21.95" customHeight="1">
      <c r="A25" s="151" t="s">
        <v>590</v>
      </c>
      <c r="B25" s="264" t="s">
        <v>586</v>
      </c>
      <c r="C25" s="155" t="s">
        <v>591</v>
      </c>
      <c r="D25" s="155" t="s">
        <v>588</v>
      </c>
      <c r="E25" s="156" t="s">
        <v>592</v>
      </c>
    </row>
    <row r="26" spans="1:5" ht="21.95" customHeight="1">
      <c r="A26" s="151" t="s">
        <v>593</v>
      </c>
      <c r="B26" s="264" t="s">
        <v>581</v>
      </c>
      <c r="C26" s="155" t="s">
        <v>594</v>
      </c>
      <c r="D26" s="155" t="s">
        <v>595</v>
      </c>
      <c r="E26" s="156" t="s">
        <v>596</v>
      </c>
    </row>
    <row r="27" spans="1:5" ht="21.95" customHeight="1">
      <c r="A27" s="151" t="s">
        <v>597</v>
      </c>
      <c r="B27" s="264" t="s">
        <v>598</v>
      </c>
      <c r="C27" s="155" t="s">
        <v>599</v>
      </c>
      <c r="D27" s="155" t="s">
        <v>600</v>
      </c>
      <c r="E27" s="156" t="s">
        <v>601</v>
      </c>
    </row>
    <row r="28" spans="1:5" ht="21.95" customHeight="1">
      <c r="A28" s="152" t="s">
        <v>574</v>
      </c>
      <c r="B28" s="265"/>
      <c r="C28" s="157"/>
      <c r="D28" s="157"/>
      <c r="E28" s="158"/>
    </row>
    <row r="30" spans="1:5" ht="15" customHeight="1"/>
    <row r="31" spans="1:5" ht="27.95" customHeight="1">
      <c r="A31" s="332" t="s">
        <v>602</v>
      </c>
      <c r="B31" s="332"/>
      <c r="C31" s="332"/>
      <c r="D31" s="332"/>
      <c r="E31" s="332"/>
    </row>
    <row r="32" spans="1:5" ht="21.95" customHeight="1">
      <c r="A32" s="341" t="s">
        <v>603</v>
      </c>
      <c r="B32" s="341"/>
      <c r="C32" s="341"/>
      <c r="D32" s="341"/>
      <c r="E32" s="341"/>
    </row>
    <row r="34" spans="1:5" ht="24" customHeight="1">
      <c r="A34" s="342" t="s">
        <v>604</v>
      </c>
      <c r="B34" s="342"/>
      <c r="C34" s="342"/>
      <c r="D34" s="342"/>
      <c r="E34" s="342"/>
    </row>
    <row r="35" spans="1:5" ht="24" customHeight="1">
      <c r="A35" s="150" t="s">
        <v>418</v>
      </c>
      <c r="B35" s="263" t="s">
        <v>419</v>
      </c>
      <c r="C35" s="153" t="s">
        <v>389</v>
      </c>
      <c r="D35" s="153" t="s">
        <v>605</v>
      </c>
      <c r="E35" s="154" t="s">
        <v>269</v>
      </c>
    </row>
    <row r="36" spans="1:5" ht="21.95" customHeight="1">
      <c r="A36" s="151" t="s">
        <v>420</v>
      </c>
      <c r="B36" s="264" t="s">
        <v>606</v>
      </c>
      <c r="C36" s="155" t="s">
        <v>607</v>
      </c>
      <c r="D36" s="155" t="s">
        <v>608</v>
      </c>
      <c r="E36" s="156" t="s">
        <v>609</v>
      </c>
    </row>
    <row r="37" spans="1:5" ht="21.95" customHeight="1">
      <c r="A37" s="151" t="s">
        <v>420</v>
      </c>
      <c r="B37" s="264">
        <v>2000</v>
      </c>
      <c r="C37" s="155" t="s">
        <v>607</v>
      </c>
      <c r="D37" s="155" t="s">
        <v>608</v>
      </c>
      <c r="E37" s="156" t="s">
        <v>610</v>
      </c>
    </row>
    <row r="38" spans="1:5" ht="21.95" customHeight="1">
      <c r="A38" s="151" t="s">
        <v>611</v>
      </c>
      <c r="B38" s="264">
        <v>4</v>
      </c>
      <c r="C38" s="155" t="s">
        <v>607</v>
      </c>
      <c r="D38" s="155" t="s">
        <v>608</v>
      </c>
      <c r="E38" s="156" t="s">
        <v>612</v>
      </c>
    </row>
    <row r="39" spans="1:5" ht="21.95" customHeight="1">
      <c r="A39" s="151" t="s">
        <v>420</v>
      </c>
      <c r="B39" s="264" t="s">
        <v>613</v>
      </c>
      <c r="C39" s="155" t="s">
        <v>607</v>
      </c>
      <c r="D39" s="155" t="s">
        <v>614</v>
      </c>
      <c r="E39" s="156" t="s">
        <v>615</v>
      </c>
    </row>
    <row r="40" spans="1:5" ht="21.95" customHeight="1">
      <c r="A40" s="151" t="s">
        <v>420</v>
      </c>
      <c r="B40" s="264" t="s">
        <v>616</v>
      </c>
      <c r="C40" s="155" t="s">
        <v>607</v>
      </c>
      <c r="D40" s="155" t="s">
        <v>617</v>
      </c>
      <c r="E40" s="156" t="s">
        <v>618</v>
      </c>
    </row>
    <row r="41" spans="1:5" ht="21.95" customHeight="1">
      <c r="A41" s="151" t="s">
        <v>619</v>
      </c>
      <c r="B41" s="264" t="s">
        <v>620</v>
      </c>
      <c r="C41" s="155" t="s">
        <v>621</v>
      </c>
      <c r="D41" s="155" t="s">
        <v>622</v>
      </c>
      <c r="E41" s="156" t="s">
        <v>623</v>
      </c>
    </row>
    <row r="42" spans="1:5" ht="21.95" customHeight="1">
      <c r="A42" s="151" t="s">
        <v>624</v>
      </c>
      <c r="B42" s="264" t="s">
        <v>625</v>
      </c>
      <c r="C42" s="155" t="s">
        <v>607</v>
      </c>
      <c r="D42" s="155" t="s">
        <v>608</v>
      </c>
      <c r="E42" s="156" t="s">
        <v>612</v>
      </c>
    </row>
    <row r="43" spans="1:5" ht="21.95" customHeight="1">
      <c r="A43" s="152" t="s">
        <v>626</v>
      </c>
      <c r="B43" s="265"/>
      <c r="C43" s="157"/>
      <c r="D43" s="157"/>
      <c r="E43" s="158"/>
    </row>
    <row r="45" spans="1:5" ht="24" customHeight="1">
      <c r="A45" s="342" t="s">
        <v>627</v>
      </c>
      <c r="B45" s="342"/>
      <c r="C45" s="342"/>
      <c r="D45" s="342"/>
      <c r="E45" s="342"/>
    </row>
    <row r="46" spans="1:5" ht="24" customHeight="1">
      <c r="A46" s="150" t="s">
        <v>418</v>
      </c>
      <c r="B46" s="263" t="s">
        <v>419</v>
      </c>
      <c r="C46" s="153" t="s">
        <v>389</v>
      </c>
      <c r="D46" s="153" t="s">
        <v>605</v>
      </c>
      <c r="E46" s="154" t="s">
        <v>269</v>
      </c>
    </row>
    <row r="47" spans="1:5" ht="21.95" customHeight="1">
      <c r="A47" s="151" t="s">
        <v>628</v>
      </c>
      <c r="B47" s="264" t="s">
        <v>629</v>
      </c>
      <c r="C47" s="155" t="s">
        <v>607</v>
      </c>
      <c r="D47" s="155" t="s">
        <v>156</v>
      </c>
      <c r="E47" s="156" t="s">
        <v>630</v>
      </c>
    </row>
    <row r="48" spans="1:5">
      <c r="A48" s="151" t="s">
        <v>628</v>
      </c>
      <c r="B48" s="264" t="s">
        <v>631</v>
      </c>
      <c r="C48" s="155" t="s">
        <v>632</v>
      </c>
      <c r="D48" s="155" t="s">
        <v>633</v>
      </c>
      <c r="E48" s="156" t="s">
        <v>634</v>
      </c>
    </row>
    <row r="49" spans="1:5" ht="21.95" customHeight="1">
      <c r="A49" s="151" t="s">
        <v>635</v>
      </c>
      <c r="B49" s="264" t="s">
        <v>625</v>
      </c>
      <c r="C49" s="155" t="s">
        <v>632</v>
      </c>
      <c r="D49" s="155" t="s">
        <v>636</v>
      </c>
      <c r="E49" s="156" t="s">
        <v>637</v>
      </c>
    </row>
    <row r="50" spans="1:5" ht="21.95" customHeight="1">
      <c r="A50" s="151" t="s">
        <v>638</v>
      </c>
      <c r="B50" s="264" t="s">
        <v>639</v>
      </c>
      <c r="C50" s="155" t="s">
        <v>607</v>
      </c>
      <c r="D50" s="155" t="s">
        <v>156</v>
      </c>
      <c r="E50" s="156" t="s">
        <v>640</v>
      </c>
    </row>
    <row r="51" spans="1:5" ht="21.95" customHeight="1">
      <c r="A51" s="151" t="s">
        <v>638</v>
      </c>
      <c r="B51" s="264" t="s">
        <v>641</v>
      </c>
      <c r="C51" s="155" t="s">
        <v>642</v>
      </c>
      <c r="D51" s="155" t="s">
        <v>643</v>
      </c>
      <c r="E51" s="156" t="s">
        <v>644</v>
      </c>
    </row>
    <row r="52" spans="1:5" ht="21.95" customHeight="1">
      <c r="A52" s="151" t="s">
        <v>645</v>
      </c>
      <c r="B52" s="264" t="s">
        <v>646</v>
      </c>
      <c r="C52" s="155" t="s">
        <v>607</v>
      </c>
      <c r="D52" s="155" t="s">
        <v>156</v>
      </c>
      <c r="E52" s="156" t="s">
        <v>647</v>
      </c>
    </row>
    <row r="53" spans="1:5" ht="21.95" customHeight="1">
      <c r="A53" s="151" t="s">
        <v>645</v>
      </c>
      <c r="B53" s="264" t="s">
        <v>648</v>
      </c>
      <c r="C53" s="155" t="s">
        <v>649</v>
      </c>
      <c r="D53" s="155" t="s">
        <v>650</v>
      </c>
      <c r="E53" s="156" t="s">
        <v>651</v>
      </c>
    </row>
    <row r="54" spans="1:5" ht="21.95" customHeight="1">
      <c r="A54" s="151" t="s">
        <v>652</v>
      </c>
      <c r="B54" s="264" t="s">
        <v>653</v>
      </c>
      <c r="C54" s="155" t="s">
        <v>607</v>
      </c>
      <c r="D54" s="155" t="s">
        <v>156</v>
      </c>
      <c r="E54" s="156" t="s">
        <v>654</v>
      </c>
    </row>
    <row r="55" spans="1:5" ht="21.95" customHeight="1">
      <c r="A55" s="151" t="s">
        <v>655</v>
      </c>
      <c r="B55" s="264" t="s">
        <v>656</v>
      </c>
      <c r="C55" s="155" t="s">
        <v>607</v>
      </c>
      <c r="D55" s="155" t="s">
        <v>156</v>
      </c>
      <c r="E55" s="156" t="s">
        <v>657</v>
      </c>
    </row>
    <row r="56" spans="1:5" ht="21.95" customHeight="1">
      <c r="A56" s="151" t="s">
        <v>658</v>
      </c>
      <c r="B56" s="264" t="s">
        <v>629</v>
      </c>
      <c r="C56" s="155" t="s">
        <v>607</v>
      </c>
      <c r="D56" s="155" t="s">
        <v>156</v>
      </c>
      <c r="E56" s="156" t="s">
        <v>659</v>
      </c>
    </row>
    <row r="57" spans="1:5" ht="21.95" customHeight="1">
      <c r="A57" s="151" t="s">
        <v>660</v>
      </c>
      <c r="B57" s="266">
        <v>46024</v>
      </c>
      <c r="C57" s="155" t="s">
        <v>607</v>
      </c>
      <c r="D57" s="155" t="s">
        <v>661</v>
      </c>
      <c r="E57" s="156" t="s">
        <v>662</v>
      </c>
    </row>
    <row r="58" spans="1:5" ht="21.95" customHeight="1">
      <c r="A58" s="151" t="s">
        <v>663</v>
      </c>
      <c r="B58" s="264" t="s">
        <v>625</v>
      </c>
      <c r="C58" s="155" t="s">
        <v>632</v>
      </c>
      <c r="D58" s="155" t="s">
        <v>664</v>
      </c>
      <c r="E58" s="156" t="s">
        <v>665</v>
      </c>
    </row>
    <row r="59" spans="1:5" ht="21.95" customHeight="1">
      <c r="A59" s="151" t="s">
        <v>666</v>
      </c>
      <c r="B59" s="264" t="s">
        <v>667</v>
      </c>
      <c r="C59" s="155" t="s">
        <v>607</v>
      </c>
      <c r="D59" s="155" t="s">
        <v>668</v>
      </c>
      <c r="E59" s="156" t="s">
        <v>669</v>
      </c>
    </row>
    <row r="60" spans="1:5" ht="21.95" customHeight="1">
      <c r="A60" s="152" t="s">
        <v>626</v>
      </c>
      <c r="B60" s="265"/>
      <c r="C60" s="157"/>
      <c r="D60" s="157"/>
      <c r="E60" s="158"/>
    </row>
    <row r="62" spans="1:5" ht="24" customHeight="1">
      <c r="A62" s="342" t="s">
        <v>670</v>
      </c>
      <c r="B62" s="342"/>
      <c r="C62" s="342"/>
      <c r="D62" s="342"/>
      <c r="E62" s="342"/>
    </row>
    <row r="63" spans="1:5" ht="24" customHeight="1">
      <c r="A63" s="150" t="s">
        <v>418</v>
      </c>
      <c r="B63" s="263" t="s">
        <v>671</v>
      </c>
      <c r="C63" s="153" t="s">
        <v>389</v>
      </c>
      <c r="D63" s="153" t="s">
        <v>605</v>
      </c>
      <c r="E63" s="154" t="s">
        <v>269</v>
      </c>
    </row>
    <row r="64" spans="1:5" ht="21.95" customHeight="1">
      <c r="A64" s="151" t="s">
        <v>672</v>
      </c>
      <c r="B64" s="264" t="s">
        <v>673</v>
      </c>
      <c r="C64" s="155" t="s">
        <v>607</v>
      </c>
      <c r="D64" s="155" t="s">
        <v>674</v>
      </c>
      <c r="E64" s="156" t="s">
        <v>675</v>
      </c>
    </row>
    <row r="65" spans="1:5" ht="21.95" customHeight="1">
      <c r="A65" s="151" t="s">
        <v>676</v>
      </c>
      <c r="B65" s="264" t="s">
        <v>673</v>
      </c>
      <c r="C65" s="155" t="s">
        <v>607</v>
      </c>
      <c r="D65" s="155" t="s">
        <v>674</v>
      </c>
      <c r="E65" s="156" t="s">
        <v>677</v>
      </c>
    </row>
    <row r="66" spans="1:5" ht="21.95" customHeight="1">
      <c r="A66" s="151" t="s">
        <v>678</v>
      </c>
      <c r="B66" s="264" t="s">
        <v>673</v>
      </c>
      <c r="C66" s="155" t="s">
        <v>607</v>
      </c>
      <c r="D66" s="155" t="s">
        <v>674</v>
      </c>
      <c r="E66" s="156" t="s">
        <v>679</v>
      </c>
    </row>
    <row r="67" spans="1:5" ht="21.95" customHeight="1">
      <c r="A67" s="151" t="s">
        <v>680</v>
      </c>
      <c r="B67" s="264" t="s">
        <v>681</v>
      </c>
      <c r="C67" s="155" t="s">
        <v>682</v>
      </c>
      <c r="D67" s="155" t="s">
        <v>683</v>
      </c>
      <c r="E67" s="156" t="s">
        <v>684</v>
      </c>
    </row>
    <row r="68" spans="1:5" ht="21.95" customHeight="1">
      <c r="A68" s="151" t="s">
        <v>685</v>
      </c>
      <c r="B68" s="264" t="s">
        <v>686</v>
      </c>
      <c r="C68" s="155" t="s">
        <v>607</v>
      </c>
      <c r="D68" s="155" t="s">
        <v>687</v>
      </c>
      <c r="E68" s="156" t="s">
        <v>688</v>
      </c>
    </row>
    <row r="69" spans="1:5" ht="21.95" customHeight="1">
      <c r="A69" s="151" t="s">
        <v>689</v>
      </c>
      <c r="B69" s="264" t="s">
        <v>690</v>
      </c>
      <c r="C69" s="155" t="s">
        <v>607</v>
      </c>
      <c r="D69" s="155" t="s">
        <v>691</v>
      </c>
      <c r="E69" s="156" t="s">
        <v>692</v>
      </c>
    </row>
    <row r="70" spans="1:5" ht="21.95" customHeight="1">
      <c r="A70" s="151" t="s">
        <v>693</v>
      </c>
      <c r="B70" s="264" t="s">
        <v>694</v>
      </c>
      <c r="C70" s="155" t="s">
        <v>607</v>
      </c>
      <c r="D70" s="155" t="s">
        <v>156</v>
      </c>
      <c r="E70" s="156" t="s">
        <v>695</v>
      </c>
    </row>
    <row r="71" spans="1:5" ht="21.95" customHeight="1">
      <c r="A71" s="152" t="s">
        <v>626</v>
      </c>
      <c r="B71" s="265"/>
      <c r="C71" s="157"/>
      <c r="D71" s="157"/>
      <c r="E71" s="158"/>
    </row>
    <row r="73" spans="1:5" ht="15" customHeight="1"/>
    <row r="74" spans="1:5" ht="27.95" customHeight="1">
      <c r="A74" s="332" t="s">
        <v>696</v>
      </c>
      <c r="B74" s="332"/>
      <c r="C74" s="332"/>
      <c r="D74" s="332"/>
      <c r="E74" s="332"/>
    </row>
    <row r="75" spans="1:5" ht="21.95" customHeight="1">
      <c r="A75" s="341" t="s">
        <v>697</v>
      </c>
      <c r="B75" s="341"/>
      <c r="C75" s="341"/>
      <c r="D75" s="341"/>
      <c r="E75" s="341"/>
    </row>
    <row r="77" spans="1:5" ht="24" customHeight="1">
      <c r="A77" s="150" t="s">
        <v>141</v>
      </c>
      <c r="B77" s="263" t="s">
        <v>698</v>
      </c>
      <c r="C77" s="153" t="s">
        <v>391</v>
      </c>
      <c r="D77" s="153" t="s">
        <v>699</v>
      </c>
      <c r="E77" s="154" t="s">
        <v>540</v>
      </c>
    </row>
    <row r="78" spans="1:5" ht="24" customHeight="1">
      <c r="A78" s="151" t="s">
        <v>700</v>
      </c>
      <c r="B78" s="267">
        <v>0</v>
      </c>
      <c r="C78" s="155" t="str">
        <f t="shared" ref="C78:C83" si="0">IF($B$84=0,"",TEXT(B78/$B$84,"0%"))</f>
        <v/>
      </c>
      <c r="D78" s="155" t="s">
        <v>13</v>
      </c>
      <c r="E78" s="156" t="s">
        <v>701</v>
      </c>
    </row>
    <row r="79" spans="1:5" ht="24" customHeight="1">
      <c r="A79" s="151" t="s">
        <v>702</v>
      </c>
      <c r="B79" s="267">
        <v>0</v>
      </c>
      <c r="C79" s="155" t="str">
        <f t="shared" si="0"/>
        <v/>
      </c>
      <c r="D79" s="155" t="s">
        <v>13</v>
      </c>
      <c r="E79" s="156" t="s">
        <v>701</v>
      </c>
    </row>
    <row r="80" spans="1:5" ht="24" customHeight="1">
      <c r="A80" s="151" t="s">
        <v>703</v>
      </c>
      <c r="B80" s="267">
        <v>0</v>
      </c>
      <c r="C80" s="155" t="str">
        <f t="shared" si="0"/>
        <v/>
      </c>
      <c r="D80" s="155" t="s">
        <v>704</v>
      </c>
      <c r="E80" s="156" t="s">
        <v>705</v>
      </c>
    </row>
    <row r="81" spans="1:5" ht="24" customHeight="1">
      <c r="A81" s="151" t="s">
        <v>706</v>
      </c>
      <c r="B81" s="267">
        <v>0</v>
      </c>
      <c r="C81" s="155" t="str">
        <f t="shared" si="0"/>
        <v/>
      </c>
      <c r="D81" s="155" t="s">
        <v>13</v>
      </c>
      <c r="E81" s="156" t="s">
        <v>618</v>
      </c>
    </row>
    <row r="82" spans="1:5" ht="24" customHeight="1">
      <c r="A82" s="151" t="s">
        <v>707</v>
      </c>
      <c r="B82" s="267">
        <v>0</v>
      </c>
      <c r="C82" s="155" t="str">
        <f t="shared" si="0"/>
        <v/>
      </c>
      <c r="D82" s="155" t="s">
        <v>13</v>
      </c>
      <c r="E82" s="156" t="s">
        <v>677</v>
      </c>
    </row>
    <row r="83" spans="1:5" ht="24" customHeight="1">
      <c r="A83" s="151" t="s">
        <v>708</v>
      </c>
      <c r="B83" s="267">
        <v>0</v>
      </c>
      <c r="C83" s="155" t="str">
        <f t="shared" si="0"/>
        <v/>
      </c>
      <c r="D83" s="155" t="s">
        <v>13</v>
      </c>
      <c r="E83" s="156" t="s">
        <v>709</v>
      </c>
    </row>
    <row r="84" spans="1:5" ht="24" customHeight="1">
      <c r="A84" s="159" t="s">
        <v>710</v>
      </c>
      <c r="B84" s="268">
        <f>SUM(B78:B83)</f>
        <v>0</v>
      </c>
      <c r="C84" s="161">
        <v>1</v>
      </c>
      <c r="D84" s="160"/>
      <c r="E84" s="162"/>
    </row>
    <row r="86" spans="1:5" ht="15" customHeight="1"/>
    <row r="87" spans="1:5" ht="26.1" customHeight="1">
      <c r="A87" s="343" t="s">
        <v>711</v>
      </c>
      <c r="B87" s="343"/>
      <c r="C87" s="343"/>
      <c r="D87" s="343"/>
      <c r="E87" s="343"/>
    </row>
    <row r="88" spans="1:5" ht="26.1" customHeight="1">
      <c r="A88" s="317" t="s">
        <v>712</v>
      </c>
      <c r="B88" s="317"/>
      <c r="C88" s="317"/>
      <c r="D88" s="317"/>
      <c r="E88" s="317"/>
    </row>
    <row r="89" spans="1:5" ht="26.1" customHeight="1">
      <c r="A89" s="317" t="s">
        <v>713</v>
      </c>
      <c r="B89" s="317"/>
      <c r="C89" s="317"/>
      <c r="D89" s="317"/>
      <c r="E89" s="317"/>
    </row>
    <row r="90" spans="1:5" ht="26.1" customHeight="1">
      <c r="A90" s="317" t="s">
        <v>714</v>
      </c>
      <c r="B90" s="317"/>
      <c r="C90" s="317"/>
      <c r="D90" s="317"/>
      <c r="E90" s="317"/>
    </row>
    <row r="91" spans="1:5" ht="26.1" customHeight="1">
      <c r="A91" s="317" t="s">
        <v>715</v>
      </c>
      <c r="B91" s="317"/>
      <c r="C91" s="317"/>
      <c r="D91" s="317"/>
      <c r="E91" s="317"/>
    </row>
    <row r="92" spans="1:5" ht="26.1" customHeight="1">
      <c r="A92" s="317" t="s">
        <v>716</v>
      </c>
      <c r="B92" s="317"/>
      <c r="C92" s="317"/>
      <c r="D92" s="317"/>
      <c r="E92" s="317"/>
    </row>
    <row r="93" spans="1:5" ht="26.1" customHeight="1">
      <c r="A93" s="317" t="s">
        <v>717</v>
      </c>
      <c r="B93" s="317"/>
      <c r="C93" s="317"/>
      <c r="D93" s="317"/>
      <c r="E93" s="317"/>
    </row>
    <row r="94" spans="1:5" ht="26.1" customHeight="1">
      <c r="A94" s="317" t="s">
        <v>718</v>
      </c>
      <c r="B94" s="317"/>
      <c r="C94" s="317"/>
      <c r="D94" s="317"/>
      <c r="E94" s="317"/>
    </row>
    <row r="95" spans="1:5" ht="26.1" customHeight="1">
      <c r="A95" s="317" t="s">
        <v>719</v>
      </c>
      <c r="B95" s="317"/>
      <c r="C95" s="317"/>
      <c r="D95" s="317"/>
      <c r="E95" s="317"/>
    </row>
    <row r="96" spans="1:5" ht="26.1" customHeight="1">
      <c r="A96" s="317" t="s">
        <v>720</v>
      </c>
      <c r="B96" s="317"/>
      <c r="C96" s="317"/>
      <c r="D96" s="317"/>
      <c r="E96" s="317"/>
    </row>
    <row r="97" spans="1:5" ht="26.1" customHeight="1">
      <c r="A97" s="317" t="s">
        <v>721</v>
      </c>
      <c r="B97" s="317"/>
      <c r="C97" s="317"/>
      <c r="D97" s="317"/>
      <c r="E97" s="317"/>
    </row>
    <row r="98" spans="1:5" ht="26.1" customHeight="1">
      <c r="A98" s="317" t="s">
        <v>722</v>
      </c>
      <c r="B98" s="317"/>
      <c r="C98" s="317"/>
      <c r="D98" s="317"/>
      <c r="E98" s="317"/>
    </row>
    <row r="99" spans="1:5" ht="26.1" customHeight="1">
      <c r="A99" s="317" t="s">
        <v>723</v>
      </c>
      <c r="B99" s="317"/>
      <c r="C99" s="317"/>
      <c r="D99" s="317"/>
      <c r="E99" s="317"/>
    </row>
    <row r="100" spans="1:5" ht="26.1" customHeight="1">
      <c r="A100" s="317" t="s">
        <v>724</v>
      </c>
      <c r="B100" s="317"/>
      <c r="C100" s="317"/>
      <c r="D100" s="317"/>
      <c r="E100" s="317"/>
    </row>
    <row r="101" spans="1:5" ht="26.1" customHeight="1">
      <c r="A101" s="317" t="s">
        <v>725</v>
      </c>
      <c r="B101" s="317"/>
      <c r="C101" s="317"/>
      <c r="D101" s="317"/>
      <c r="E101" s="317"/>
    </row>
    <row r="102" spans="1:5" ht="26.1" customHeight="1">
      <c r="A102" s="317" t="s">
        <v>726</v>
      </c>
      <c r="B102" s="317"/>
      <c r="C102" s="317"/>
      <c r="D102" s="317"/>
      <c r="E102" s="317"/>
    </row>
    <row r="104" spans="1:5" ht="15.6">
      <c r="A104" s="344" t="s">
        <v>727</v>
      </c>
      <c r="B104" s="344"/>
      <c r="C104" s="344"/>
      <c r="D104" s="344"/>
      <c r="E104" s="344"/>
    </row>
    <row r="105" spans="1:5" ht="15" customHeight="1"/>
    <row r="106" spans="1:5" ht="15" customHeight="1">
      <c r="A106" s="149" t="s">
        <v>141</v>
      </c>
      <c r="B106" s="269" t="s">
        <v>728</v>
      </c>
      <c r="C106" s="163" t="s">
        <v>729</v>
      </c>
      <c r="D106" s="163" t="s">
        <v>508</v>
      </c>
    </row>
    <row r="107" spans="1:5" ht="15" customHeight="1">
      <c r="A107" s="261" t="s">
        <v>730</v>
      </c>
      <c r="B107" s="270" t="s">
        <v>93</v>
      </c>
      <c r="C107" s="166" t="s">
        <v>731</v>
      </c>
      <c r="D107" s="164" t="s">
        <v>732</v>
      </c>
    </row>
    <row r="108" spans="1:5" ht="15" customHeight="1">
      <c r="A108" s="262" t="s">
        <v>730</v>
      </c>
      <c r="B108" s="271" t="s">
        <v>733</v>
      </c>
      <c r="C108" s="167" t="s">
        <v>734</v>
      </c>
      <c r="D108" s="165" t="s">
        <v>735</v>
      </c>
    </row>
    <row r="109" spans="1:5" ht="15" customHeight="1">
      <c r="A109" s="261" t="s">
        <v>730</v>
      </c>
      <c r="B109" s="270" t="s">
        <v>736</v>
      </c>
      <c r="C109" s="166" t="s">
        <v>737</v>
      </c>
      <c r="D109" s="164" t="s">
        <v>100</v>
      </c>
    </row>
    <row r="110" spans="1:5" ht="15" customHeight="1">
      <c r="A110" s="262" t="s">
        <v>738</v>
      </c>
      <c r="B110" s="271" t="s">
        <v>90</v>
      </c>
      <c r="C110" s="167" t="s">
        <v>739</v>
      </c>
      <c r="D110" s="165" t="s">
        <v>740</v>
      </c>
    </row>
    <row r="111" spans="1:5" ht="15" customHeight="1">
      <c r="A111" s="261" t="s">
        <v>738</v>
      </c>
      <c r="B111" s="270" t="s">
        <v>114</v>
      </c>
      <c r="C111" s="166" t="s">
        <v>741</v>
      </c>
      <c r="D111" s="164" t="s">
        <v>742</v>
      </c>
    </row>
    <row r="112" spans="1:5" ht="15" customHeight="1">
      <c r="A112" s="262" t="s">
        <v>738</v>
      </c>
      <c r="B112" s="271" t="s">
        <v>174</v>
      </c>
      <c r="C112" s="167" t="s">
        <v>743</v>
      </c>
      <c r="D112" s="165" t="s">
        <v>744</v>
      </c>
    </row>
    <row r="113" spans="1:5" ht="15" customHeight="1">
      <c r="A113" s="261" t="s">
        <v>738</v>
      </c>
      <c r="B113" s="270" t="s">
        <v>745</v>
      </c>
      <c r="C113" s="166" t="s">
        <v>746</v>
      </c>
      <c r="D113" s="164" t="s">
        <v>747</v>
      </c>
    </row>
    <row r="114" spans="1:5" ht="15" customHeight="1">
      <c r="A114" s="262" t="s">
        <v>748</v>
      </c>
      <c r="B114" s="271" t="s">
        <v>749</v>
      </c>
      <c r="C114" s="167" t="s">
        <v>750</v>
      </c>
      <c r="D114" s="165" t="s">
        <v>751</v>
      </c>
    </row>
    <row r="115" spans="1:5" ht="15" customHeight="1">
      <c r="A115" s="261" t="s">
        <v>748</v>
      </c>
      <c r="B115" s="270" t="s">
        <v>752</v>
      </c>
      <c r="C115" s="166" t="s">
        <v>753</v>
      </c>
      <c r="D115" s="164" t="s">
        <v>754</v>
      </c>
    </row>
    <row r="116" spans="1:5" ht="15" customHeight="1">
      <c r="A116" s="262" t="s">
        <v>748</v>
      </c>
      <c r="B116" s="271" t="s">
        <v>755</v>
      </c>
      <c r="C116" s="167" t="s">
        <v>756</v>
      </c>
      <c r="D116" s="165" t="s">
        <v>757</v>
      </c>
    </row>
    <row r="117" spans="1:5" ht="15" customHeight="1">
      <c r="A117" s="261" t="s">
        <v>758</v>
      </c>
      <c r="B117" s="270" t="s">
        <v>759</v>
      </c>
      <c r="C117" s="166" t="s">
        <v>760</v>
      </c>
      <c r="D117" s="164" t="s">
        <v>761</v>
      </c>
    </row>
    <row r="118" spans="1:5" ht="15" customHeight="1">
      <c r="A118" s="262" t="s">
        <v>758</v>
      </c>
      <c r="B118" s="271" t="s">
        <v>762</v>
      </c>
      <c r="C118" s="167" t="s">
        <v>763</v>
      </c>
      <c r="D118" s="165" t="s">
        <v>764</v>
      </c>
    </row>
    <row r="119" spans="1:5" ht="15" customHeight="1">
      <c r="A119" s="261" t="s">
        <v>758</v>
      </c>
      <c r="B119" s="270" t="s">
        <v>765</v>
      </c>
      <c r="C119" s="166" t="s">
        <v>766</v>
      </c>
      <c r="D119" s="164" t="s">
        <v>767</v>
      </c>
    </row>
    <row r="120" spans="1:5" ht="15" customHeight="1"/>
    <row r="121" spans="1:5" ht="15" customHeight="1">
      <c r="A121" s="329"/>
      <c r="B121" s="329"/>
      <c r="C121" s="329"/>
      <c r="D121" s="329"/>
      <c r="E121" s="329"/>
    </row>
    <row r="122" spans="1:5" ht="15" customHeight="1">
      <c r="A122" s="345" t="s">
        <v>768</v>
      </c>
      <c r="B122" s="345"/>
      <c r="C122" s="345"/>
      <c r="D122" s="345"/>
      <c r="E122" s="345"/>
    </row>
    <row r="123" spans="1:5" ht="15" customHeight="1">
      <c r="A123" s="346" t="s">
        <v>769</v>
      </c>
      <c r="B123" s="345"/>
      <c r="C123" s="345"/>
      <c r="D123" s="345"/>
      <c r="E123" s="345"/>
    </row>
    <row r="124" spans="1:5">
      <c r="A124" s="319" t="s">
        <v>768</v>
      </c>
      <c r="B124" s="319"/>
      <c r="C124" s="319"/>
      <c r="D124" s="319"/>
      <c r="E124" s="319"/>
    </row>
    <row r="125" spans="1:5">
      <c r="A125" s="318" t="s">
        <v>770</v>
      </c>
      <c r="B125" s="318"/>
      <c r="C125" s="318"/>
      <c r="D125" s="318"/>
      <c r="E125" s="318"/>
    </row>
    <row r="126" spans="1:5">
      <c r="A126" s="318" t="s">
        <v>129</v>
      </c>
      <c r="B126" s="318"/>
      <c r="C126" s="318"/>
      <c r="D126" s="318"/>
      <c r="E126" s="318"/>
    </row>
    <row r="127" spans="1:5">
      <c r="A127" s="316" t="s">
        <v>771</v>
      </c>
      <c r="B127" s="316"/>
      <c r="C127" s="316"/>
      <c r="D127" s="316"/>
      <c r="E127" s="316"/>
    </row>
  </sheetData>
  <sheetProtection sheet="1" objects="1" scenarios="1"/>
  <mergeCells count="39">
    <mergeCell ref="A8:E8"/>
    <mergeCell ref="A1:E1"/>
    <mergeCell ref="A2:E2"/>
    <mergeCell ref="A3:E3"/>
    <mergeCell ref="A5:E5"/>
    <mergeCell ref="A7:E7"/>
    <mergeCell ref="A89:E89"/>
    <mergeCell ref="A10:E10"/>
    <mergeCell ref="A21:E21"/>
    <mergeCell ref="A31:E31"/>
    <mergeCell ref="A32:E32"/>
    <mergeCell ref="A34:E34"/>
    <mergeCell ref="A45:E45"/>
    <mergeCell ref="A62:E62"/>
    <mergeCell ref="A74:E74"/>
    <mergeCell ref="A75:E75"/>
    <mergeCell ref="A87:E87"/>
    <mergeCell ref="A88:E88"/>
    <mergeCell ref="A90:E90"/>
    <mergeCell ref="A91:E91"/>
    <mergeCell ref="A92:E92"/>
    <mergeCell ref="A124:E124"/>
    <mergeCell ref="A125:E125"/>
    <mergeCell ref="A102:E102"/>
    <mergeCell ref="A104:E104"/>
    <mergeCell ref="A121:E121"/>
    <mergeCell ref="A122:E122"/>
    <mergeCell ref="A123:E123"/>
    <mergeCell ref="A127:E127"/>
    <mergeCell ref="A93:E93"/>
    <mergeCell ref="A94:E94"/>
    <mergeCell ref="A95:E95"/>
    <mergeCell ref="A96:E96"/>
    <mergeCell ref="A97:E97"/>
    <mergeCell ref="A98:E98"/>
    <mergeCell ref="A99:E99"/>
    <mergeCell ref="A100:E100"/>
    <mergeCell ref="A101:E101"/>
    <mergeCell ref="A126:E126"/>
  </mergeCells>
  <pageMargins left="0.7" right="0.7" top="0.75" bottom="0.75" header="0.3" footer="0.3"/>
  <pageSetup paperSize="0" scale="0" orientation="landscape" horizontalDpi="0" verticalDpi="0" copies="0"/>
</worksheet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Sandeep Tembare</cp:lastModifiedBy>
  <cp:revision>0</cp:revision>
  <dcterms:created xsi:type="dcterms:W3CDTF">2026-04-25T12:28:22Z</dcterms:created>
  <dcterms:modified xsi:type="dcterms:W3CDTF">2026-05-05T23:30:32Z</dcterms:modified>
  <cp:category/>
  <cp:contentStatus/>
</cp:coreProperties>
</file>