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raxglobal-my.sharepoint.com/personal/upendra_kumar_rackspace_com1/Documents/Projects/DMG/Cloud Readiness acceleartor/Templates/"/>
    </mc:Choice>
  </mc:AlternateContent>
  <xr:revisionPtr revIDLastSave="3347" documentId="11_F5531A16774669B1B9DEB3E5B4BDD8B56F0E84F5" xr6:coauthVersionLast="47" xr6:coauthVersionMax="47" xr10:uidLastSave="{B504909A-648E-4383-A4D7-7A715BA3D87F}"/>
  <bookViews>
    <workbookView xWindow="28680" yWindow="-120" windowWidth="29040" windowHeight="15720" tabRatio="500" activeTab="2" xr2:uid="{00000000-000D-0000-FFFF-FFFF00000000}"/>
  </bookViews>
  <sheets>
    <sheet name="GCP Evaluation" sheetId="1" r:id="rId1"/>
    <sheet name="Read Me" sheetId="2" r:id="rId2"/>
    <sheet name="Assumptions" sheetId="3" r:id="rId3"/>
    <sheet name="Unsupported OS &amp; Region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40" i="1" l="1"/>
  <c r="D140" i="1"/>
  <c r="D138" i="1"/>
  <c r="D137" i="1"/>
  <c r="D136" i="1"/>
  <c r="D135" i="1"/>
  <c r="D134" i="1"/>
  <c r="D133" i="1"/>
  <c r="D132" i="1"/>
  <c r="E103" i="1"/>
  <c r="E102" i="1"/>
  <c r="E101" i="1"/>
  <c r="E100" i="1"/>
  <c r="C72" i="1"/>
  <c r="C71" i="1"/>
  <c r="C70" i="1"/>
  <c r="C69" i="1"/>
  <c r="C68" i="1"/>
  <c r="B72" i="1"/>
  <c r="B71" i="1"/>
  <c r="B70" i="1"/>
  <c r="B69" i="1"/>
  <c r="B68" i="1"/>
  <c r="D63" i="1"/>
  <c r="D62" i="1"/>
  <c r="D61" i="1"/>
  <c r="D60" i="1"/>
  <c r="D59" i="1"/>
  <c r="D58" i="1"/>
  <c r="D57" i="1"/>
  <c r="D56" i="1"/>
  <c r="D55" i="1"/>
  <c r="D54" i="1"/>
  <c r="C64" i="1"/>
  <c r="C49" i="1"/>
  <c r="C48" i="1"/>
  <c r="C47" i="1"/>
  <c r="C46" i="1"/>
  <c r="B50" i="1"/>
  <c r="C41" i="1"/>
  <c r="C40" i="1"/>
  <c r="C39" i="1"/>
  <c r="C38" i="1"/>
  <c r="B42" i="1"/>
</calcChain>
</file>

<file path=xl/sharedStrings.xml><?xml version="1.0" encoding="utf-8"?>
<sst xmlns="http://schemas.openxmlformats.org/spreadsheetml/2006/main" count="1022" uniqueCount="629">
  <si>
    <t>Current Platform</t>
  </si>
  <si>
    <t>GCP Target Service</t>
  </si>
  <si>
    <t>Compatibility</t>
  </si>
  <si>
    <t>Migration Approach</t>
  </si>
  <si>
    <t>Notes</t>
  </si>
  <si>
    <t>Compute Engine</t>
  </si>
  <si>
    <t>Google Cloud VMware Engine / Compute Engine</t>
  </si>
  <si>
    <t>Migration Path</t>
  </si>
  <si>
    <t>Licensing</t>
  </si>
  <si>
    <t>Oracle</t>
  </si>
  <si>
    <t>BYOL</t>
  </si>
  <si>
    <t>SQL Server</t>
  </si>
  <si>
    <t>BYOL / Included</t>
  </si>
  <si>
    <t>MySQL</t>
  </si>
  <si>
    <t>PostgreSQL</t>
  </si>
  <si>
    <t>Cloud SQL for PostgreSQL / AlloyDB</t>
  </si>
  <si>
    <t>MongoDB</t>
  </si>
  <si>
    <t>MongoDB Atlas on GCP / Firestore</t>
  </si>
  <si>
    <t>Preferred</t>
  </si>
  <si>
    <t>Data Residency Compliant (Yes/No)</t>
  </si>
  <si>
    <t>Rationale</t>
  </si>
  <si>
    <t>Discount %</t>
  </si>
  <si>
    <t>Metric</t>
  </si>
  <si>
    <t>ROI %</t>
  </si>
  <si>
    <t>Purpose</t>
  </si>
  <si>
    <t>Status</t>
  </si>
  <si>
    <t>Database Migration Service</t>
  </si>
  <si>
    <t>Transfer Appliance</t>
  </si>
  <si>
    <t>Large data transfer</t>
  </si>
  <si>
    <t>Container migration</t>
  </si>
  <si>
    <t>Weight</t>
  </si>
  <si>
    <t>Score (0-100)</t>
  </si>
  <si>
    <t>Weighted Score</t>
  </si>
  <si>
    <t>Service Compatibility</t>
  </si>
  <si>
    <t>Cost Competitiveness</t>
  </si>
  <si>
    <t>Strategic Alignment</t>
  </si>
  <si>
    <t>GCP EVALUATION FRAMEWORK</t>
  </si>
  <si>
    <t>Cloud Readiness Accelerator  |  Executive Assessment Guide</t>
  </si>
  <si>
    <t>Version 1.0  |  Classification: Confidential  |  Last Updated: April 2026  |  Owner: Cloud Solutions Architecture</t>
  </si>
  <si>
    <t>📌  EXECUTIVE SUMMARY</t>
  </si>
  <si>
    <t>This GCP Evaluation Framework provides a structured, enterprise-grade methodology for assessing Google Cloud Platform as your organization's strategic cloud platform. Designed in alignment with the Google Cloud Architecture Framework and Cloud Adoption Framework best practices, this assessment enables data-driven decision making for cloud migration investments.</t>
  </si>
  <si>
    <t>🚀  QUICK START GUIDE — COMPLETE THESE STEPS IN ORDER</t>
  </si>
  <si>
    <t>STEP</t>
  </si>
  <si>
    <t>ACTION</t>
  </si>
  <si>
    <t>SECTION</t>
  </si>
  <si>
    <t>PRIORITY</t>
  </si>
  <si>
    <t>①</t>
  </si>
  <si>
    <t>Complete Application Inventory — Map all workloads to GCP target services</t>
  </si>
  <si>
    <t>Section 1</t>
  </si>
  <si>
    <t>🔴 Critical</t>
  </si>
  <si>
    <t>②</t>
  </si>
  <si>
    <t>Assess Compute, Database &amp; Storage — Define GCP equivalents and migration approach</t>
  </si>
  <si>
    <t>③</t>
  </si>
  <si>
    <t>Enter Regional Cost Estimates — Use Google Cloud Pricing Calculator for Region A, B, C</t>
  </si>
  <si>
    <t>Section 2</t>
  </si>
  <si>
    <t>④</t>
  </si>
  <si>
    <t>Document Discount Eligibility — Capture CUD/SUD opportunities and BYOL licensing</t>
  </si>
  <si>
    <t>Section 3</t>
  </si>
  <si>
    <t>⑤</t>
  </si>
  <si>
    <t>Compare Pricing Models — On-Demand vs CUD (1-Year &amp; 3-Year) + SUDs (Optimized)</t>
  </si>
  <si>
    <t>🟡 High</t>
  </si>
  <si>
    <t>⑥</t>
  </si>
  <si>
    <t>Review Migration Tooling — Confirm Migration Center, Migrate to VMs, DMS readiness</t>
  </si>
  <si>
    <t>Section 4</t>
  </si>
  <si>
    <t>⑦</t>
  </si>
  <si>
    <t>Calculate GCP Fit Score — Score each factor (0-100) for final recommendation</t>
  </si>
  <si>
    <t>Section 5</t>
  </si>
  <si>
    <t>📋  DETAILED SECTION GUIDE</t>
  </si>
  <si>
    <t>SECTION 1  —  GCP SERVICE COMPATIBILITY ASSESSMENT</t>
  </si>
  <si>
    <t>Purpose:</t>
  </si>
  <si>
    <t>Map current infrastructure to Google Cloud target services with compatibility assessment</t>
  </si>
  <si>
    <t>Key Inputs:</t>
  </si>
  <si>
    <t>Application inventory, current platform details, workload characteristics</t>
  </si>
  <si>
    <t>Key Outputs:</t>
  </si>
  <si>
    <t>GCP service mapping, compatibility status, recommended migration approach</t>
  </si>
  <si>
    <t>GCP Tools:</t>
  </si>
  <si>
    <t>Migration Center, Migrate to Virtual Machines, Database Migration Service, Modernize with GKE</t>
  </si>
  <si>
    <t>SECTION 2  —  GCP REGIONAL ASSESSMENT</t>
  </si>
  <si>
    <t>Compare Google Cloud regions for optimal workload placement based on cost, compliance, and latency</t>
  </si>
  <si>
    <t>Regional cost estimates (On-Demand, CUD), data residency requirements, latency targets</t>
  </si>
  <si>
    <t>Primary/Secondary region selection, regional cost comparison, compliance validation</t>
  </si>
  <si>
    <t>Data Sources:</t>
  </si>
  <si>
    <t>Google Cloud Pricing Calculator, Regional Services List, Migration Center assessment exports</t>
  </si>
  <si>
    <t>SECTION 3  —  GCP COST ESTIMATION &amp; OPTIMIZATION</t>
  </si>
  <si>
    <t>Comprehensive cost analysis comparing On-Demand, Committed Use Discounts (CUD), and Sustained Use Discounts (SUD)</t>
  </si>
  <si>
    <t>Pricing estimates, expected utilization profile, commitment term, licensing model (BYOL / Included)</t>
  </si>
  <si>
    <t>Pricing model recommendation, estimated savings, ROI analysis</t>
  </si>
  <si>
    <t>Best Practice:</t>
  </si>
  <si>
    <t>Use 3-Year CUD for steady-state workloads and leverage SUDs for always-on compute where applicable.</t>
  </si>
  <si>
    <t>SECTION 4  —  GCP MIGRATION TOOLING &amp; SERVICES</t>
  </si>
  <si>
    <t>Google native tools and services recommended for discovery, assessment, and migration execution</t>
  </si>
  <si>
    <t>Core Tools:</t>
  </si>
  <si>
    <t>Migration Center, Migrate to Virtual Machines, Migrate to Containers, Database Migration Service, Transfer Appliance</t>
  </si>
  <si>
    <t>SECTION 5  —  GCP FIT SCORE ANALYSIS</t>
  </si>
  <si>
    <t>Weighted scoring framework to objectively assess GCP suitability for customer workload requirements</t>
  </si>
  <si>
    <t>Scoring Model:</t>
  </si>
  <si>
    <t>7 weighted factors: Service Compatibility (25%), Cost (20%), Regional (15%), Tools (15%), Skills (10%), Vendor (10%), Strategy (5%)</t>
  </si>
  <si>
    <t>⭐  FIT SCORE INTERPRETATION MATRIX</t>
  </si>
  <si>
    <t>SCORE RANGE</t>
  </si>
  <si>
    <t>RATING</t>
  </si>
  <si>
    <t>INTERPRETATION</t>
  </si>
  <si>
    <t>RECOMMENDED ACTION</t>
  </si>
  <si>
    <t>80 — 100</t>
  </si>
  <si>
    <t>🟢 STRONG FIT</t>
  </si>
  <si>
    <t>GCP is highly suitable for this workload</t>
  </si>
  <si>
    <t>Proceed with detailed migration planning</t>
  </si>
  <si>
    <t>60 — 79</t>
  </si>
  <si>
    <t>🟡 MODERATE FIT</t>
  </si>
  <si>
    <t>GCP is suitable with some considerations</t>
  </si>
  <si>
    <t>Address identified gaps before proceeding</t>
  </si>
  <si>
    <t>40 — 59</t>
  </si>
  <si>
    <t>🟠 CONDITIONAL FIT</t>
  </si>
  <si>
    <t>GCP requires significant remediation</t>
  </si>
  <si>
    <t>Conduct detailed gap analysis; consider hybrid</t>
  </si>
  <si>
    <t>0 — 39</t>
  </si>
  <si>
    <t>🔴 POOR FIT</t>
  </si>
  <si>
    <t>GCP may not be optimal</t>
  </si>
  <si>
    <t>Evaluate alternatives (Azure, AWS, Private Cloud)</t>
  </si>
  <si>
    <t>🔧  GCP TOOLS &amp; RESOURCES</t>
  </si>
  <si>
    <t>TOOL / RESOURCE</t>
  </si>
  <si>
    <t>PURPOSE</t>
  </si>
  <si>
    <t>ACCESS / URL</t>
  </si>
  <si>
    <t>Google Cloud Pricing Calculator</t>
  </si>
  <si>
    <t>Estimate costs for Google Cloud services</t>
  </si>
  <si>
    <t>cloud.google.com/products/calculator</t>
  </si>
  <si>
    <t>Migration Center</t>
  </si>
  <si>
    <t>Discovery, inventory, assessment and planning</t>
  </si>
  <si>
    <t>Google Cloud Console → Migration Center</t>
  </si>
  <si>
    <t>Migrate to Virtual Machines</t>
  </si>
  <si>
    <t>VM lift-and-shift migration</t>
  </si>
  <si>
    <t>Google Cloud Console → Migrate to VMs</t>
  </si>
  <si>
    <t>Database migration (online/offline)</t>
  </si>
  <si>
    <t>Google Cloud Console → Database Migration Service</t>
  </si>
  <si>
    <t>Active Assist / Recommender</t>
  </si>
  <si>
    <t>Best practices and optimization recommendations</t>
  </si>
  <si>
    <t>Google Cloud Console → Active Assist</t>
  </si>
  <si>
    <t>Cloud Billing</t>
  </si>
  <si>
    <t>Cost monitoring and optimization</t>
  </si>
  <si>
    <t>Google Cloud Console → Billing</t>
  </si>
  <si>
    <t>➡️  NEXT STEPS</t>
  </si>
  <si>
    <t>Step 1:  Review and validate the 'Assumptions' sheet with all stakeholders before proceeding</t>
  </si>
  <si>
    <t>Step 2:  Navigate to the 'GCP Evaluation' sheet to complete all five assessment sections</t>
  </si>
  <si>
    <t>Step 3:  Present findings and Fit Score to executive leadership for migration approval</t>
  </si>
  <si>
    <t>⚠️  IMPORTANT NOTES</t>
  </si>
  <si>
    <t>•  This evaluation framework is for initial assessment purposes. Final decisions require detailed technical due diligence.</t>
  </si>
  <si>
    <t>•  Cost estimates are based on publicly available Google Cloud pricing. Select currency (USD, GBP, EUR, etc.) based on customer region.</t>
  </si>
  <si>
    <t>•  Discount rates (CUD / enterprise agreements) require validation from Google/partner account team before publication.</t>
  </si>
  <si>
    <t>•  Data residency and regulatory compliance requirements must be validated with Legal and Compliance teams.</t>
  </si>
  <si>
    <t>━━━━━━━━━━━━━━━━━━━━━━━━━━━━━━━━━━━━━━━━━━━━━━━━━━━━━━━━━━━━━━━━━━━━━━━━━━━━━━━━━━━━━━━━━━━━━━━━━━━━━━━━</t>
  </si>
  <si>
    <t>Cloud Readiness Accelerator Framework  |  GCP Evaluation Framework  |  Version 1.0  |  April 2026</t>
  </si>
  <si>
    <t>© 2026 Cloud Readiness Accelerator Framework  |  Confidential — For Authorized Use Only</t>
  </si>
  <si>
    <t>Prepared in alignment with Google Cloud Architecture Framework &amp; Cloud Adoption best practices</t>
  </si>
  <si>
    <t>📋 GCP MIGRATION TCO ASSUMPTIONS</t>
  </si>
  <si>
    <t>Like-to-Like (On-Demand &amp; 3-Year) vs Optimized View  |  Migration Center / Discovery Export Parameters</t>
  </si>
  <si>
    <t>💱 Currency: USD ($) — Select currency based on your customer's region (USD, GBP, EUR, etc.)</t>
  </si>
  <si>
    <t>Section 1 — Like-to-Like Option 1 (Part 1) - On-Demand Baseline</t>
  </si>
  <si>
    <t>Category</t>
  </si>
  <si>
    <t>Parameter</t>
  </si>
  <si>
    <t>Region A</t>
  </si>
  <si>
    <t>Region B</t>
  </si>
  <si>
    <t>Region C</t>
  </si>
  <si>
    <t>▸ Target and Pricing</t>
  </si>
  <si>
    <t>Target and pricing</t>
  </si>
  <si>
    <t>Default target location</t>
  </si>
  <si>
    <t>Default environment</t>
  </si>
  <si>
    <t>Production</t>
  </si>
  <si>
    <t>Currency</t>
  </si>
  <si>
    <t>US Dollar (USD)</t>
  </si>
  <si>
    <t>Program/offer</t>
  </si>
  <si>
    <t>On-Demand</t>
  </si>
  <si>
    <t>Default savings option</t>
  </si>
  <si>
    <t>None</t>
  </si>
  <si>
    <t>Enterprise discount (%)</t>
  </si>
  <si>
    <t>Uptime (days per month)</t>
  </si>
  <si>
    <t>Hours per day</t>
  </si>
  <si>
    <t>▸ Assessment Criteria</t>
  </si>
  <si>
    <t>Assessment criteria</t>
  </si>
  <si>
    <t>Sizing criteria</t>
  </si>
  <si>
    <t>Performance-based</t>
  </si>
  <si>
    <t>Performance history</t>
  </si>
  <si>
    <t>30 days</t>
  </si>
  <si>
    <t>Percentile utilization</t>
  </si>
  <si>
    <t>95th</t>
  </si>
  <si>
    <t>Safety factor (buffer)</t>
  </si>
  <si>
    <t>1.0x</t>
  </si>
  <si>
    <t>▸ Storage / Disks</t>
  </si>
  <si>
    <t>Storage / disks</t>
  </si>
  <si>
    <t>Persistent disk type</t>
  </si>
  <si>
    <t>Balanced PD, SSD PD</t>
  </si>
  <si>
    <t>▸ Discounts (CUD / SUD)</t>
  </si>
  <si>
    <t>Discounts</t>
  </si>
  <si>
    <t>Committed Use Discount applied?</t>
  </si>
  <si>
    <t>No</t>
  </si>
  <si>
    <t>Sustained Use Discount assumed?</t>
  </si>
  <si>
    <t>▸ Licensing</t>
  </si>
  <si>
    <t>Windows / SQL licensing model</t>
  </si>
  <si>
    <t>BYOL (document separately)</t>
  </si>
  <si>
    <t>▸ Security</t>
  </si>
  <si>
    <t>Security</t>
  </si>
  <si>
    <t>Include Security Command Center / premium add-ons?</t>
  </si>
  <si>
    <t>▸ Additional Baseline Rules</t>
  </si>
  <si>
    <t>Baseline rules</t>
  </si>
  <si>
    <t>VM sizing method</t>
  </si>
  <si>
    <t>Right-size using utilization data (where available)</t>
  </si>
  <si>
    <t>Same</t>
  </si>
  <si>
    <t>On-prem SKU mapping</t>
  </si>
  <si>
    <t>Do not map on-prem to identical cloud SKU</t>
  </si>
  <si>
    <t>Storage type</t>
  </si>
  <si>
    <t>Use Balanced and SSD PD (no Ultra/Extreme)</t>
  </si>
  <si>
    <t>Section 2 — Like-to-Like Option 1 (Part 2) - 3-Year Commitment Baseline (CUD)</t>
  </si>
  <si>
    <t>3-Year CUD</t>
  </si>
  <si>
    <t>Committed Use term</t>
  </si>
  <si>
    <t>3 years</t>
  </si>
  <si>
    <t>Uptime assumption</t>
  </si>
  <si>
    <t>24x7 (744 hrs/month)</t>
  </si>
  <si>
    <t>Yes</t>
  </si>
  <si>
    <t>Section 3 — Optimized Option - Migration Center / Discovery Settings (Target State)</t>
  </si>
  <si>
    <t>▸ Optimization Framing</t>
  </si>
  <si>
    <t>Optimization framing</t>
  </si>
  <si>
    <t>Commitment model</t>
  </si>
  <si>
    <t>3-Year CUD positioned as optimized baseline</t>
  </si>
  <si>
    <t>Enterprise / Partner discount</t>
  </si>
  <si>
    <t>TBD (with Google/Partner)</t>
  </si>
  <si>
    <t>TBD</t>
  </si>
  <si>
    <t>TBD (commercial)</t>
  </si>
  <si>
    <t>▸ VM Sizing</t>
  </si>
  <si>
    <t>VM sizing</t>
  </si>
  <si>
    <t>Machine families allowed</t>
  </si>
  <si>
    <t>E2, N2, N2D, C2, C3, M2, Tau T2D</t>
  </si>
  <si>
    <t>Custom machine types allowed</t>
  </si>
  <si>
    <t>▸ Storage Sizing</t>
  </si>
  <si>
    <t>Storage sizing</t>
  </si>
  <si>
    <t>Disk types allowed</t>
  </si>
  <si>
    <t>Balanced PD, SSD PD, Extreme PD (where needed)</t>
  </si>
  <si>
    <t>Yes (always-on compute)</t>
  </si>
  <si>
    <t>▸ Security Settings</t>
  </si>
  <si>
    <t>Security settings</t>
  </si>
  <si>
    <t>Shielded VM / secure boot</t>
  </si>
  <si>
    <t>Enabled where supported</t>
  </si>
  <si>
    <t>Enable multi-region storage (where required)</t>
  </si>
  <si>
    <t>▸ Notes &amp; Best Practices</t>
  </si>
  <si>
    <t>Right-sizing</t>
  </si>
  <si>
    <t>Use utilization data and performance-based sizing</t>
  </si>
  <si>
    <t>Discount strategy</t>
  </si>
  <si>
    <t>Use 3-Year CUD for steady state; rely on SUD for always-on</t>
  </si>
  <si>
    <t>Section 4 — Assumptions Summary (Applies to All TCOs Unless Stated)</t>
  </si>
  <si>
    <t>Area</t>
  </si>
  <si>
    <t>Assumption</t>
  </si>
  <si>
    <t>Applies To</t>
  </si>
  <si>
    <t>Regions</t>
  </si>
  <si>
    <t>Generate TCOs for Region A, Region B, Region C</t>
  </si>
  <si>
    <t>All</t>
  </si>
  <si>
    <t>✅ Confirmed</t>
  </si>
  <si>
    <t>Three primary regions for customer</t>
  </si>
  <si>
    <t>Use USD for all regional TCOs (or customer-preferred currency)</t>
  </si>
  <si>
    <t>Select based on customer region</t>
  </si>
  <si>
    <t>Baseline structure</t>
  </si>
  <si>
    <t>Like-to-like baseline has 2 constructs: On-Demand and 3-year commitment (no extra optimizations)</t>
  </si>
  <si>
    <t>Baseline</t>
  </si>
  <si>
    <t>Two separate baseline views</t>
  </si>
  <si>
    <t>Use utilization data (where available) and performance-based sizing. Do not map on-prem SKU 1:1</t>
  </si>
  <si>
    <t>Performance-based approach</t>
  </si>
  <si>
    <t>Baseline discounts</t>
  </si>
  <si>
    <t>Do not apply enterprise discounts or SUDs in LTL baseline scenarios</t>
  </si>
  <si>
    <t>Discounts only in Optimized view</t>
  </si>
  <si>
    <t>Optimized discounts</t>
  </si>
  <si>
    <t>Apply 3-Year CUD + SUD assumptions + commercial discount (if provided)</t>
  </si>
  <si>
    <t>Optimized</t>
  </si>
  <si>
    <t>⏳ Pending</t>
  </si>
  <si>
    <t>Awaiting commercial confirmation</t>
  </si>
  <si>
    <t>Assessment tool</t>
  </si>
  <si>
    <t>Migration Center / discovery export used for all assessments</t>
  </si>
  <si>
    <t>Standard discovery tool</t>
  </si>
  <si>
    <t>Section 5 — Key Differences: LTL On-Demand vs LTL 3-Year CUD vs Optimized</t>
  </si>
  <si>
    <t>LTL Option 1 - On-Demand</t>
  </si>
  <si>
    <t>LTL Option 1 - 3 Year CUD</t>
  </si>
  <si>
    <t>Optimized Option</t>
  </si>
  <si>
    <t>Recommendation</t>
  </si>
  <si>
    <t>Savings Option</t>
  </si>
  <si>
    <t>None (On-Demand)</t>
  </si>
  <si>
    <t>3-Year CUD + SUD + Commercial Discount</t>
  </si>
  <si>
    <t>🟢 Optimized for max savings</t>
  </si>
  <si>
    <t>0% [0%]</t>
  </si>
  <si>
    <t>Await quote</t>
  </si>
  <si>
    <t>Sizing Criteria</t>
  </si>
  <si>
    <t>Consistent approach</t>
  </si>
  <si>
    <t>Performance History</t>
  </si>
  <si>
    <t>30-day baseline</t>
  </si>
  <si>
    <t>Percentile</t>
  </si>
  <si>
    <t>P95 for peak coverage</t>
  </si>
  <si>
    <t>Safety Factor</t>
  </si>
  <si>
    <t>No additional buffer</t>
  </si>
  <si>
    <t>Storage Type</t>
  </si>
  <si>
    <t>Balanced, SSD, Extreme (where needed)</t>
  </si>
  <si>
    <t>Optimized adds Extreme</t>
  </si>
  <si>
    <t>SUD Assumption</t>
  </si>
  <si>
    <t>🟢 Optimized only</t>
  </si>
  <si>
    <t>Machine Families</t>
  </si>
  <si>
    <t>General purpose defaults</t>
  </si>
  <si>
    <t>Wider selection incl. custom</t>
  </si>
  <si>
    <t>🟢 Wider selection</t>
  </si>
  <si>
    <t>Security Type</t>
  </si>
  <si>
    <t>Standard</t>
  </si>
  <si>
    <t>Shielded VM (where supported)</t>
  </si>
  <si>
    <t>Enhanced in Optimized</t>
  </si>
  <si>
    <t>Use Case</t>
  </si>
  <si>
    <t>Baseline comparison</t>
  </si>
  <si>
    <t>Commitment baseline</t>
  </si>
  <si>
    <t>Target state</t>
  </si>
  <si>
    <t>🟢 Recommended target</t>
  </si>
  <si>
    <t>Section 6 — Assumptions Sign-Off &amp; Approval</t>
  </si>
  <si>
    <t>Role</t>
  </si>
  <si>
    <t>Name</t>
  </si>
  <si>
    <t>Date</t>
  </si>
  <si>
    <t>Signature / Approval</t>
  </si>
  <si>
    <t>Cloud Solutions Architect</t>
  </si>
  <si>
    <t>[Enter Name]</t>
  </si>
  <si>
    <t>[Enter Date]</t>
  </si>
  <si>
    <t>Project Manager</t>
  </si>
  <si>
    <t>Finance Representative</t>
  </si>
  <si>
    <t>Google/Partner Account Team</t>
  </si>
  <si>
    <t>Application Owner</t>
  </si>
  <si>
    <t>Executive Sponsor</t>
  </si>
  <si>
    <t>⚠️ IMPORTANT NOTES</t>
  </si>
  <si>
    <t>• All assumptions must be validated and approved before finalizing the GCP TCO analysis.</t>
  </si>
  <si>
    <t>• Any commercial discount % requires validation from Google/partner account team before publication.</t>
  </si>
  <si>
    <t>• Both LTL (On-Demand &amp; 3-Year) and Optimized views should be presented to stakeholders for comparison.</t>
  </si>
  <si>
    <t>• Migration Center assessments should be regenerated if infrastructure changes significantly.</t>
  </si>
  <si>
    <t>• Currency must match across all TCO documents and the GCP Evaluation sheet.</t>
  </si>
  <si>
    <t>━━━━━━━━━━━━━━━━━━━━━━━━━━━━━━━━━━━━━━━━━━━━━━━━━━━━━━━━━━━━━━━━━━━━━━━━━━━━━━━━━━━━━━━━━</t>
  </si>
  <si>
    <t>➡️  Navigate to 'GCP Evaluation' sheet to apply these assumptions and complete the assessment</t>
  </si>
  <si>
    <t>© 2026 Cloud Readiness Accelerator Framework | GCP Migration TCO Assumptions | Version 1.0 | All Rights Reserved</t>
  </si>
  <si>
    <t>GCP CLOUD READINESS ASSESSMENT</t>
  </si>
  <si>
    <t>Executive Evaluation Framework</t>
  </si>
  <si>
    <t>Version 1.0  |  Classification: Confidential  |  Phase: Evaluation  |  Requirements: 4.1, 4.2, 4.3, 4.6</t>
  </si>
  <si>
    <t>💱 Currency: USD ($) — All costs displayed in US Dollars. To change currency, update number format to desired locale (GBP, EUR, AUD, etc.)</t>
  </si>
  <si>
    <t>📋 ASSESSMENT STATUS: TEMPLATE READY — Complete all sections below to finalize evaluation</t>
  </si>
  <si>
    <t>Maps current infrastructure components to recommended GCP target services with compatibility assessment</t>
  </si>
  <si>
    <t>Application / Workload</t>
  </si>
  <si>
    <t>Notes / Assumptions</t>
  </si>
  <si>
    <t>VMware vSphere</t>
  </si>
  <si>
    <t>Compute Engine (N2)</t>
  </si>
  <si>
    <t>🟡 Partial</t>
  </si>
  <si>
    <t>Rehost</t>
  </si>
  <si>
    <t>Validate OS and drivers</t>
  </si>
  <si>
    <t>Bare metal Linux</t>
  </si>
  <si>
    <t>GKE Standard</t>
  </si>
  <si>
    <t>🟢 Compatible</t>
  </si>
  <si>
    <t>Replatform</t>
  </si>
  <si>
    <t>Containerize service</t>
  </si>
  <si>
    <t>Oracle RAC</t>
  </si>
  <si>
    <t>AlloyDB / BigQuery</t>
  </si>
  <si>
    <t>🟠 Conditional</t>
  </si>
  <si>
    <t>Refactor</t>
  </si>
  <si>
    <t>Assess schema &amp; workloads</t>
  </si>
  <si>
    <t>NetApp</t>
  </si>
  <si>
    <t>Filestore / NetApp Volumes</t>
  </si>
  <si>
    <t>Confirm throughput tier</t>
  </si>
  <si>
    <t>Windows Server</t>
  </si>
  <si>
    <t>Cloud Run Jobs / GCE</t>
  </si>
  <si>
    <t>Check Windows licensing (BYOL)</t>
  </si>
  <si>
    <t>▸ COMPUTE SERVICES MAPPING</t>
  </si>
  <si>
    <t>Current Infrastructure</t>
  </si>
  <si>
    <t>Recommended Machine Family</t>
  </si>
  <si>
    <t>Sizing Approach</t>
  </si>
  <si>
    <t>CUD Eligible</t>
  </si>
  <si>
    <t>Physical Servers</t>
  </si>
  <si>
    <t>N2 / N2D / Custom</t>
  </si>
  <si>
    <t>VMware VMs</t>
  </si>
  <si>
    <t>As per assessment</t>
  </si>
  <si>
    <t>Containers</t>
  </si>
  <si>
    <t>Google Kubernetes Engine (GKE) / Cloud Run</t>
  </si>
  <si>
    <t>N/A</t>
  </si>
  <si>
    <t>Right-sized</t>
  </si>
  <si>
    <t>Windows Servers</t>
  </si>
  <si>
    <t>Compute Engine (Windows)</t>
  </si>
  <si>
    <t>N2 / E2</t>
  </si>
  <si>
    <t>BYOL where applicable</t>
  </si>
  <si>
    <t>Linux Servers</t>
  </si>
  <si>
    <t>Compute Engine (Linux)</t>
  </si>
  <si>
    <t>N2 / E2 / Tau T2D</t>
  </si>
  <si>
    <t>▸ DATABASE SERVICES MAPPING</t>
  </si>
  <si>
    <t>Current Database</t>
  </si>
  <si>
    <t>Licensing Model</t>
  </si>
  <si>
    <t>Quantity</t>
  </si>
  <si>
    <t>Cloud SQL for SQL Server / Compute Engine</t>
  </si>
  <si>
    <t>DMS Migration</t>
  </si>
  <si>
    <t>Bare Metal Solution for Oracle / AlloyDB</t>
  </si>
  <si>
    <t>Lift &amp; Shift / Refactor</t>
  </si>
  <si>
    <t>Cloud SQL for MySQL</t>
  </si>
  <si>
    <t>PAYG</t>
  </si>
  <si>
    <t>SECTION 1B  —  SERVER READINESS &amp; SUPPORT STATUS ANALYSIS</t>
  </si>
  <si>
    <t>Comprehensive analysis of server lifecycle status, migration readiness, and operating system distribution</t>
  </si>
  <si>
    <t>▸ END-OF-LIFE (EOL) &amp; SUPPORT STATUS</t>
  </si>
  <si>
    <t>Support Status</t>
  </si>
  <si>
    <t>Server Count</t>
  </si>
  <si>
    <t>% of Total</t>
  </si>
  <si>
    <t>Risk Level</t>
  </si>
  <si>
    <t>Action Required</t>
  </si>
  <si>
    <t>Target Date</t>
  </si>
  <si>
    <t>🔴 End-of-Life (EOL)</t>
  </si>
  <si>
    <t>Critical</t>
  </si>
  <si>
    <t>Immediate upgrade/replacement required</t>
  </si>
  <si>
    <t>🟠 Extended Support</t>
  </si>
  <si>
    <t>High</t>
  </si>
  <si>
    <t>Plan migration within 12 months</t>
  </si>
  <si>
    <t>🟡 Mainstream Support Ending</t>
  </si>
  <si>
    <t>Medium</t>
  </si>
  <si>
    <t>Plan migration within 24 months</t>
  </si>
  <si>
    <t>🟢 Fully Supported</t>
  </si>
  <si>
    <t>Low</t>
  </si>
  <si>
    <t>Standard migration timeline</t>
  </si>
  <si>
    <t>TOTAL SERVERS</t>
  </si>
  <si>
    <t>▸ MIGRATION READINESS STATUS</t>
  </si>
  <si>
    <t>Readiness Status</t>
  </si>
  <si>
    <t>Blockers / Conditions</t>
  </si>
  <si>
    <t>Remediation Required</t>
  </si>
  <si>
    <t>Est. Effort</t>
  </si>
  <si>
    <t>🟢 Ready for Migration</t>
  </si>
  <si>
    <t>🟡 Ready with Conditions</t>
  </si>
  <si>
    <t>🟠 Requires Remediation</t>
  </si>
  <si>
    <t>🔴 Not Ready for Migration</t>
  </si>
  <si>
    <t>▸ SERVER COUNT BY OPERATING SYSTEM</t>
  </si>
  <si>
    <t>Operating System</t>
  </si>
  <si>
    <t>Version</t>
  </si>
  <si>
    <t>🟡 Mainstream Ending</t>
  </si>
  <si>
    <t>2012 R2</t>
  </si>
  <si>
    <t>🔴 EOL (ESU Available)</t>
  </si>
  <si>
    <t>2008 R2</t>
  </si>
  <si>
    <t>🔴 EOL</t>
  </si>
  <si>
    <t>Red Hat Enterprise Linux</t>
  </si>
  <si>
    <t>8.x / 9.x</t>
  </si>
  <si>
    <t>SUSE Linux Enterprise</t>
  </si>
  <si>
    <t>15.x</t>
  </si>
  <si>
    <t>Ubuntu Server</t>
  </si>
  <si>
    <t>20.04 / 22.04 LTS</t>
  </si>
  <si>
    <t>CentOS / Other Linux</t>
  </si>
  <si>
    <t>Various</t>
  </si>
  <si>
    <t>🟠 Varies</t>
  </si>
  <si>
    <t>▸ EXECUTIVE SUMMARY METRICS</t>
  </si>
  <si>
    <t>Value</t>
  </si>
  <si>
    <t>Total Servers in Scope</t>
  </si>
  <si>
    <t>From discovery export</t>
  </si>
  <si>
    <t>Servers Requiring Immediate Action (EOL)</t>
  </si>
  <si>
    <t>End-of-life systems requiring immediate attention</t>
  </si>
  <si>
    <t>Servers Ready for Migration</t>
  </si>
  <si>
    <t>No blockers identified</t>
  </si>
  <si>
    <t>Servers Not Ready for Migration</t>
  </si>
  <si>
    <t>Requires remediation before migration</t>
  </si>
  <si>
    <t>Overall Migration Readiness %</t>
  </si>
  <si>
    <t>(Ready + Ready w/ Conditions) / Total</t>
  </si>
  <si>
    <t>Comparative analysis of GCP regions for optimal workload placement based on cost, compliance, and latency</t>
  </si>
  <si>
    <t>📊 Reference: Migration Center / Pricing Calculator — Region A, Region B, Region C</t>
  </si>
  <si>
    <t>Assessment Factor</t>
  </si>
  <si>
    <t>Compute Cost (Monthly)</t>
  </si>
  <si>
    <t>Storage Cost (Monthly)</t>
  </si>
  <si>
    <t>Database Cost (Monthly)</t>
  </si>
  <si>
    <t>Data Transfer Cost</t>
  </si>
  <si>
    <t>Total Monthly — On-Demand</t>
  </si>
  <si>
    <t>Total Monthly — CUD 1-Year</t>
  </si>
  <si>
    <t>Total Monthly — CUD 3-Year</t>
  </si>
  <si>
    <t>Total Monthly — Optimized (CUD+SUD)</t>
  </si>
  <si>
    <t>Latency to End Users (ms)</t>
  </si>
  <si>
    <t>Paired Region for DR</t>
  </si>
  <si>
    <t>▸ REGIONAL RECOMMENDATION</t>
  </si>
  <si>
    <t>Primary Region</t>
  </si>
  <si>
    <t>Secondary Region (DR)</t>
  </si>
  <si>
    <t>Selection Rationale</t>
  </si>
  <si>
    <t>[Select Region]</t>
  </si>
  <si>
    <t>[Enter rationale based on cost, compliance, and latency analysis]</t>
  </si>
  <si>
    <t>▸ COST MODEL COMPARISON</t>
  </si>
  <si>
    <t>Pricing Model</t>
  </si>
  <si>
    <t>Monthly Cost ($)</t>
  </si>
  <si>
    <t>Annual Cost ($)</t>
  </si>
  <si>
    <t>3-Year Total ($)</t>
  </si>
  <si>
    <t>Savings vs On-Demand</t>
  </si>
  <si>
    <t>—</t>
  </si>
  <si>
    <t>Baseline pricing</t>
  </si>
  <si>
    <t>CUD — 1 Year</t>
  </si>
  <si>
    <t>1-year commitment</t>
  </si>
  <si>
    <t>CUD — 3 Year</t>
  </si>
  <si>
    <t>3-year commitment</t>
  </si>
  <si>
    <t>SUD (where applicable)</t>
  </si>
  <si>
    <t>Automatic usage-based discounts</t>
  </si>
  <si>
    <t>3-Year CUD + SUD (Optimized)</t>
  </si>
  <si>
    <t>Maximum savings</t>
  </si>
  <si>
    <t>▸ DISCOUNT ELIGIBILITY (CUD / SUD)</t>
  </si>
  <si>
    <t>Discount Type</t>
  </si>
  <si>
    <t>Eligible Spend ($/mo)</t>
  </si>
  <si>
    <t>Coverage</t>
  </si>
  <si>
    <t>Est. Monthly Savings ($)</t>
  </si>
  <si>
    <t>Est. Annual Savings ($)</t>
  </si>
  <si>
    <t>Compute CUD</t>
  </si>
  <si>
    <t>Applies to steady-state compute</t>
  </si>
  <si>
    <t>SQL / DB Commitments</t>
  </si>
  <si>
    <t>Use committed spend where eligible</t>
  </si>
  <si>
    <t>SUD (compute)</t>
  </si>
  <si>
    <t>Automatic for always-on workloads</t>
  </si>
  <si>
    <t>Partner / Enterprise Discount</t>
  </si>
  <si>
    <t>Commercially negotiated</t>
  </si>
  <si>
    <t>TOTAL ESTIMATED SAVINGS</t>
  </si>
  <si>
    <t>▸ RECOMMENDED PRICING MODEL</t>
  </si>
  <si>
    <t>Recommended Model</t>
  </si>
  <si>
    <t>Annual Savings ($)</t>
  </si>
  <si>
    <t>Justification</t>
  </si>
  <si>
    <t>[Select Model]</t>
  </si>
  <si>
    <t>[Enter justification]</t>
  </si>
  <si>
    <t>GCP Tool / Service</t>
  </si>
  <si>
    <t>Applicable Workloads</t>
  </si>
  <si>
    <t>Readiness</t>
  </si>
  <si>
    <t>All workloads</t>
  </si>
  <si>
    <t>Free</t>
  </si>
  <si>
    <t>Primary assessment tool</t>
  </si>
  <si>
    <t>VMware / physical servers</t>
  </si>
  <si>
    <t>Service</t>
  </si>
  <si>
    <t>Migrate to Containers</t>
  </si>
  <si>
    <t>VMware / VMs</t>
  </si>
  <si>
    <t>Database schema and data migration</t>
  </si>
  <si>
    <t>SQL, MySQL, PostgreSQL, Oracle</t>
  </si>
  <si>
    <t>Free / Premium</t>
  </si>
  <si>
    <t>Online and offline modes</t>
  </si>
  <si>
    <t>Large datasets</t>
  </si>
  <si>
    <t>Paid</t>
  </si>
  <si>
    <t>Offline bulk transfer</t>
  </si>
  <si>
    <t>Optimization recommendations</t>
  </si>
  <si>
    <t>Cost &amp; performance optimization</t>
  </si>
  <si>
    <t>Weighted scoring framework to objectively assess GCP suitability for the customer's workload requirements</t>
  </si>
  <si>
    <t>Evaluation Factor</t>
  </si>
  <si>
    <t>Evidence / Rationale</t>
  </si>
  <si>
    <t>Improvement Actions</t>
  </si>
  <si>
    <t>Regional Availability &amp; Compliance</t>
  </si>
  <si>
    <t>Migration Tooling &amp; Support</t>
  </si>
  <si>
    <t>Team Skills &amp; Expertise</t>
  </si>
  <si>
    <t>Vendor Relationship (Partner/EA)</t>
  </si>
  <si>
    <t>GCP FIT SCORE</t>
  </si>
  <si>
    <t>Industry Benchmark: 70-90</t>
  </si>
  <si>
    <t>▸ FIT SCORE INTERPRETATION GUIDE</t>
  </si>
  <si>
    <t>Score Range</t>
  </si>
  <si>
    <t>Rating</t>
  </si>
  <si>
    <t>Interpretation</t>
  </si>
  <si>
    <t>Recommended Action</t>
  </si>
  <si>
    <t>🟢 Strong Fit</t>
  </si>
  <si>
    <t>🟡 Moderate Fit</t>
  </si>
  <si>
    <t>🟠 Conditional Fit</t>
  </si>
  <si>
    <t>Conduct detailed gap analysis; consider hybrid approach</t>
  </si>
  <si>
    <t>🔴 Poor Fit</t>
  </si>
  <si>
    <t>GCP may not be optimal for this workload</t>
  </si>
  <si>
    <t>Evaluate alternative platforms (Azure, AWS, Private Cloud)</t>
  </si>
  <si>
    <t>━━━━━━━━━━━━━━━━━━━━━━━━━━━━━━━━━━━━━━━━━━━━━━━━━━━━━━━━━━━━━━━━━━━━━━━━━━━━━━━━━━━━━━━━━━━━━━━━━━━━━━━━━━━━━</t>
  </si>
  <si>
    <t>Cloud Readiness Accelerator Framework  |  GCP Evaluation  |  Version 1.0  |  April 2026</t>
  </si>
  <si>
    <t>🚫 GCP UNSUPPORTED OS &amp; REGIONS (REFERENCE)</t>
  </si>
  <si>
    <t>Official support caveats based on Compute Engine OS image policy and Google Cloud Locations list (April 2026)</t>
  </si>
  <si>
    <t>Use this sheet as a risk register: if an OS / Region is not officially supported, plan remediation (upgrade / custom image) or a nearest-region architecture with compliance sign-off.</t>
  </si>
  <si>
    <t>SECTION A — Operating Systems NOT officially supported (or End-of-Support)</t>
  </si>
  <si>
    <t>OS Family</t>
  </si>
  <si>
    <t>Version / Type</t>
  </si>
  <si>
    <t>Impact on Google Cloud</t>
  </si>
  <si>
    <t>Source (URL)</t>
  </si>
  <si>
    <t>EOS (Oct 10, 2023)</t>
  </si>
  <si>
    <t>No longer supported by Microsoft; public images removed after EOS. Running VMs continue, but updates/patches unavailable via Google.</t>
  </si>
  <si>
    <t>Upgrade to Windows Server 2016+; if unavoidable, use ESU + harden access.</t>
  </si>
  <si>
    <t>https://docs.cloud.google.com/compute/docs/instances/windows/end-of-support</t>
  </si>
  <si>
    <t>2008 / 2008 R2</t>
  </si>
  <si>
    <t>EOS (Jan 14, 2020)</t>
  </si>
  <si>
    <t>Unsupported &amp; unpatched OS increases security risk; images removed after EOS.</t>
  </si>
  <si>
    <t>Migrate/upgrade urgently; isolate network; remove public IPs.</t>
  </si>
  <si>
    <t>2003 / 2003 R2</t>
  </si>
  <si>
    <t>EOS (Jul 14, 2015)</t>
  </si>
  <si>
    <t>Unsupported legacy OS; high security exposure; images removed after EOS.</t>
  </si>
  <si>
    <t>Replatform or refactor; if required temporarily, run in isolated segment only.</t>
  </si>
  <si>
    <t>CentOS Linux</t>
  </si>
  <si>
    <t>CentOS Linux (classic)</t>
  </si>
  <si>
    <t>End of development/support</t>
  </si>
  <si>
    <t>CentOS Linux is EOS; not recommended for new deployments.</t>
  </si>
  <si>
    <t>Move to Rocky Linux / AlmaLinux / RHEL / Ubuntu LTS.</t>
  </si>
  <si>
    <t>https://docs.cloud.google.com/compute/docs/images/os-details?hl=en</t>
  </si>
  <si>
    <t>Ubuntu</t>
  </si>
  <si>
    <t>16.04 LTS (standard)</t>
  </si>
  <si>
    <t>Standard support ended</t>
  </si>
  <si>
    <t>Continuing without Ubuntu Pro/ESM increases risk; may be blocked by internal security policies.</t>
  </si>
  <si>
    <t>Upgrade to 20.04/22.04/24.04 LTS or use Ubuntu Pro image.</t>
  </si>
  <si>
    <t>18.04 LTS (standard)</t>
  </si>
  <si>
    <t>Standard LTS support ended; requires Ubuntu Pro/ESM to keep patching.</t>
  </si>
  <si>
    <t>Upgrade to 22.04/24.04 LTS or use Ubuntu Pro image.</t>
  </si>
  <si>
    <t>Windows Client</t>
  </si>
  <si>
    <t>Windows 10/11 images</t>
  </si>
  <si>
    <t>No Google-provided images</t>
  </si>
  <si>
    <t>Google does not provide Windows client images by default; must import/bring your own.</t>
  </si>
  <si>
    <t>Use BYOL custom images; validate licensing + vTPM/Secure Boot requirements.</t>
  </si>
  <si>
    <t>SQL Server on Linux</t>
  </si>
  <si>
    <t>Pre-configured VM images</t>
  </si>
  <si>
    <t>Not provided</t>
  </si>
  <si>
    <t>Google does not provide pre-configured SQL Server-on-Linux images; licensing must be added separately.</t>
  </si>
  <si>
    <t>Install SQL Server yourself or use Cloud SQL / managed options.</t>
  </si>
  <si>
    <t>SECTION B — Regions NOT supported (no Google Cloud region)</t>
  </si>
  <si>
    <t>Google Cloud supports deployment ONLY in the published Google Cloud Regions list. If a requested country/area is not listed as a region, it is not supported as an in-country region (use nearest region + compliance approval).</t>
  </si>
  <si>
    <t>Location Requested</t>
  </si>
  <si>
    <t>Nearest GCP Region(s)</t>
  </si>
  <si>
    <t>Design Considerations</t>
  </si>
  <si>
    <t>Validation Link</t>
  </si>
  <si>
    <t>Any location not in the GCP Regions list</t>
  </si>
  <si>
    <t>Not supported as a GCP Region</t>
  </si>
  <si>
    <t>Choose nearest published region</t>
  </si>
  <si>
    <t>Assess latency + data residency + DR pairing; confirm service availability by region.</t>
  </si>
  <si>
    <t>https://cloud.google.com/about/locations</t>
  </si>
  <si>
    <t>Authoritative regions list (updated by Google)</t>
  </si>
  <si>
    <t>Pakistan</t>
  </si>
  <si>
    <t>No in-country GCP region (as of Apr 2026)</t>
  </si>
  <si>
    <t>Delhi (asia-south2) / Mumbai (asia-south1)</t>
  </si>
  <si>
    <t>Cross-border data residency review required; validate connectivity strategy.</t>
  </si>
  <si>
    <t>Use nearest India region if allowed</t>
  </si>
  <si>
    <t>Bangladesh</t>
  </si>
  <si>
    <t>Consider latency + regulatory controls; review DR secondary region.</t>
  </si>
  <si>
    <t>Nearest India region</t>
  </si>
  <si>
    <t>Sri Lanka</t>
  </si>
  <si>
    <t>Mumbai (asia-south1) / Delhi (asia-south2)</t>
  </si>
  <si>
    <t>Validate network paths; consider dual-region HA for resilience.</t>
  </si>
  <si>
    <t>Nepal</t>
  </si>
  <si>
    <t>Data residency and latency check; use private connectivity where possible.</t>
  </si>
  <si>
    <t>Russia</t>
  </si>
  <si>
    <t>No public GCP region listed</t>
  </si>
  <si>
    <t>Europe (europe-west*) if permitted</t>
  </si>
  <si>
    <t>Regulatory and legal restrictions may apply; validate compliance early.</t>
  </si>
  <si>
    <t>Confirm with legal/compliance</t>
  </si>
  <si>
    <t>Application 1 — [Enter Application Name]</t>
  </si>
  <si>
    <t>Application 2 — [Enter Application Name]</t>
  </si>
  <si>
    <t>Application 3 — [Enter Application Name]</t>
  </si>
  <si>
    <t>Application 4 — [Enter Application Name]</t>
  </si>
  <si>
    <t>Application 5 — [Enter Application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</si>
</sst>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
    <numFmt numFmtId="174" formatCode="\$#,##0"/>
  </numFmts>
  <fonts count="13" x14ac:knownFonts="1">
    <font>
      <sz val="11"/>
      <color theme="1"/>
      <name val="Calibri"/>
      <family val="2"/>
      <charset val="1"/>
    </font>
    <font>
      <sz val="11"/>
      <color rgb="FF404040"/>
      <name val="Arial"/>
    </font>
    <font>
      <b/>
      <sz val="18"/>
      <color rgb="FFFFFFFF"/>
      <name val="Calibri"/>
    </font>
    <font>
      <b/>
      <sz val="12"/>
      <color rgb="FFFFFFFF"/>
      <name val="Calibri"/>
    </font>
    <font>
      <b/>
      <sz val="11"/>
      <color rgb="FFFFFFFF"/>
      <name val="Calibri"/>
    </font>
    <font>
      <b/>
      <sz val="10"/>
      <color rgb="FFFFFFFF"/>
      <name val="Calibri"/>
    </font>
    <font>
      <b/>
      <sz val="11"/>
      <color rgb="FF1A1A1A"/>
      <name val="Calibri"/>
    </font>
    <font>
      <sz val="11"/>
      <color rgb="FF1A1A1A"/>
      <name val="Calibri"/>
    </font>
    <font>
      <b/>
      <sz val="16"/>
      <color rgb="FFFFFFFF"/>
      <name val="Calibri"/>
    </font>
    <font>
      <sz val="11"/>
      <color rgb="FF1F1F1F"/>
      <name val="Calibri"/>
    </font>
    <font>
      <sz val="10"/>
      <color rgb="FF0B1F3B"/>
      <name val="Calibri"/>
    </font>
    <font>
      <u/>
      <sz val="11"/>
      <color rgb="FF0563C1"/>
      <name val="Calibri"/>
    </font>
    <font>
      <i/>
      <sz val="11"/>
      <color rgb="FF595959"/>
      <name val="Calibri"/>
    </font>
  </fonts>
  <fills count="12">
    <fill>
      <patternFill patternType="none"/>
    </fill>
    <fill>
      <patternFill patternType="gray125"/>
    </fill>
    <fill>
      <patternFill patternType="solid">
        <fgColor rgb="FF1F3864"/>
        <bgColor indexed="64"/>
      </patternFill>
    </fill>
    <fill>
      <patternFill patternType="solid">
        <fgColor rgb="FF2E75B6"/>
        <bgColor indexed="64"/>
      </patternFill>
    </fill>
    <fill>
      <patternFill patternType="solid">
        <fgColor rgb="FFD9E1F2"/>
        <bgColor indexed="64"/>
      </patternFill>
    </fill>
    <fill>
      <patternFill patternType="solid">
        <fgColor rgb="FF1F4E79"/>
        <bgColor indexed="64"/>
      </patternFill>
    </fill>
    <fill>
      <patternFill patternType="solid">
        <fgColor rgb="FF2F5597"/>
        <bgColor indexed="64"/>
      </patternFill>
    </fill>
    <fill>
      <patternFill patternType="solid">
        <fgColor rgb="FFEEF3FA"/>
        <bgColor indexed="64"/>
      </patternFill>
    </fill>
    <fill>
      <patternFill patternType="solid">
        <fgColor rgb="FF0B1F3B"/>
        <bgColor indexed="64"/>
      </patternFill>
    </fill>
    <fill>
      <patternFill patternType="solid">
        <fgColor rgb="FF0F2E55"/>
        <bgColor indexed="64"/>
      </patternFill>
    </fill>
    <fill>
      <patternFill patternType="solid">
        <fgColor rgb="FFEEF3FB"/>
        <bgColor indexed="64"/>
      </patternFill>
    </fill>
    <fill>
      <patternFill patternType="solid">
        <fgColor rgb="FF404040"/>
        <bgColor indexed="64"/>
      </patternFill>
    </fill>
  </fills>
  <borders count="24">
    <border>
      <left/>
      <right/>
      <top/>
      <bottom/>
      <diagonal/>
    </border>
    <border>
      <left style="thin">
        <color rgb="FF9CA3AF"/>
      </left>
      <right style="thin">
        <color rgb="FF9CA3AF"/>
      </right>
      <top style="thin">
        <color rgb="FF9CA3AF"/>
      </top>
      <bottom style="thin">
        <color rgb="FF9CA3AF"/>
      </bottom>
      <diagonal/>
    </border>
    <border>
      <left/>
      <right style="thin">
        <color rgb="FF9CA3AF"/>
      </right>
      <top/>
      <bottom style="thin">
        <color rgb="FF9CA3AF"/>
      </bottom>
      <diagonal/>
    </border>
    <border>
      <left/>
      <right style="thin">
        <color rgb="FF9CA3AF"/>
      </right>
      <top style="thin">
        <color rgb="FF9CA3AF"/>
      </top>
      <bottom style="thin">
        <color rgb="FF9CA3AF"/>
      </bottom>
      <diagonal/>
    </border>
    <border>
      <left style="thin">
        <color rgb="FF9CA3AF"/>
      </left>
      <right style="thin">
        <color rgb="FF9CA3AF"/>
      </right>
      <top/>
      <bottom style="thin">
        <color rgb="FF9CA3AF"/>
      </bottom>
      <diagonal/>
    </border>
    <border>
      <left style="thin">
        <color rgb="FF9CA3AF"/>
      </left>
      <right style="thin">
        <color rgb="FF9CA3AF"/>
      </right>
      <top/>
      <bottom/>
      <diagonal/>
    </border>
    <border>
      <left style="thin">
        <color rgb="FF9CA3AF"/>
      </left>
      <right style="thin">
        <color rgb="FF9CA3AF"/>
      </right>
      <top style="thin">
        <color rgb="FF9CA3AF"/>
      </top>
      <bottom/>
      <diagonal/>
    </border>
    <border>
      <left style="medium">
        <color rgb="FF7F7F7F"/>
      </left>
      <right style="thin">
        <color rgb="FFBFBFBF"/>
      </right>
      <top style="medium">
        <color rgb="FF7F7F7F"/>
      </top>
      <bottom style="thin">
        <color rgb="FFBFBFBF"/>
      </bottom>
      <diagonal/>
    </border>
    <border>
      <left style="thin">
        <color rgb="FFBFBFBF"/>
      </left>
      <right style="thin">
        <color rgb="FFBFBFBF"/>
      </right>
      <top style="medium">
        <color rgb="FF7F7F7F"/>
      </top>
      <bottom style="thin">
        <color rgb="FFBFBFBF"/>
      </bottom>
      <diagonal/>
    </border>
    <border>
      <left style="thin">
        <color rgb="FFBFBFBF"/>
      </left>
      <right style="medium">
        <color rgb="FF7F7F7F"/>
      </right>
      <top style="medium">
        <color rgb="FF7F7F7F"/>
      </top>
      <bottom style="thin">
        <color rgb="FFBFBFBF"/>
      </bottom>
      <diagonal/>
    </border>
    <border>
      <left style="medium">
        <color rgb="FF7F7F7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rgb="FF7F7F7F"/>
      </right>
      <top style="thin">
        <color rgb="FFBFBFBF"/>
      </top>
      <bottom style="thin">
        <color rgb="FFBFBFBF"/>
      </bottom>
      <diagonal/>
    </border>
    <border>
      <left style="medium">
        <color rgb="FF7F7F7F"/>
      </left>
      <right style="thin">
        <color rgb="FFBFBFBF"/>
      </right>
      <top style="thin">
        <color rgb="FFBFBFBF"/>
      </top>
      <bottom style="medium">
        <color rgb="FF7F7F7F"/>
      </bottom>
      <diagonal/>
    </border>
    <border>
      <left style="thin">
        <color rgb="FFBFBFBF"/>
      </left>
      <right style="thin">
        <color rgb="FFBFBFBF"/>
      </right>
      <top style="thin">
        <color rgb="FFBFBFBF"/>
      </top>
      <bottom style="medium">
        <color rgb="FF7F7F7F"/>
      </bottom>
      <diagonal/>
    </border>
    <border>
      <left style="thin">
        <color rgb="FFBFBFBF"/>
      </left>
      <right style="medium">
        <color rgb="FF7F7F7F"/>
      </right>
      <top style="thin">
        <color rgb="FFBFBFBF"/>
      </top>
      <bottom style="medium">
        <color rgb="FF7F7F7F"/>
      </bottom>
      <diagonal/>
    </border>
    <border>
      <left style="thin">
        <color rgb="FFBFBFBF"/>
      </left>
      <right/>
      <top style="thin">
        <color rgb="FFBFBFBF"/>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right style="thin">
        <color rgb="FFBFBFBF"/>
      </right>
      <top style="thin">
        <color rgb="FFBFBFBF"/>
      </top>
      <bottom/>
      <diagonal/>
    </border>
    <border>
      <left/>
      <right style="thin">
        <color rgb="FFBFBFBF"/>
      </right>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s>
  <cellStyleXfs count="1">
    <xf numFmtId="0" fontId="0" fillId="0" borderId="0"/>
  </cellStyleXfs>
  <cellXfs count="64">
    <xf numFmtId="0" fontId="0" fillId="0" borderId="0" xfId="0"/>
    <xf numFmtId="0" fontId="1" fillId="0" borderId="0" xfId="0" applyFont="1" applyAlignment="1">
      <alignment vertical="center" wrapText="1"/>
    </xf>
    <xf numFmtId="0" fontId="7" fillId="0" borderId="4" xfId="0" applyFont="1" applyBorder="1" applyAlignment="1">
      <alignment horizontal="left" vertical="center" wrapText="1"/>
    </xf>
    <xf numFmtId="0" fontId="7" fillId="0" borderId="1" xfId="0" applyFont="1" applyBorder="1" applyAlignment="1">
      <alignment horizontal="left" vertical="center" wrapText="1"/>
    </xf>
    <xf numFmtId="0" fontId="7" fillId="0" borderId="5" xfId="0" applyFont="1" applyBorder="1" applyAlignment="1">
      <alignment horizontal="left" vertical="center" wrapText="1"/>
    </xf>
    <xf numFmtId="0" fontId="6" fillId="4" borderId="0" xfId="0" applyFont="1" applyFill="1" applyBorder="1" applyAlignment="1">
      <alignment horizontal="left" vertical="center" wrapText="1"/>
    </xf>
    <xf numFmtId="0" fontId="7" fillId="0" borderId="4" xfId="0" applyFont="1" applyBorder="1" applyAlignment="1">
      <alignment horizontal="left" vertical="center" wrapText="1"/>
    </xf>
    <xf numFmtId="0" fontId="7" fillId="0" borderId="6" xfId="0" applyFont="1" applyBorder="1" applyAlignment="1">
      <alignment horizontal="left" vertical="center" wrapText="1"/>
    </xf>
    <xf numFmtId="0" fontId="7" fillId="0" borderId="2" xfId="0" applyFont="1" applyBorder="1" applyAlignment="1">
      <alignment horizontal="left" vertical="center" wrapText="1"/>
    </xf>
    <xf numFmtId="0" fontId="6" fillId="3" borderId="1" xfId="0" applyFont="1" applyFill="1" applyBorder="1" applyAlignment="1">
      <alignment horizontal="left" vertical="center" wrapText="1"/>
    </xf>
    <xf numFmtId="0" fontId="6" fillId="3" borderId="6" xfId="0" applyFont="1" applyFill="1" applyBorder="1" applyAlignment="1">
      <alignment horizontal="left" vertical="center" wrapText="1"/>
    </xf>
    <xf numFmtId="0" fontId="7" fillId="0" borderId="1" xfId="0" applyFont="1" applyBorder="1" applyAlignment="1">
      <alignment horizontal="left" vertical="center" wrapText="1"/>
    </xf>
    <xf numFmtId="0" fontId="7" fillId="0" borderId="0" xfId="0" applyFont="1" applyBorder="1" applyAlignment="1">
      <alignment horizontal="left" vertical="center" wrapText="1"/>
    </xf>
    <xf numFmtId="0" fontId="7" fillId="0" borderId="0" xfId="0" applyFont="1" applyBorder="1" applyAlignment="1">
      <alignment horizontal="left" vertical="center" wrapText="1"/>
    </xf>
    <xf numFmtId="0" fontId="6" fillId="2" borderId="2" xfId="0" applyFont="1" applyFill="1" applyBorder="1" applyAlignment="1">
      <alignment horizontal="left" vertical="center" wrapText="1"/>
    </xf>
    <xf numFmtId="0" fontId="6" fillId="2" borderId="4" xfId="0" applyFont="1" applyFill="1" applyBorder="1" applyAlignment="1">
      <alignment horizontal="left" vertical="center" wrapText="1"/>
    </xf>
    <xf numFmtId="0" fontId="3" fillId="5" borderId="0" xfId="0" applyFont="1" applyFill="1" applyBorder="1" applyAlignment="1">
      <alignment horizontal="left" vertical="center" wrapText="1"/>
    </xf>
    <xf numFmtId="0" fontId="5" fillId="5" borderId="0" xfId="0" applyFont="1" applyFill="1" applyBorder="1" applyAlignment="1">
      <alignment horizontal="left" vertical="center" wrapText="1"/>
    </xf>
    <xf numFmtId="0" fontId="7" fillId="0" borderId="3" xfId="0" applyFont="1" applyBorder="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6" fillId="7" borderId="0" xfId="0" applyFont="1" applyFill="1" applyBorder="1" applyAlignment="1">
      <alignment horizontal="left" vertical="center" wrapText="1"/>
    </xf>
    <xf numFmtId="0" fontId="6" fillId="7" borderId="10" xfId="0" applyFont="1" applyFill="1" applyBorder="1" applyAlignment="1">
      <alignment horizontal="left" vertical="center" wrapText="1"/>
    </xf>
    <xf numFmtId="0" fontId="6" fillId="7" borderId="11" xfId="0" applyFont="1" applyFill="1" applyBorder="1" applyAlignment="1">
      <alignment horizontal="left" vertical="center" wrapText="1"/>
    </xf>
    <xf numFmtId="0" fontId="6" fillId="7" borderId="12" xfId="0" applyFont="1" applyFill="1" applyBorder="1" applyAlignment="1">
      <alignment horizontal="left" vertical="center" wrapText="1"/>
    </xf>
    <xf numFmtId="0" fontId="4" fillId="6" borderId="7" xfId="0" applyFont="1" applyFill="1" applyBorder="1" applyAlignment="1">
      <alignment horizontal="left" vertical="center" wrapText="1"/>
    </xf>
    <xf numFmtId="0" fontId="4" fillId="6" borderId="8" xfId="0" applyFont="1" applyFill="1" applyBorder="1" applyAlignment="1">
      <alignment horizontal="left" vertical="center" wrapText="1"/>
    </xf>
    <xf numFmtId="9" fontId="7" fillId="0" borderId="14" xfId="0" applyNumberFormat="1" applyFont="1" applyBorder="1" applyAlignment="1">
      <alignment horizontal="left" vertical="center" wrapText="1"/>
    </xf>
    <xf numFmtId="9" fontId="7" fillId="0" borderId="11" xfId="0" applyNumberFormat="1" applyFont="1" applyBorder="1" applyAlignment="1">
      <alignment horizontal="left" vertical="center" wrapText="1"/>
    </xf>
    <xf numFmtId="1" fontId="7" fillId="0" borderId="11" xfId="0" applyNumberFormat="1" applyFont="1" applyBorder="1" applyAlignment="1">
      <alignment horizontal="left" vertical="center" wrapText="1"/>
    </xf>
    <xf numFmtId="168" fontId="7" fillId="0" borderId="11" xfId="0" applyNumberFormat="1" applyFont="1" applyBorder="1" applyAlignment="1">
      <alignment horizontal="left" vertical="center" wrapText="1"/>
    </xf>
    <xf numFmtId="168" fontId="7" fillId="0" borderId="14" xfId="0" applyNumberFormat="1" applyFont="1" applyBorder="1" applyAlignment="1">
      <alignment horizontal="left" vertical="center" wrapText="1"/>
    </xf>
    <xf numFmtId="0" fontId="0" fillId="0" borderId="0" xfId="0" applyAlignment="1">
      <alignment wrapText="1"/>
    </xf>
    <xf numFmtId="0" fontId="2" fillId="5" borderId="0" xfId="0" applyFont="1" applyFill="1" applyBorder="1" applyAlignment="1">
      <alignment horizontal="left" vertical="center" wrapText="1"/>
    </xf>
    <xf numFmtId="0" fontId="4" fillId="6" borderId="9" xfId="0" applyFont="1" applyFill="1" applyBorder="1" applyAlignment="1">
      <alignment horizontal="left" vertical="center" wrapText="1"/>
    </xf>
    <xf numFmtId="174" fontId="7" fillId="0" borderId="11" xfId="0" applyNumberFormat="1" applyFont="1" applyBorder="1" applyAlignment="1">
      <alignment horizontal="left" vertical="center" wrapText="1"/>
    </xf>
    <xf numFmtId="174" fontId="7" fillId="0" borderId="14" xfId="0" applyNumberFormat="1" applyFont="1" applyBorder="1" applyAlignment="1">
      <alignment horizontal="left" vertical="center" wrapText="1"/>
    </xf>
    <xf numFmtId="0" fontId="9" fillId="0" borderId="11" xfId="0" applyFont="1" applyBorder="1" applyAlignment="1">
      <alignment vertical="top" wrapText="1"/>
    </xf>
    <xf numFmtId="0" fontId="9" fillId="0" borderId="21" xfId="0" applyFont="1" applyBorder="1" applyAlignment="1">
      <alignment vertical="top" wrapText="1"/>
    </xf>
    <xf numFmtId="0" fontId="9" fillId="0" borderId="16" xfId="0" applyFont="1" applyBorder="1" applyAlignment="1">
      <alignment vertical="top" wrapText="1"/>
    </xf>
    <xf numFmtId="0" fontId="9" fillId="0" borderId="19" xfId="0" applyFont="1" applyBorder="1" applyAlignment="1">
      <alignment vertical="top" wrapText="1"/>
    </xf>
    <xf numFmtId="0" fontId="9" fillId="0" borderId="22" xfId="0" applyFont="1" applyBorder="1" applyAlignment="1">
      <alignment vertical="top" wrapText="1"/>
    </xf>
    <xf numFmtId="0" fontId="9" fillId="0" borderId="17" xfId="0" applyFont="1" applyBorder="1" applyAlignment="1">
      <alignment vertical="top" wrapText="1"/>
    </xf>
    <xf numFmtId="0" fontId="9" fillId="0" borderId="11" xfId="0" applyFont="1" applyBorder="1" applyAlignment="1">
      <alignment vertical="center" wrapText="1"/>
    </xf>
    <xf numFmtId="0" fontId="9" fillId="0" borderId="23" xfId="0" applyFont="1" applyBorder="1" applyAlignment="1">
      <alignment vertical="center" wrapText="1"/>
    </xf>
    <xf numFmtId="0" fontId="8" fillId="8" borderId="11" xfId="0" applyFont="1" applyFill="1" applyBorder="1" applyAlignment="1">
      <alignment horizontal="center" vertical="center" wrapText="1"/>
    </xf>
    <xf numFmtId="0" fontId="4" fillId="9" borderId="11" xfId="0" applyFont="1" applyFill="1" applyBorder="1" applyAlignment="1">
      <alignment horizontal="center" vertical="center" wrapText="1"/>
    </xf>
    <xf numFmtId="0" fontId="10" fillId="4" borderId="11" xfId="0" applyFont="1" applyFill="1" applyBorder="1" applyAlignment="1">
      <alignment horizontal="left" vertical="center" wrapText="1"/>
    </xf>
    <xf numFmtId="0" fontId="3" fillId="5" borderId="22" xfId="0" applyFont="1" applyFill="1" applyBorder="1" applyAlignment="1">
      <alignment horizontal="left" vertical="center" wrapText="1"/>
    </xf>
    <xf numFmtId="0" fontId="3" fillId="5" borderId="11" xfId="0" applyFont="1" applyFill="1" applyBorder="1" applyAlignment="1">
      <alignment horizontal="left" vertical="center" wrapText="1"/>
    </xf>
    <xf numFmtId="0" fontId="9" fillId="10" borderId="22" xfId="0" applyFont="1" applyFill="1" applyBorder="1" applyAlignment="1">
      <alignment vertical="top" wrapText="1"/>
    </xf>
    <xf numFmtId="0" fontId="4" fillId="11" borderId="20" xfId="0" applyFont="1" applyFill="1" applyBorder="1" applyAlignment="1">
      <alignment horizontal="center" vertical="center" wrapText="1"/>
    </xf>
    <xf numFmtId="0" fontId="4" fillId="11" borderId="23" xfId="0" applyFont="1" applyFill="1" applyBorder="1" applyAlignment="1">
      <alignment horizontal="center" vertical="center" wrapText="1"/>
    </xf>
    <xf numFmtId="0" fontId="4" fillId="11" borderId="18" xfId="0" applyFont="1" applyFill="1" applyBorder="1" applyAlignment="1">
      <alignment horizontal="center" vertical="center" wrapText="1"/>
    </xf>
    <xf numFmtId="0" fontId="11" fillId="0" borderId="16" xfId="0" applyFont="1" applyBorder="1" applyAlignment="1">
      <alignment vertical="top" wrapText="1"/>
    </xf>
    <xf numFmtId="0" fontId="11" fillId="0" borderId="17" xfId="0" applyFont="1" applyBorder="1" applyAlignment="1">
      <alignment vertical="top" wrapText="1"/>
    </xf>
    <xf numFmtId="0" fontId="11" fillId="0" borderId="11" xfId="0" applyFont="1" applyBorder="1" applyAlignment="1">
      <alignment vertical="top" wrapText="1"/>
    </xf>
    <xf numFmtId="0" fontId="11" fillId="0" borderId="22" xfId="0" applyFont="1" applyBorder="1" applyAlignment="1">
      <alignment vertical="top" wrapText="1"/>
    </xf>
    <xf numFmtId="0" fontId="12" fillId="0" borderId="10" xfId="0" applyFont="1" applyBorder="1" applyAlignment="1">
      <alignment horizontal="left" vertical="center" wrapText="1"/>
    </xf>
    <xf numFmtId="0" fontId="12" fillId="0" borderId="13" xfId="0" applyFont="1" applyBorder="1" applyAlignment="1">
      <alignment horizontal="left" vertical="center" wrapText="1"/>
    </xf>
  </cellXfs>
  <cellStyles count="1">
    <cellStyle name="Normal" xfId="0" builtinId="0"/>
  </cellStyles>
  <dxfs count="22">
    <dxf>
      <font>
        <u/>
        <sz val="11"/>
        <color rgb="FF0563C1"/>
        <name val="Calibri"/>
      </font>
      <alignment vertical="top" wrapText="1"/>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u/>
        <sz val="11"/>
        <color rgb="FF0563C1"/>
        <name val="Calibri"/>
      </font>
      <alignment vertical="top" wrapText="1"/>
      <border diagonalUp="0" diagonalDown="0">
        <left style="thin">
          <color rgb="FFBFBFBF"/>
        </left>
        <right/>
        <top style="thin">
          <color rgb="FFBFBFBF"/>
        </top>
        <bottom style="thin">
          <color rgb="FFBFBFBF"/>
        </bottom>
        <vertical style="thin">
          <color rgb="FFBFBFBF"/>
        </vertical>
        <horizontal style="thin">
          <color rgb="FFBFBFBF"/>
        </horizontal>
      </border>
    </dxf>
    <dxf>
      <font>
        <b/>
        <sz val="11"/>
        <color rgb="FFFFFFFF"/>
        <name val="Calibri"/>
      </font>
      <fill>
        <patternFill patternType="solid">
          <fgColor indexed="64"/>
          <bgColor rgb="FF404040"/>
        </patternFill>
      </fill>
      <alignment horizontal="center" vertical="center" wrapText="1"/>
      <border diagonalUp="0" diagonalDown="0">
        <left style="thin">
          <color rgb="FFBFBFBF"/>
        </left>
        <right style="thin">
          <color rgb="FFBFBFBF"/>
        </right>
        <top/>
        <bottom/>
        <vertical style="thin">
          <color rgb="FFBFBFBF"/>
        </vertical>
        <horizontal style="thin">
          <color rgb="FFBFBFBF"/>
        </horizontal>
      </border>
    </dxf>
    <dxf>
      <font>
        <sz val="11"/>
        <color rgb="FF1F1F1F"/>
        <name val="Calibri"/>
      </font>
      <alignment vertical="top" wrapText="1"/>
      <border diagonalUp="0" diagonalDown="0">
        <left style="thin">
          <color rgb="FFBFBFBF"/>
        </left>
        <right/>
        <top style="thin">
          <color rgb="FFBFBFBF"/>
        </top>
        <bottom style="thin">
          <color rgb="FFBFBFBF"/>
        </bottom>
        <vertical style="thin">
          <color rgb="FFBFBFBF"/>
        </vertical>
        <horizontal style="thin">
          <color rgb="FFBFBFBF"/>
        </horizontal>
      </border>
    </dxf>
    <dxf>
      <font>
        <sz val="11"/>
        <color rgb="FF1F1F1F"/>
        <name val="Calibri"/>
      </font>
      <alignment vertical="top" wrapText="1"/>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sz val="11"/>
        <color rgb="FF1F1F1F"/>
        <name val="Calibri"/>
      </font>
      <alignment vertical="top" wrapText="1"/>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sz val="11"/>
        <color rgb="FF1F1F1F"/>
        <name val="Calibri"/>
      </font>
      <alignment vertical="top" wrapText="1"/>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sz val="11"/>
        <color rgb="FF1F1F1F"/>
        <name val="Calibri"/>
      </font>
      <alignment vertical="top" wrapText="1"/>
      <border diagonalUp="0" diagonalDown="0">
        <left/>
        <right style="thin">
          <color rgb="FFBFBFBF"/>
        </right>
        <top style="thin">
          <color rgb="FFBFBFBF"/>
        </top>
        <bottom style="thin">
          <color rgb="FFBFBFBF"/>
        </bottom>
        <vertical style="thin">
          <color rgb="FFBFBFBF"/>
        </vertical>
        <horizontal style="thin">
          <color rgb="FFBFBFBF"/>
        </horizontal>
      </border>
    </dxf>
    <dxf>
      <border>
        <top style="thin">
          <color rgb="FFBFBFBF"/>
        </top>
      </border>
    </dxf>
    <dxf>
      <border>
        <bottom style="thin">
          <color rgb="FFBFBFBF"/>
        </bottom>
      </border>
    </dxf>
    <dxf>
      <border diagonalUp="0" diagonalDown="0">
        <left style="medium">
          <color rgb="FF7F7F7F"/>
        </left>
        <right style="medium">
          <color rgb="FF7F7F7F"/>
        </right>
        <top style="medium">
          <color rgb="FF7F7F7F"/>
        </top>
        <bottom style="medium">
          <color rgb="FF7F7F7F"/>
        </bottom>
      </border>
    </dxf>
    <dxf>
      <font>
        <b/>
        <sz val="11"/>
        <color rgb="FFFFFFFF"/>
        <name val="Calibri"/>
      </font>
      <fill>
        <patternFill patternType="solid">
          <fgColor indexed="64"/>
          <bgColor rgb="FF404040"/>
        </patternFill>
      </fill>
      <alignment horizontal="center" vertical="center" wrapText="1"/>
      <border diagonalUp="0" diagonalDown="0">
        <left style="thin">
          <color rgb="FFBFBFBF"/>
        </left>
        <right style="thin">
          <color rgb="FFBFBFBF"/>
        </right>
        <top/>
        <bottom/>
        <vertical style="thin">
          <color rgb="FFBFBFBF"/>
        </vertical>
        <horizontal style="thin">
          <color rgb="FFBFBFBF"/>
        </horizontal>
      </border>
    </dxf>
    <dxf>
      <font>
        <sz val="11"/>
        <color rgb="FF1F1F1F"/>
        <name val="Calibri"/>
      </font>
      <alignment vertical="top" wrapText="1"/>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sz val="11"/>
        <color rgb="FF1F1F1F"/>
        <name val="Calibri"/>
      </font>
      <alignment vertical="top" wrapText="1"/>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sz val="11"/>
        <color rgb="FF1F1F1F"/>
        <name val="Calibri"/>
      </font>
      <alignment vertical="top" wrapText="1"/>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sz val="11"/>
        <color rgb="FF1F1F1F"/>
        <name val="Calibri"/>
      </font>
      <alignment vertical="top" wrapText="1"/>
      <border diagonalUp="0" diagonalDown="0">
        <left style="thin">
          <color rgb="FFBFBFBF"/>
        </left>
        <right style="thin">
          <color rgb="FFBFBFBF"/>
        </right>
        <top style="thin">
          <color rgb="FFBFBFBF"/>
        </top>
        <bottom style="thin">
          <color rgb="FFBFBFBF"/>
        </bottom>
        <vertical style="thin">
          <color rgb="FFBFBFBF"/>
        </vertical>
        <horizontal style="thin">
          <color rgb="FFBFBFBF"/>
        </horizontal>
      </border>
    </dxf>
    <dxf>
      <font>
        <sz val="11"/>
        <color rgb="FF1F1F1F"/>
        <name val="Calibri"/>
      </font>
      <alignment vertical="top" wrapText="1"/>
      <border diagonalUp="0" diagonalDown="0">
        <left/>
        <right style="thin">
          <color rgb="FFBFBFBF"/>
        </right>
        <top style="thin">
          <color rgb="FFBFBFBF"/>
        </top>
        <bottom style="thin">
          <color rgb="FFBFBFBF"/>
        </bottom>
        <vertical style="thin">
          <color rgb="FFBFBFBF"/>
        </vertical>
        <horizontal style="thin">
          <color rgb="FFBFBFBF"/>
        </horizontal>
      </border>
    </dxf>
    <dxf>
      <border>
        <top style="thin">
          <color rgb="FFBFBFBF"/>
        </top>
      </border>
    </dxf>
    <dxf>
      <border>
        <bottom style="thin">
          <color rgb="FFBFBFBF"/>
        </bottom>
      </border>
    </dxf>
    <dxf>
      <border diagonalUp="0" diagonalDown="0">
        <left style="medium">
          <color rgb="FF7F7F7F"/>
        </left>
        <right style="medium">
          <color rgb="FF7F7F7F"/>
        </right>
        <top style="medium">
          <color rgb="FF7F7F7F"/>
        </top>
        <bottom style="medium">
          <color rgb="FF7F7F7F"/>
        </bottom>
      </border>
    </dxf>
    <dxf>
      <font>
        <sz val="11"/>
        <color rgb="FF1F1F1F"/>
        <name val="Calibri"/>
      </font>
      <alignment vertical="top" wrapText="1"/>
    </dxf>
    <dxf>
      <font>
        <sz val="11"/>
        <color rgb="FF1F1F1F"/>
        <name val="Calibri"/>
      </font>
      <alignment vertical="top" wrapText="1"/>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A929B3-BF70-452F-A3DA-4B43A4B2BB81}" name="UnsupportedOS" displayName="UnsupportedOS" ref="A6:F14" totalsRowShown="0" headerRowDxfId="11" dataDxfId="21" headerRowBorderDxfId="18" tableBorderDxfId="19" totalsRowBorderDxfId="17">
  <autoFilter ref="A6:F14" xr:uid="{3AA929B3-BF70-452F-A3DA-4B43A4B2BB81}"/>
  <tableColumns count="6">
    <tableColumn id="1" xr3:uid="{0477E44B-9708-40ED-BFC9-299176D38ED0}" name="OS Family" dataDxfId="16"/>
    <tableColumn id="2" xr3:uid="{E112A146-704A-49A2-99B2-43A5871CD1E2}" name="Version / Type" dataDxfId="15"/>
    <tableColumn id="3" xr3:uid="{B1218B63-DCEB-471F-8CDB-C15D37B36704}" name="Status" dataDxfId="14"/>
    <tableColumn id="4" xr3:uid="{96FA8235-C2DD-4367-A347-9C660F805A23}" name="Impact on Google Cloud" dataDxfId="13"/>
    <tableColumn id="5" xr3:uid="{CD60C123-D45E-467C-9936-C4CEAA2DE1F0}" name="Recommended Action" dataDxfId="12"/>
    <tableColumn id="6" xr3:uid="{5FFAECFA-85E4-442D-8A95-3EDFC119BEBB}" name="Source (URL)" dataDxfId="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BF521F-CCD7-4B8B-961B-CB39E9427B20}" name="UnsupportedRegions" displayName="UnsupportedRegions" ref="A18:F24" totalsRowShown="0" headerRowDxfId="2" dataDxfId="20" headerRowBorderDxfId="9" tableBorderDxfId="10" totalsRowBorderDxfId="8">
  <autoFilter ref="A18:F24" xr:uid="{A8BF521F-CCD7-4B8B-961B-CB39E9427B20}"/>
  <tableColumns count="6">
    <tableColumn id="1" xr3:uid="{EB63B843-5671-436E-98E9-EF75C4D7D8DC}" name="Location Requested" dataDxfId="7"/>
    <tableColumn id="2" xr3:uid="{8FEEA445-2FDC-44E7-A1DB-7760C41FE63C}" name="Status" dataDxfId="6"/>
    <tableColumn id="3" xr3:uid="{1F8C110E-E660-43EB-BDA4-6F3DFA99A5E9}" name="Nearest GCP Region(s)" dataDxfId="5"/>
    <tableColumn id="4" xr3:uid="{90B1DC9B-C9ED-44A6-B590-0024D0A1ADCB}" name="Design Considerations" dataDxfId="4"/>
    <tableColumn id="5" xr3:uid="{7EE86589-0F59-4CC2-9180-FA2A061D6AF1}" name="Validation Link" dataDxfId="0"/>
    <tableColumn id="6" xr3:uid="{DDF764A1-4074-47B4-A774-87C0B6FF55F2}" name="Notes"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0"/>
  <sheetViews>
    <sheetView showGridLines="0" zoomScaleNormal="100" workbookViewId="0">
      <selection activeCell="A115" sqref="A115"/>
    </sheetView>
  </sheetViews>
  <sheetFormatPr defaultColWidth="8.6328125" defaultRowHeight="14.5" x14ac:dyDescent="0.35"/>
  <cols>
    <col min="1" max="1" width="37.1796875" bestFit="1" customWidth="1"/>
    <col min="2" max="2" width="42.54296875" bestFit="1" customWidth="1"/>
    <col min="3" max="3" width="56.7265625" bestFit="1" customWidth="1"/>
    <col min="4" max="4" width="51.6328125" bestFit="1" customWidth="1"/>
    <col min="5" max="5" width="37.90625" bestFit="1" customWidth="1"/>
    <col min="6" max="6" width="32.81640625" bestFit="1" customWidth="1"/>
  </cols>
  <sheetData>
    <row r="1" spans="1:6" s="36" customFormat="1" ht="38" customHeight="1" x14ac:dyDescent="0.35">
      <c r="A1" s="37" t="s">
        <v>332</v>
      </c>
      <c r="B1" s="37"/>
      <c r="C1" s="37"/>
      <c r="D1" s="37"/>
      <c r="E1" s="37"/>
      <c r="F1" s="37"/>
    </row>
    <row r="2" spans="1:6" s="36" customFormat="1" ht="26" customHeight="1" x14ac:dyDescent="0.35">
      <c r="A2" s="16" t="s">
        <v>333</v>
      </c>
      <c r="B2" s="16"/>
      <c r="C2" s="16"/>
      <c r="D2" s="16"/>
      <c r="E2" s="16"/>
      <c r="F2" s="16"/>
    </row>
    <row r="3" spans="1:6" s="36" customFormat="1" ht="20" customHeight="1" x14ac:dyDescent="0.35">
      <c r="A3" s="17" t="s">
        <v>334</v>
      </c>
      <c r="B3" s="17"/>
      <c r="C3" s="17"/>
      <c r="D3" s="17"/>
      <c r="E3" s="17"/>
      <c r="F3" s="17"/>
    </row>
    <row r="4" spans="1:6" s="36" customFormat="1" ht="18" customHeight="1" x14ac:dyDescent="0.35">
      <c r="A4" s="17" t="s">
        <v>335</v>
      </c>
      <c r="B4" s="17"/>
      <c r="C4" s="17"/>
      <c r="D4" s="17"/>
      <c r="E4" s="17"/>
      <c r="F4" s="17"/>
    </row>
    <row r="5" spans="1:6" s="36" customFormat="1" ht="18" customHeight="1" x14ac:dyDescent="0.35">
      <c r="A5" s="4"/>
      <c r="B5" s="4"/>
      <c r="C5" s="4"/>
      <c r="D5" s="4"/>
      <c r="E5" s="4"/>
      <c r="F5" s="4"/>
    </row>
    <row r="6" spans="1:6" s="36" customFormat="1" ht="18" customHeight="1" x14ac:dyDescent="0.35">
      <c r="A6" s="5" t="s">
        <v>336</v>
      </c>
      <c r="B6" s="5"/>
      <c r="C6" s="5"/>
      <c r="D6" s="5"/>
      <c r="E6" s="5"/>
      <c r="F6" s="5"/>
    </row>
    <row r="7" spans="1:6" s="36" customFormat="1" ht="18" customHeight="1" x14ac:dyDescent="0.35">
      <c r="A7" s="4"/>
      <c r="B7" s="4"/>
      <c r="C7" s="4"/>
      <c r="D7" s="4"/>
      <c r="E7" s="4"/>
      <c r="F7" s="4"/>
    </row>
    <row r="8" spans="1:6" s="36" customFormat="1" ht="18" customHeight="1" x14ac:dyDescent="0.35">
      <c r="A8" s="5" t="s">
        <v>68</v>
      </c>
      <c r="B8" s="5"/>
      <c r="C8" s="5"/>
      <c r="D8" s="5"/>
      <c r="E8" s="5"/>
      <c r="F8" s="5"/>
    </row>
    <row r="9" spans="1:6" s="36" customFormat="1" ht="18" customHeight="1" thickBot="1" x14ac:dyDescent="0.4">
      <c r="A9" s="12" t="s">
        <v>337</v>
      </c>
      <c r="B9" s="12"/>
      <c r="C9" s="12"/>
      <c r="D9" s="12"/>
      <c r="E9" s="12"/>
      <c r="F9" s="12"/>
    </row>
    <row r="10" spans="1:6" s="36" customFormat="1" ht="18" customHeight="1" x14ac:dyDescent="0.35">
      <c r="A10" s="29" t="s">
        <v>338</v>
      </c>
      <c r="B10" s="30" t="s">
        <v>0</v>
      </c>
      <c r="C10" s="30" t="s">
        <v>1</v>
      </c>
      <c r="D10" s="30" t="s">
        <v>2</v>
      </c>
      <c r="E10" s="30" t="s">
        <v>3</v>
      </c>
      <c r="F10" s="38" t="s">
        <v>339</v>
      </c>
    </row>
    <row r="11" spans="1:6" s="36" customFormat="1" ht="18" customHeight="1" x14ac:dyDescent="0.35">
      <c r="A11" s="62" t="s">
        <v>624</v>
      </c>
      <c r="B11" s="20" t="s">
        <v>340</v>
      </c>
      <c r="C11" s="20" t="s">
        <v>341</v>
      </c>
      <c r="D11" s="20" t="s">
        <v>342</v>
      </c>
      <c r="E11" s="20" t="s">
        <v>343</v>
      </c>
      <c r="F11" s="21" t="s">
        <v>344</v>
      </c>
    </row>
    <row r="12" spans="1:6" s="36" customFormat="1" ht="18" customHeight="1" x14ac:dyDescent="0.35">
      <c r="A12" s="62" t="s">
        <v>625</v>
      </c>
      <c r="B12" s="20" t="s">
        <v>345</v>
      </c>
      <c r="C12" s="20" t="s">
        <v>346</v>
      </c>
      <c r="D12" s="20" t="s">
        <v>347</v>
      </c>
      <c r="E12" s="20" t="s">
        <v>348</v>
      </c>
      <c r="F12" s="21" t="s">
        <v>349</v>
      </c>
    </row>
    <row r="13" spans="1:6" s="36" customFormat="1" x14ac:dyDescent="0.35">
      <c r="A13" s="62" t="s">
        <v>626</v>
      </c>
      <c r="B13" s="20" t="s">
        <v>350</v>
      </c>
      <c r="C13" s="20" t="s">
        <v>351</v>
      </c>
      <c r="D13" s="20" t="s">
        <v>352</v>
      </c>
      <c r="E13" s="20" t="s">
        <v>353</v>
      </c>
      <c r="F13" s="21" t="s">
        <v>354</v>
      </c>
    </row>
    <row r="14" spans="1:6" s="36" customFormat="1" x14ac:dyDescent="0.35">
      <c r="A14" s="62" t="s">
        <v>627</v>
      </c>
      <c r="B14" s="20" t="s">
        <v>355</v>
      </c>
      <c r="C14" s="20" t="s">
        <v>356</v>
      </c>
      <c r="D14" s="20" t="s">
        <v>347</v>
      </c>
      <c r="E14" s="20" t="s">
        <v>348</v>
      </c>
      <c r="F14" s="21" t="s">
        <v>357</v>
      </c>
    </row>
    <row r="15" spans="1:6" s="36" customFormat="1" ht="15" thickBot="1" x14ac:dyDescent="0.4">
      <c r="A15" s="63" t="s">
        <v>628</v>
      </c>
      <c r="B15" s="23" t="s">
        <v>358</v>
      </c>
      <c r="C15" s="23" t="s">
        <v>359</v>
      </c>
      <c r="D15" s="23" t="s">
        <v>342</v>
      </c>
      <c r="E15" s="23" t="s">
        <v>343</v>
      </c>
      <c r="F15" s="24" t="s">
        <v>360</v>
      </c>
    </row>
    <row r="16" spans="1:6" s="36" customFormat="1" x14ac:dyDescent="0.35">
      <c r="A16" s="4"/>
      <c r="B16" s="4"/>
      <c r="C16" s="4"/>
      <c r="D16" s="4"/>
      <c r="E16" s="4"/>
      <c r="F16" s="4"/>
    </row>
    <row r="17" spans="1:6" s="36" customFormat="1" ht="15" thickBot="1" x14ac:dyDescent="0.4">
      <c r="A17" s="25" t="s">
        <v>361</v>
      </c>
      <c r="B17" s="25"/>
      <c r="C17" s="25"/>
      <c r="D17" s="25"/>
      <c r="E17" s="25"/>
      <c r="F17" s="25"/>
    </row>
    <row r="18" spans="1:6" s="36" customFormat="1" x14ac:dyDescent="0.35">
      <c r="A18" s="29" t="s">
        <v>362</v>
      </c>
      <c r="B18" s="30" t="s">
        <v>1</v>
      </c>
      <c r="C18" s="30" t="s">
        <v>363</v>
      </c>
      <c r="D18" s="30" t="s">
        <v>364</v>
      </c>
      <c r="E18" s="30" t="s">
        <v>365</v>
      </c>
      <c r="F18" s="38" t="s">
        <v>4</v>
      </c>
    </row>
    <row r="19" spans="1:6" s="36" customFormat="1" x14ac:dyDescent="0.35">
      <c r="A19" s="19" t="s">
        <v>366</v>
      </c>
      <c r="B19" s="20" t="s">
        <v>5</v>
      </c>
      <c r="C19" s="20" t="s">
        <v>367</v>
      </c>
      <c r="D19" s="20" t="s">
        <v>178</v>
      </c>
      <c r="E19" s="20" t="s">
        <v>215</v>
      </c>
      <c r="F19" s="21"/>
    </row>
    <row r="20" spans="1:6" s="36" customFormat="1" x14ac:dyDescent="0.35">
      <c r="A20" s="19" t="s">
        <v>368</v>
      </c>
      <c r="B20" s="20" t="s">
        <v>6</v>
      </c>
      <c r="C20" s="20" t="s">
        <v>369</v>
      </c>
      <c r="D20" s="20" t="s">
        <v>178</v>
      </c>
      <c r="E20" s="20" t="s">
        <v>215</v>
      </c>
      <c r="F20" s="21"/>
    </row>
    <row r="21" spans="1:6" s="36" customFormat="1" x14ac:dyDescent="0.35">
      <c r="A21" s="19" t="s">
        <v>370</v>
      </c>
      <c r="B21" s="20" t="s">
        <v>371</v>
      </c>
      <c r="C21" s="20" t="s">
        <v>372</v>
      </c>
      <c r="D21" s="20" t="s">
        <v>373</v>
      </c>
      <c r="E21" s="20" t="s">
        <v>215</v>
      </c>
      <c r="F21" s="21"/>
    </row>
    <row r="22" spans="1:6" s="36" customFormat="1" x14ac:dyDescent="0.35">
      <c r="A22" s="19" t="s">
        <v>374</v>
      </c>
      <c r="B22" s="20" t="s">
        <v>375</v>
      </c>
      <c r="C22" s="20" t="s">
        <v>376</v>
      </c>
      <c r="D22" s="20" t="s">
        <v>178</v>
      </c>
      <c r="E22" s="20" t="s">
        <v>215</v>
      </c>
      <c r="F22" s="21" t="s">
        <v>377</v>
      </c>
    </row>
    <row r="23" spans="1:6" s="36" customFormat="1" ht="15" thickBot="1" x14ac:dyDescent="0.4">
      <c r="A23" s="22" t="s">
        <v>378</v>
      </c>
      <c r="B23" s="23" t="s">
        <v>379</v>
      </c>
      <c r="C23" s="23" t="s">
        <v>380</v>
      </c>
      <c r="D23" s="23" t="s">
        <v>178</v>
      </c>
      <c r="E23" s="23" t="s">
        <v>215</v>
      </c>
      <c r="F23" s="24"/>
    </row>
    <row r="24" spans="1:6" s="36" customFormat="1" x14ac:dyDescent="0.35">
      <c r="A24" s="4"/>
      <c r="B24" s="4"/>
      <c r="C24" s="4"/>
      <c r="D24" s="4"/>
      <c r="E24" s="4"/>
      <c r="F24" s="4"/>
    </row>
    <row r="25" spans="1:6" s="36" customFormat="1" ht="15" thickBot="1" x14ac:dyDescent="0.4">
      <c r="A25" s="25" t="s">
        <v>381</v>
      </c>
      <c r="B25" s="25"/>
      <c r="C25" s="25"/>
      <c r="D25" s="25"/>
      <c r="E25" s="25"/>
      <c r="F25" s="25"/>
    </row>
    <row r="26" spans="1:6" s="36" customFormat="1" x14ac:dyDescent="0.35">
      <c r="A26" s="29" t="s">
        <v>382</v>
      </c>
      <c r="B26" s="30" t="s">
        <v>1</v>
      </c>
      <c r="C26" s="30" t="s">
        <v>7</v>
      </c>
      <c r="D26" s="30" t="s">
        <v>383</v>
      </c>
      <c r="E26" s="30" t="s">
        <v>384</v>
      </c>
      <c r="F26" s="38" t="s">
        <v>4</v>
      </c>
    </row>
    <row r="27" spans="1:6" s="36" customFormat="1" x14ac:dyDescent="0.35">
      <c r="A27" s="19" t="s">
        <v>11</v>
      </c>
      <c r="B27" s="20" t="s">
        <v>385</v>
      </c>
      <c r="C27" s="20" t="s">
        <v>386</v>
      </c>
      <c r="D27" s="20" t="s">
        <v>12</v>
      </c>
      <c r="E27" s="20"/>
      <c r="F27" s="21"/>
    </row>
    <row r="28" spans="1:6" s="36" customFormat="1" x14ac:dyDescent="0.35">
      <c r="A28" s="19" t="s">
        <v>9</v>
      </c>
      <c r="B28" s="20" t="s">
        <v>387</v>
      </c>
      <c r="C28" s="20" t="s">
        <v>388</v>
      </c>
      <c r="D28" s="20" t="s">
        <v>10</v>
      </c>
      <c r="E28" s="20"/>
      <c r="F28" s="21"/>
    </row>
    <row r="29" spans="1:6" s="36" customFormat="1" x14ac:dyDescent="0.35">
      <c r="A29" s="19" t="s">
        <v>13</v>
      </c>
      <c r="B29" s="20" t="s">
        <v>389</v>
      </c>
      <c r="C29" s="20" t="s">
        <v>386</v>
      </c>
      <c r="D29" s="20" t="s">
        <v>390</v>
      </c>
      <c r="E29" s="20"/>
      <c r="F29" s="21"/>
    </row>
    <row r="30" spans="1:6" s="36" customFormat="1" x14ac:dyDescent="0.35">
      <c r="A30" s="19" t="s">
        <v>14</v>
      </c>
      <c r="B30" s="20" t="s">
        <v>15</v>
      </c>
      <c r="C30" s="20" t="s">
        <v>386</v>
      </c>
      <c r="D30" s="20" t="s">
        <v>390</v>
      </c>
      <c r="E30" s="20"/>
      <c r="F30" s="21"/>
    </row>
    <row r="31" spans="1:6" s="36" customFormat="1" ht="15" thickBot="1" x14ac:dyDescent="0.4">
      <c r="A31" s="22" t="s">
        <v>16</v>
      </c>
      <c r="B31" s="23" t="s">
        <v>17</v>
      </c>
      <c r="C31" s="23" t="s">
        <v>348</v>
      </c>
      <c r="D31" s="23" t="s">
        <v>390</v>
      </c>
      <c r="E31" s="23"/>
      <c r="F31" s="24"/>
    </row>
    <row r="32" spans="1:6" s="36" customFormat="1" x14ac:dyDescent="0.35">
      <c r="A32" s="4"/>
      <c r="B32" s="4"/>
      <c r="C32" s="4"/>
      <c r="D32" s="4"/>
      <c r="E32" s="4"/>
      <c r="F32" s="4"/>
    </row>
    <row r="33" spans="1:6" s="36" customFormat="1" x14ac:dyDescent="0.35">
      <c r="A33" s="5" t="s">
        <v>391</v>
      </c>
      <c r="B33" s="5"/>
      <c r="C33" s="5"/>
      <c r="D33" s="5"/>
      <c r="E33" s="5"/>
      <c r="F33" s="5"/>
    </row>
    <row r="34" spans="1:6" s="36" customFormat="1" x14ac:dyDescent="0.35">
      <c r="A34" s="12" t="s">
        <v>392</v>
      </c>
      <c r="B34" s="12"/>
      <c r="C34" s="12"/>
      <c r="D34" s="12"/>
      <c r="E34" s="12"/>
      <c r="F34" s="12"/>
    </row>
    <row r="35" spans="1:6" s="36" customFormat="1" x14ac:dyDescent="0.35">
      <c r="A35" s="4"/>
      <c r="B35" s="4"/>
      <c r="C35" s="4"/>
      <c r="D35" s="4"/>
      <c r="E35" s="4"/>
      <c r="F35" s="4"/>
    </row>
    <row r="36" spans="1:6" s="36" customFormat="1" ht="15" thickBot="1" x14ac:dyDescent="0.4">
      <c r="A36" s="25" t="s">
        <v>393</v>
      </c>
      <c r="B36" s="25"/>
      <c r="C36" s="25"/>
      <c r="D36" s="25"/>
      <c r="E36" s="25"/>
      <c r="F36" s="25"/>
    </row>
    <row r="37" spans="1:6" s="36" customFormat="1" x14ac:dyDescent="0.35">
      <c r="A37" s="29" t="s">
        <v>394</v>
      </c>
      <c r="B37" s="30" t="s">
        <v>395</v>
      </c>
      <c r="C37" s="30" t="s">
        <v>396</v>
      </c>
      <c r="D37" s="30" t="s">
        <v>397</v>
      </c>
      <c r="E37" s="30" t="s">
        <v>398</v>
      </c>
      <c r="F37" s="38" t="s">
        <v>399</v>
      </c>
    </row>
    <row r="38" spans="1:6" s="36" customFormat="1" x14ac:dyDescent="0.35">
      <c r="A38" s="19" t="s">
        <v>400</v>
      </c>
      <c r="B38" s="20">
        <v>0</v>
      </c>
      <c r="C38" s="20" t="str">
        <f>IF($B$42=0,"",TEXT(B38/$B$42,"0%"))</f>
        <v/>
      </c>
      <c r="D38" s="20" t="s">
        <v>401</v>
      </c>
      <c r="E38" s="20" t="s">
        <v>402</v>
      </c>
      <c r="F38" s="21"/>
    </row>
    <row r="39" spans="1:6" s="36" customFormat="1" x14ac:dyDescent="0.35">
      <c r="A39" s="19" t="s">
        <v>403</v>
      </c>
      <c r="B39" s="20">
        <v>0</v>
      </c>
      <c r="C39" s="20" t="str">
        <f t="shared" ref="C39:C41" si="0">IF($B$42=0,"",TEXT(B39/$B$42,"0%"))</f>
        <v/>
      </c>
      <c r="D39" s="20" t="s">
        <v>404</v>
      </c>
      <c r="E39" s="20" t="s">
        <v>405</v>
      </c>
      <c r="F39" s="21"/>
    </row>
    <row r="40" spans="1:6" s="36" customFormat="1" x14ac:dyDescent="0.35">
      <c r="A40" s="19" t="s">
        <v>406</v>
      </c>
      <c r="B40" s="20">
        <v>0</v>
      </c>
      <c r="C40" s="20" t="str">
        <f t="shared" si="0"/>
        <v/>
      </c>
      <c r="D40" s="20" t="s">
        <v>407</v>
      </c>
      <c r="E40" s="20" t="s">
        <v>408</v>
      </c>
      <c r="F40" s="21"/>
    </row>
    <row r="41" spans="1:6" s="36" customFormat="1" x14ac:dyDescent="0.35">
      <c r="A41" s="19" t="s">
        <v>409</v>
      </c>
      <c r="B41" s="20">
        <v>0</v>
      </c>
      <c r="C41" s="20" t="str">
        <f t="shared" si="0"/>
        <v/>
      </c>
      <c r="D41" s="20" t="s">
        <v>410</v>
      </c>
      <c r="E41" s="20" t="s">
        <v>411</v>
      </c>
      <c r="F41" s="21"/>
    </row>
    <row r="42" spans="1:6" s="36" customFormat="1" ht="15" thickBot="1" x14ac:dyDescent="0.4">
      <c r="A42" s="22" t="s">
        <v>412</v>
      </c>
      <c r="B42" s="23">
        <f>SUM(B38:B41)</f>
        <v>0</v>
      </c>
      <c r="C42" s="31">
        <v>1</v>
      </c>
      <c r="D42" s="23"/>
      <c r="E42" s="23"/>
      <c r="F42" s="24"/>
    </row>
    <row r="43" spans="1:6" s="36" customFormat="1" x14ac:dyDescent="0.35">
      <c r="A43" s="4"/>
      <c r="B43" s="4"/>
      <c r="C43" s="4"/>
      <c r="D43" s="4"/>
      <c r="E43" s="4"/>
      <c r="F43" s="4"/>
    </row>
    <row r="44" spans="1:6" s="36" customFormat="1" ht="15" thickBot="1" x14ac:dyDescent="0.4">
      <c r="A44" s="25" t="s">
        <v>413</v>
      </c>
      <c r="B44" s="25"/>
      <c r="C44" s="25"/>
      <c r="D44" s="25"/>
      <c r="E44" s="25"/>
      <c r="F44" s="25"/>
    </row>
    <row r="45" spans="1:6" s="36" customFormat="1" x14ac:dyDescent="0.35">
      <c r="A45" s="29" t="s">
        <v>414</v>
      </c>
      <c r="B45" s="30" t="s">
        <v>395</v>
      </c>
      <c r="C45" s="30" t="s">
        <v>396</v>
      </c>
      <c r="D45" s="30" t="s">
        <v>415</v>
      </c>
      <c r="E45" s="30" t="s">
        <v>416</v>
      </c>
      <c r="F45" s="38" t="s">
        <v>417</v>
      </c>
    </row>
    <row r="46" spans="1:6" s="36" customFormat="1" x14ac:dyDescent="0.35">
      <c r="A46" s="19" t="s">
        <v>418</v>
      </c>
      <c r="B46" s="20">
        <v>0</v>
      </c>
      <c r="C46" s="20" t="str">
        <f>IF($B$50=0,"",TEXT(B46/$B$50,"0%"))</f>
        <v/>
      </c>
      <c r="D46" s="20" t="s">
        <v>171</v>
      </c>
      <c r="E46" s="20" t="s">
        <v>171</v>
      </c>
      <c r="F46" s="21" t="s">
        <v>410</v>
      </c>
    </row>
    <row r="47" spans="1:6" s="36" customFormat="1" x14ac:dyDescent="0.35">
      <c r="A47" s="19" t="s">
        <v>419</v>
      </c>
      <c r="B47" s="20">
        <v>0</v>
      </c>
      <c r="C47" s="20" t="str">
        <f t="shared" ref="C47:C49" si="1">IF($B$50=0,"",TEXT(B47/$B$50,"0%"))</f>
        <v/>
      </c>
      <c r="D47" s="20"/>
      <c r="E47" s="20"/>
      <c r="F47" s="21" t="s">
        <v>407</v>
      </c>
    </row>
    <row r="48" spans="1:6" s="36" customFormat="1" x14ac:dyDescent="0.35">
      <c r="A48" s="19" t="s">
        <v>420</v>
      </c>
      <c r="B48" s="20">
        <v>0</v>
      </c>
      <c r="C48" s="20" t="str">
        <f t="shared" si="1"/>
        <v/>
      </c>
      <c r="D48" s="20"/>
      <c r="E48" s="20"/>
      <c r="F48" s="21" t="s">
        <v>404</v>
      </c>
    </row>
    <row r="49" spans="1:6" s="36" customFormat="1" x14ac:dyDescent="0.35">
      <c r="A49" s="19" t="s">
        <v>421</v>
      </c>
      <c r="B49" s="20">
        <v>0</v>
      </c>
      <c r="C49" s="20" t="str">
        <f t="shared" si="1"/>
        <v/>
      </c>
      <c r="D49" s="20"/>
      <c r="E49" s="20"/>
      <c r="F49" s="21" t="s">
        <v>401</v>
      </c>
    </row>
    <row r="50" spans="1:6" s="36" customFormat="1" ht="15" thickBot="1" x14ac:dyDescent="0.4">
      <c r="A50" s="22" t="s">
        <v>412</v>
      </c>
      <c r="B50" s="23">
        <f>SUM(B46:B49)</f>
        <v>0</v>
      </c>
      <c r="C50" s="31">
        <v>1</v>
      </c>
      <c r="D50" s="23"/>
      <c r="E50" s="23"/>
      <c r="F50" s="24"/>
    </row>
    <row r="51" spans="1:6" x14ac:dyDescent="0.35">
      <c r="A51" s="4"/>
      <c r="B51" s="4"/>
      <c r="C51" s="4"/>
      <c r="D51" s="4"/>
      <c r="E51" s="4"/>
      <c r="F51" s="4"/>
    </row>
    <row r="52" spans="1:6" ht="15" thickBot="1" x14ac:dyDescent="0.4">
      <c r="A52" s="25" t="s">
        <v>422</v>
      </c>
      <c r="B52" s="25"/>
      <c r="C52" s="25"/>
      <c r="D52" s="25"/>
      <c r="E52" s="25"/>
      <c r="F52" s="25"/>
    </row>
    <row r="53" spans="1:6" x14ac:dyDescent="0.35">
      <c r="A53" s="29" t="s">
        <v>423</v>
      </c>
      <c r="B53" s="30" t="s">
        <v>424</v>
      </c>
      <c r="C53" s="30" t="s">
        <v>395</v>
      </c>
      <c r="D53" s="30" t="s">
        <v>396</v>
      </c>
      <c r="E53" s="30" t="s">
        <v>394</v>
      </c>
      <c r="F53" s="38" t="s">
        <v>365</v>
      </c>
    </row>
    <row r="54" spans="1:6" x14ac:dyDescent="0.35">
      <c r="A54" s="19" t="s">
        <v>358</v>
      </c>
      <c r="B54" s="20">
        <v>2022</v>
      </c>
      <c r="C54" s="20">
        <v>0</v>
      </c>
      <c r="D54" s="20" t="str">
        <f>IF($C$64=0,"",TEXT(C54/$C$64,"0%"))</f>
        <v/>
      </c>
      <c r="E54" s="20" t="s">
        <v>409</v>
      </c>
      <c r="F54" s="21" t="s">
        <v>215</v>
      </c>
    </row>
    <row r="55" spans="1:6" x14ac:dyDescent="0.35">
      <c r="A55" s="19" t="s">
        <v>358</v>
      </c>
      <c r="B55" s="20">
        <v>2019</v>
      </c>
      <c r="C55" s="20">
        <v>0</v>
      </c>
      <c r="D55" s="20" t="str">
        <f t="shared" ref="D55:D63" si="2">IF($C$64=0,"",TEXT(C55/$C$64,"0%"))</f>
        <v/>
      </c>
      <c r="E55" s="20" t="s">
        <v>409</v>
      </c>
      <c r="F55" s="21" t="s">
        <v>215</v>
      </c>
    </row>
    <row r="56" spans="1:6" x14ac:dyDescent="0.35">
      <c r="A56" s="19" t="s">
        <v>358</v>
      </c>
      <c r="B56" s="20">
        <v>2016</v>
      </c>
      <c r="C56" s="20">
        <v>0</v>
      </c>
      <c r="D56" s="20" t="str">
        <f t="shared" si="2"/>
        <v/>
      </c>
      <c r="E56" s="20" t="s">
        <v>425</v>
      </c>
      <c r="F56" s="21" t="s">
        <v>215</v>
      </c>
    </row>
    <row r="57" spans="1:6" x14ac:dyDescent="0.35">
      <c r="A57" s="19" t="s">
        <v>358</v>
      </c>
      <c r="B57" s="20" t="s">
        <v>426</v>
      </c>
      <c r="C57" s="20">
        <v>0</v>
      </c>
      <c r="D57" s="20" t="str">
        <f t="shared" si="2"/>
        <v/>
      </c>
      <c r="E57" s="20" t="s">
        <v>427</v>
      </c>
      <c r="F57" s="21" t="s">
        <v>215</v>
      </c>
    </row>
    <row r="58" spans="1:6" x14ac:dyDescent="0.35">
      <c r="A58" s="19" t="s">
        <v>358</v>
      </c>
      <c r="B58" s="20">
        <v>2012</v>
      </c>
      <c r="C58" s="20">
        <v>0</v>
      </c>
      <c r="D58" s="20" t="str">
        <f t="shared" si="2"/>
        <v/>
      </c>
      <c r="E58" s="20" t="s">
        <v>427</v>
      </c>
      <c r="F58" s="21" t="s">
        <v>215</v>
      </c>
    </row>
    <row r="59" spans="1:6" x14ac:dyDescent="0.35">
      <c r="A59" s="19" t="s">
        <v>358</v>
      </c>
      <c r="B59" s="20" t="s">
        <v>428</v>
      </c>
      <c r="C59" s="20">
        <v>0</v>
      </c>
      <c r="D59" s="20" t="str">
        <f t="shared" si="2"/>
        <v/>
      </c>
      <c r="E59" s="20" t="s">
        <v>429</v>
      </c>
      <c r="F59" s="21" t="s">
        <v>215</v>
      </c>
    </row>
    <row r="60" spans="1:6" x14ac:dyDescent="0.35">
      <c r="A60" s="19" t="s">
        <v>430</v>
      </c>
      <c r="B60" s="20" t="s">
        <v>431</v>
      </c>
      <c r="C60" s="20">
        <v>0</v>
      </c>
      <c r="D60" s="20" t="str">
        <f t="shared" si="2"/>
        <v/>
      </c>
      <c r="E60" s="20" t="s">
        <v>409</v>
      </c>
      <c r="F60" s="21" t="s">
        <v>215</v>
      </c>
    </row>
    <row r="61" spans="1:6" x14ac:dyDescent="0.35">
      <c r="A61" s="19" t="s">
        <v>432</v>
      </c>
      <c r="B61" s="20" t="s">
        <v>433</v>
      </c>
      <c r="C61" s="20">
        <v>0</v>
      </c>
      <c r="D61" s="20" t="str">
        <f t="shared" si="2"/>
        <v/>
      </c>
      <c r="E61" s="20" t="s">
        <v>409</v>
      </c>
      <c r="F61" s="21" t="s">
        <v>215</v>
      </c>
    </row>
    <row r="62" spans="1:6" x14ac:dyDescent="0.35">
      <c r="A62" s="19" t="s">
        <v>434</v>
      </c>
      <c r="B62" s="20" t="s">
        <v>435</v>
      </c>
      <c r="C62" s="20">
        <v>0</v>
      </c>
      <c r="D62" s="20" t="str">
        <f t="shared" si="2"/>
        <v/>
      </c>
      <c r="E62" s="20" t="s">
        <v>409</v>
      </c>
      <c r="F62" s="21" t="s">
        <v>215</v>
      </c>
    </row>
    <row r="63" spans="1:6" x14ac:dyDescent="0.35">
      <c r="A63" s="19" t="s">
        <v>436</v>
      </c>
      <c r="B63" s="20" t="s">
        <v>437</v>
      </c>
      <c r="C63" s="20">
        <v>0</v>
      </c>
      <c r="D63" s="20" t="str">
        <f t="shared" si="2"/>
        <v/>
      </c>
      <c r="E63" s="20" t="s">
        <v>438</v>
      </c>
      <c r="F63" s="21" t="s">
        <v>215</v>
      </c>
    </row>
    <row r="64" spans="1:6" ht="15" thickBot="1" x14ac:dyDescent="0.4">
      <c r="A64" s="22" t="s">
        <v>412</v>
      </c>
      <c r="B64" s="23"/>
      <c r="C64" s="23">
        <f>SUM(C54:C63)</f>
        <v>0</v>
      </c>
      <c r="D64" s="31">
        <v>1</v>
      </c>
      <c r="E64" s="23"/>
      <c r="F64" s="24"/>
    </row>
    <row r="65" spans="1:6" x14ac:dyDescent="0.35">
      <c r="A65" s="4"/>
      <c r="B65" s="4"/>
      <c r="C65" s="4"/>
      <c r="D65" s="4"/>
      <c r="E65" s="4"/>
      <c r="F65" s="4"/>
    </row>
    <row r="66" spans="1:6" ht="15" thickBot="1" x14ac:dyDescent="0.4">
      <c r="A66" s="25" t="s">
        <v>439</v>
      </c>
      <c r="B66" s="25"/>
      <c r="C66" s="25"/>
      <c r="D66" s="25"/>
      <c r="E66" s="25"/>
      <c r="F66" s="25"/>
    </row>
    <row r="67" spans="1:6" x14ac:dyDescent="0.35">
      <c r="A67" s="29" t="s">
        <v>22</v>
      </c>
      <c r="B67" s="30" t="s">
        <v>440</v>
      </c>
      <c r="C67" s="30" t="s">
        <v>25</v>
      </c>
      <c r="D67" s="38" t="s">
        <v>4</v>
      </c>
      <c r="E67" s="14"/>
      <c r="F67" s="15"/>
    </row>
    <row r="68" spans="1:6" x14ac:dyDescent="0.35">
      <c r="A68" s="19" t="s">
        <v>441</v>
      </c>
      <c r="B68" s="20">
        <f>B50</f>
        <v>0</v>
      </c>
      <c r="C68" s="20" t="str">
        <f>IF(B68&gt;0,"✅ Discovered","⏳ Pending")</f>
        <v>⏳ Pending</v>
      </c>
      <c r="D68" s="21" t="s">
        <v>442</v>
      </c>
      <c r="E68" s="18"/>
      <c r="F68" s="3"/>
    </row>
    <row r="69" spans="1:6" x14ac:dyDescent="0.35">
      <c r="A69" s="19" t="s">
        <v>443</v>
      </c>
      <c r="B69" s="20">
        <f>B38</f>
        <v>0</v>
      </c>
      <c r="C69" s="20" t="str">
        <f>IF(B69&gt;0,"🔴 Action Required","🟢 OK")</f>
        <v>🟢 OK</v>
      </c>
      <c r="D69" s="21" t="s">
        <v>444</v>
      </c>
      <c r="E69" s="18"/>
      <c r="F69" s="3"/>
    </row>
    <row r="70" spans="1:6" x14ac:dyDescent="0.35">
      <c r="A70" s="19" t="s">
        <v>445</v>
      </c>
      <c r="B70" s="20">
        <f>B46</f>
        <v>0</v>
      </c>
      <c r="C70" s="20" t="str">
        <f>IF(B70&gt;0,"🟢 Ready","🟡 Pending")</f>
        <v>🟡 Pending</v>
      </c>
      <c r="D70" s="21" t="s">
        <v>446</v>
      </c>
      <c r="E70" s="18"/>
      <c r="F70" s="3"/>
    </row>
    <row r="71" spans="1:6" x14ac:dyDescent="0.35">
      <c r="A71" s="19" t="s">
        <v>447</v>
      </c>
      <c r="B71" s="20">
        <f>B49</f>
        <v>0</v>
      </c>
      <c r="C71" s="20" t="str">
        <f>IF(B71&gt;0,"🔴 Blockers Exist","🟢 OK")</f>
        <v>🟢 OK</v>
      </c>
      <c r="D71" s="21" t="s">
        <v>448</v>
      </c>
      <c r="E71" s="18"/>
      <c r="F71" s="3"/>
    </row>
    <row r="72" spans="1:6" ht="15" thickBot="1" x14ac:dyDescent="0.4">
      <c r="A72" s="22" t="s">
        <v>449</v>
      </c>
      <c r="B72" s="31">
        <f>IF($B$50=0,0,($B$46+$B$47)/$B$50)</f>
        <v>0</v>
      </c>
      <c r="C72" s="23" t="str">
        <f>IF($B$50=0,"⏳ Pending",IF(B72&gt;=0.8,"🟢 High Readiness",IF(B72&gt;=0.5,"🟡 Medium Readiness","🔴 Low Readiness")))</f>
        <v>⏳ Pending</v>
      </c>
      <c r="D72" s="24" t="s">
        <v>450</v>
      </c>
      <c r="E72" s="18"/>
      <c r="F72" s="3"/>
    </row>
    <row r="73" spans="1:6" x14ac:dyDescent="0.35">
      <c r="A73" s="4"/>
      <c r="B73" s="4"/>
      <c r="C73" s="4"/>
      <c r="D73" s="4"/>
      <c r="E73" s="7"/>
      <c r="F73" s="7"/>
    </row>
    <row r="74" spans="1:6" x14ac:dyDescent="0.35">
      <c r="A74" s="5" t="s">
        <v>77</v>
      </c>
      <c r="B74" s="5"/>
      <c r="C74" s="5"/>
      <c r="D74" s="5"/>
      <c r="E74" s="5"/>
      <c r="F74" s="5"/>
    </row>
    <row r="75" spans="1:6" x14ac:dyDescent="0.35">
      <c r="A75" s="12" t="s">
        <v>451</v>
      </c>
      <c r="B75" s="12"/>
      <c r="C75" s="12"/>
      <c r="D75" s="12"/>
      <c r="E75" s="12"/>
      <c r="F75" s="12"/>
    </row>
    <row r="76" spans="1:6" ht="15" thickBot="1" x14ac:dyDescent="0.4">
      <c r="A76" s="12" t="s">
        <v>452</v>
      </c>
      <c r="B76" s="12"/>
      <c r="C76" s="12"/>
      <c r="D76" s="12"/>
      <c r="E76" s="12"/>
      <c r="F76" s="12"/>
    </row>
    <row r="77" spans="1:6" x14ac:dyDescent="0.35">
      <c r="A77" s="29" t="s">
        <v>453</v>
      </c>
      <c r="B77" s="30" t="s">
        <v>158</v>
      </c>
      <c r="C77" s="30" t="s">
        <v>159</v>
      </c>
      <c r="D77" s="30" t="s">
        <v>160</v>
      </c>
      <c r="E77" s="30" t="s">
        <v>18</v>
      </c>
      <c r="F77" s="38" t="s">
        <v>20</v>
      </c>
    </row>
    <row r="78" spans="1:6" x14ac:dyDescent="0.35">
      <c r="A78" s="19" t="s">
        <v>454</v>
      </c>
      <c r="B78" s="39">
        <v>0</v>
      </c>
      <c r="C78" s="39">
        <v>0</v>
      </c>
      <c r="D78" s="39">
        <v>0</v>
      </c>
      <c r="E78" s="20"/>
      <c r="F78" s="21"/>
    </row>
    <row r="79" spans="1:6" x14ac:dyDescent="0.35">
      <c r="A79" s="19" t="s">
        <v>455</v>
      </c>
      <c r="B79" s="39">
        <v>0</v>
      </c>
      <c r="C79" s="39">
        <v>0</v>
      </c>
      <c r="D79" s="39">
        <v>0</v>
      </c>
      <c r="E79" s="20"/>
      <c r="F79" s="21"/>
    </row>
    <row r="80" spans="1:6" x14ac:dyDescent="0.35">
      <c r="A80" s="19" t="s">
        <v>456</v>
      </c>
      <c r="B80" s="39">
        <v>0</v>
      </c>
      <c r="C80" s="39">
        <v>0</v>
      </c>
      <c r="D80" s="39">
        <v>0</v>
      </c>
      <c r="E80" s="20"/>
      <c r="F80" s="21"/>
    </row>
    <row r="81" spans="1:6" x14ac:dyDescent="0.35">
      <c r="A81" s="19" t="s">
        <v>457</v>
      </c>
      <c r="B81" s="39">
        <v>0</v>
      </c>
      <c r="C81" s="39">
        <v>0</v>
      </c>
      <c r="D81" s="39">
        <v>0</v>
      </c>
      <c r="E81" s="20"/>
      <c r="F81" s="21"/>
    </row>
    <row r="82" spans="1:6" x14ac:dyDescent="0.35">
      <c r="A82" s="19" t="s">
        <v>458</v>
      </c>
      <c r="B82" s="39">
        <v>0</v>
      </c>
      <c r="C82" s="39">
        <v>0</v>
      </c>
      <c r="D82" s="39">
        <v>0</v>
      </c>
      <c r="E82" s="20"/>
      <c r="F82" s="21"/>
    </row>
    <row r="83" spans="1:6" x14ac:dyDescent="0.35">
      <c r="A83" s="19" t="s">
        <v>459</v>
      </c>
      <c r="B83" s="39">
        <v>0</v>
      </c>
      <c r="C83" s="39">
        <v>0</v>
      </c>
      <c r="D83" s="39">
        <v>0</v>
      </c>
      <c r="E83" s="20"/>
      <c r="F83" s="21"/>
    </row>
    <row r="84" spans="1:6" x14ac:dyDescent="0.35">
      <c r="A84" s="19" t="s">
        <v>460</v>
      </c>
      <c r="B84" s="39">
        <v>0</v>
      </c>
      <c r="C84" s="39">
        <v>0</v>
      </c>
      <c r="D84" s="39">
        <v>0</v>
      </c>
      <c r="E84" s="20"/>
      <c r="F84" s="21"/>
    </row>
    <row r="85" spans="1:6" x14ac:dyDescent="0.35">
      <c r="A85" s="19" t="s">
        <v>461</v>
      </c>
      <c r="B85" s="39">
        <v>0</v>
      </c>
      <c r="C85" s="39">
        <v>0</v>
      </c>
      <c r="D85" s="39">
        <v>0</v>
      </c>
      <c r="E85" s="20"/>
      <c r="F85" s="21"/>
    </row>
    <row r="86" spans="1:6" x14ac:dyDescent="0.35">
      <c r="A86" s="19" t="s">
        <v>19</v>
      </c>
      <c r="B86" s="20"/>
      <c r="C86" s="20"/>
      <c r="D86" s="20"/>
      <c r="E86" s="20"/>
      <c r="F86" s="21"/>
    </row>
    <row r="87" spans="1:6" x14ac:dyDescent="0.35">
      <c r="A87" s="19" t="s">
        <v>462</v>
      </c>
      <c r="B87" s="20"/>
      <c r="C87" s="20"/>
      <c r="D87" s="20"/>
      <c r="E87" s="20"/>
      <c r="F87" s="21"/>
    </row>
    <row r="88" spans="1:6" ht="15" thickBot="1" x14ac:dyDescent="0.4">
      <c r="A88" s="22" t="s">
        <v>463</v>
      </c>
      <c r="B88" s="23"/>
      <c r="C88" s="23"/>
      <c r="D88" s="23"/>
      <c r="E88" s="23"/>
      <c r="F88" s="24"/>
    </row>
    <row r="89" spans="1:6" x14ac:dyDescent="0.35">
      <c r="A89" s="4"/>
      <c r="B89" s="4"/>
      <c r="C89" s="4"/>
      <c r="D89" s="4"/>
      <c r="E89" s="4"/>
      <c r="F89" s="4"/>
    </row>
    <row r="90" spans="1:6" ht="15" thickBot="1" x14ac:dyDescent="0.4">
      <c r="A90" s="25" t="s">
        <v>464</v>
      </c>
      <c r="B90" s="25"/>
      <c r="C90" s="25"/>
      <c r="D90" s="25"/>
      <c r="E90" s="25"/>
      <c r="F90" s="25"/>
    </row>
    <row r="91" spans="1:6" x14ac:dyDescent="0.35">
      <c r="A91" s="29" t="s">
        <v>465</v>
      </c>
      <c r="B91" s="30" t="s">
        <v>466</v>
      </c>
      <c r="C91" s="38" t="s">
        <v>467</v>
      </c>
      <c r="D91" s="8"/>
      <c r="E91" s="2"/>
      <c r="F91" s="2"/>
    </row>
    <row r="92" spans="1:6" ht="15" thickBot="1" x14ac:dyDescent="0.4">
      <c r="A92" s="22" t="s">
        <v>468</v>
      </c>
      <c r="B92" s="23" t="s">
        <v>468</v>
      </c>
      <c r="C92" s="24" t="s">
        <v>469</v>
      </c>
      <c r="D92" s="18"/>
      <c r="E92" s="3"/>
      <c r="F92" s="3"/>
    </row>
    <row r="93" spans="1:6" x14ac:dyDescent="0.35">
      <c r="A93" s="4"/>
      <c r="B93" s="4"/>
      <c r="C93" s="4"/>
      <c r="D93" s="7"/>
      <c r="E93" s="7"/>
      <c r="F93" s="7"/>
    </row>
    <row r="94" spans="1:6" x14ac:dyDescent="0.35">
      <c r="A94" s="5" t="s">
        <v>83</v>
      </c>
      <c r="B94" s="5"/>
      <c r="C94" s="5"/>
      <c r="D94" s="5"/>
      <c r="E94" s="5"/>
      <c r="F94" s="5"/>
    </row>
    <row r="95" spans="1:6" x14ac:dyDescent="0.35">
      <c r="A95" s="12" t="s">
        <v>84</v>
      </c>
      <c r="B95" s="12"/>
      <c r="C95" s="12"/>
      <c r="D95" s="12"/>
      <c r="E95" s="12"/>
      <c r="F95" s="12"/>
    </row>
    <row r="96" spans="1:6" x14ac:dyDescent="0.35">
      <c r="A96" s="4"/>
      <c r="B96" s="4"/>
      <c r="C96" s="4"/>
      <c r="D96" s="4"/>
      <c r="E96" s="4"/>
      <c r="F96" s="4"/>
    </row>
    <row r="97" spans="1:6" ht="15" thickBot="1" x14ac:dyDescent="0.4">
      <c r="A97" s="25" t="s">
        <v>470</v>
      </c>
      <c r="B97" s="25"/>
      <c r="C97" s="25"/>
      <c r="D97" s="25"/>
      <c r="E97" s="25"/>
      <c r="F97" s="25"/>
    </row>
    <row r="98" spans="1:6" x14ac:dyDescent="0.35">
      <c r="A98" s="29" t="s">
        <v>471</v>
      </c>
      <c r="B98" s="30" t="s">
        <v>472</v>
      </c>
      <c r="C98" s="30" t="s">
        <v>473</v>
      </c>
      <c r="D98" s="30" t="s">
        <v>474</v>
      </c>
      <c r="E98" s="30" t="s">
        <v>475</v>
      </c>
      <c r="F98" s="38" t="s">
        <v>4</v>
      </c>
    </row>
    <row r="99" spans="1:6" x14ac:dyDescent="0.35">
      <c r="A99" s="19" t="s">
        <v>169</v>
      </c>
      <c r="B99" s="39">
        <v>0</v>
      </c>
      <c r="C99" s="39">
        <v>0</v>
      </c>
      <c r="D99" s="39">
        <v>0</v>
      </c>
      <c r="E99" s="32" t="s">
        <v>476</v>
      </c>
      <c r="F99" s="21" t="s">
        <v>477</v>
      </c>
    </row>
    <row r="100" spans="1:6" x14ac:dyDescent="0.35">
      <c r="A100" s="19" t="s">
        <v>478</v>
      </c>
      <c r="B100" s="39">
        <v>0</v>
      </c>
      <c r="C100" s="39">
        <v>0</v>
      </c>
      <c r="D100" s="39">
        <v>0</v>
      </c>
      <c r="E100" s="32" t="str">
        <f>IF($B$99=0,"—",TEXT(($B$99-B100)/$B$99,"0%"))</f>
        <v>—</v>
      </c>
      <c r="F100" s="21" t="s">
        <v>479</v>
      </c>
    </row>
    <row r="101" spans="1:6" x14ac:dyDescent="0.35">
      <c r="A101" s="19" t="s">
        <v>480</v>
      </c>
      <c r="B101" s="39">
        <v>0</v>
      </c>
      <c r="C101" s="39">
        <v>0</v>
      </c>
      <c r="D101" s="39">
        <v>0</v>
      </c>
      <c r="E101" s="32" t="str">
        <f t="shared" ref="E101:E103" si="3">IF($B$99=0,"—",TEXT(($B$99-B101)/$B$99,"0%"))</f>
        <v>—</v>
      </c>
      <c r="F101" s="21" t="s">
        <v>481</v>
      </c>
    </row>
    <row r="102" spans="1:6" x14ac:dyDescent="0.35">
      <c r="A102" s="19" t="s">
        <v>482</v>
      </c>
      <c r="B102" s="39">
        <v>0</v>
      </c>
      <c r="C102" s="39">
        <v>0</v>
      </c>
      <c r="D102" s="39">
        <v>0</v>
      </c>
      <c r="E102" s="32" t="str">
        <f t="shared" si="3"/>
        <v>—</v>
      </c>
      <c r="F102" s="21" t="s">
        <v>483</v>
      </c>
    </row>
    <row r="103" spans="1:6" ht="15" thickBot="1" x14ac:dyDescent="0.4">
      <c r="A103" s="22" t="s">
        <v>484</v>
      </c>
      <c r="B103" s="40">
        <v>0</v>
      </c>
      <c r="C103" s="40">
        <v>0</v>
      </c>
      <c r="D103" s="40">
        <v>0</v>
      </c>
      <c r="E103" s="31" t="str">
        <f t="shared" si="3"/>
        <v>—</v>
      </c>
      <c r="F103" s="24" t="s">
        <v>485</v>
      </c>
    </row>
    <row r="104" spans="1:6" x14ac:dyDescent="0.35">
      <c r="A104" s="4"/>
      <c r="B104" s="4"/>
      <c r="C104" s="4"/>
      <c r="D104" s="4"/>
      <c r="E104" s="4"/>
      <c r="F104" s="4"/>
    </row>
    <row r="105" spans="1:6" ht="15" thickBot="1" x14ac:dyDescent="0.4">
      <c r="A105" s="25" t="s">
        <v>486</v>
      </c>
      <c r="B105" s="25"/>
      <c r="C105" s="25"/>
      <c r="D105" s="25"/>
      <c r="E105" s="25"/>
      <c r="F105" s="25"/>
    </row>
    <row r="106" spans="1:6" x14ac:dyDescent="0.35">
      <c r="A106" s="29" t="s">
        <v>487</v>
      </c>
      <c r="B106" s="30" t="s">
        <v>488</v>
      </c>
      <c r="C106" s="30" t="s">
        <v>489</v>
      </c>
      <c r="D106" s="30" t="s">
        <v>490</v>
      </c>
      <c r="E106" s="30" t="s">
        <v>491</v>
      </c>
      <c r="F106" s="38" t="s">
        <v>4</v>
      </c>
    </row>
    <row r="107" spans="1:6" x14ac:dyDescent="0.35">
      <c r="A107" s="19" t="s">
        <v>492</v>
      </c>
      <c r="B107" s="39">
        <v>0</v>
      </c>
      <c r="C107" s="20"/>
      <c r="D107" s="39">
        <v>0</v>
      </c>
      <c r="E107" s="39">
        <v>0</v>
      </c>
      <c r="F107" s="21" t="s">
        <v>493</v>
      </c>
    </row>
    <row r="108" spans="1:6" x14ac:dyDescent="0.35">
      <c r="A108" s="19" t="s">
        <v>494</v>
      </c>
      <c r="B108" s="39">
        <v>0</v>
      </c>
      <c r="C108" s="20"/>
      <c r="D108" s="39">
        <v>0</v>
      </c>
      <c r="E108" s="39">
        <v>0</v>
      </c>
      <c r="F108" s="21" t="s">
        <v>495</v>
      </c>
    </row>
    <row r="109" spans="1:6" x14ac:dyDescent="0.35">
      <c r="A109" s="19" t="s">
        <v>496</v>
      </c>
      <c r="B109" s="39">
        <v>0</v>
      </c>
      <c r="C109" s="20"/>
      <c r="D109" s="39">
        <v>0</v>
      </c>
      <c r="E109" s="39">
        <v>0</v>
      </c>
      <c r="F109" s="21" t="s">
        <v>497</v>
      </c>
    </row>
    <row r="110" spans="1:6" x14ac:dyDescent="0.35">
      <c r="A110" s="19" t="s">
        <v>498</v>
      </c>
      <c r="B110" s="39">
        <v>0</v>
      </c>
      <c r="C110" s="20"/>
      <c r="D110" s="39">
        <v>0</v>
      </c>
      <c r="E110" s="39">
        <v>0</v>
      </c>
      <c r="F110" s="21" t="s">
        <v>499</v>
      </c>
    </row>
    <row r="111" spans="1:6" ht="15" thickBot="1" x14ac:dyDescent="0.4">
      <c r="A111" s="22" t="s">
        <v>500</v>
      </c>
      <c r="B111" s="40">
        <v>0</v>
      </c>
      <c r="C111" s="23"/>
      <c r="D111" s="40">
        <v>0</v>
      </c>
      <c r="E111" s="40">
        <v>0</v>
      </c>
      <c r="F111" s="24"/>
    </row>
    <row r="112" spans="1:6" x14ac:dyDescent="0.35">
      <c r="A112" s="4"/>
      <c r="B112" s="4"/>
      <c r="C112" s="4"/>
      <c r="D112" s="4"/>
      <c r="E112" s="4"/>
      <c r="F112" s="4"/>
    </row>
    <row r="113" spans="1:6" ht="15" thickBot="1" x14ac:dyDescent="0.4">
      <c r="A113" s="25" t="s">
        <v>501</v>
      </c>
      <c r="B113" s="25"/>
      <c r="C113" s="25"/>
      <c r="D113" s="25"/>
      <c r="E113" s="25"/>
      <c r="F113" s="25"/>
    </row>
    <row r="114" spans="1:6" x14ac:dyDescent="0.35">
      <c r="A114" s="29" t="s">
        <v>502</v>
      </c>
      <c r="B114" s="30" t="s">
        <v>472</v>
      </c>
      <c r="C114" s="30" t="s">
        <v>473</v>
      </c>
      <c r="D114" s="30" t="s">
        <v>503</v>
      </c>
      <c r="E114" s="30" t="s">
        <v>23</v>
      </c>
      <c r="F114" s="38" t="s">
        <v>504</v>
      </c>
    </row>
    <row r="115" spans="1:6" ht="15" thickBot="1" x14ac:dyDescent="0.4">
      <c r="A115" s="22" t="s">
        <v>505</v>
      </c>
      <c r="B115" s="40">
        <v>0</v>
      </c>
      <c r="C115" s="40">
        <v>0</v>
      </c>
      <c r="D115" s="40">
        <v>0</v>
      </c>
      <c r="E115" s="23"/>
      <c r="F115" s="24" t="s">
        <v>506</v>
      </c>
    </row>
    <row r="116" spans="1:6" x14ac:dyDescent="0.35">
      <c r="A116" s="4"/>
      <c r="B116" s="4"/>
      <c r="C116" s="4"/>
      <c r="D116" s="4"/>
      <c r="E116" s="4"/>
      <c r="F116" s="4"/>
    </row>
    <row r="117" spans="1:6" x14ac:dyDescent="0.35">
      <c r="A117" s="5" t="s">
        <v>89</v>
      </c>
      <c r="B117" s="5"/>
      <c r="C117" s="5"/>
      <c r="D117" s="5"/>
      <c r="E117" s="5"/>
      <c r="F117" s="5"/>
    </row>
    <row r="118" spans="1:6" x14ac:dyDescent="0.35">
      <c r="A118" s="12" t="s">
        <v>90</v>
      </c>
      <c r="B118" s="12"/>
      <c r="C118" s="12"/>
      <c r="D118" s="12"/>
      <c r="E118" s="12"/>
      <c r="F118" s="12"/>
    </row>
    <row r="119" spans="1:6" ht="15" thickBot="1" x14ac:dyDescent="0.4">
      <c r="A119" s="4"/>
      <c r="B119" s="4"/>
      <c r="C119" s="4"/>
      <c r="D119" s="4"/>
      <c r="E119" s="4"/>
      <c r="F119" s="4"/>
    </row>
    <row r="120" spans="1:6" x14ac:dyDescent="0.35">
      <c r="A120" s="29" t="s">
        <v>507</v>
      </c>
      <c r="B120" s="30" t="s">
        <v>24</v>
      </c>
      <c r="C120" s="30" t="s">
        <v>508</v>
      </c>
      <c r="D120" s="30" t="s">
        <v>8</v>
      </c>
      <c r="E120" s="30" t="s">
        <v>509</v>
      </c>
      <c r="F120" s="38" t="s">
        <v>4</v>
      </c>
    </row>
    <row r="121" spans="1:6" x14ac:dyDescent="0.35">
      <c r="A121" s="19" t="s">
        <v>125</v>
      </c>
      <c r="B121" s="20" t="s">
        <v>126</v>
      </c>
      <c r="C121" s="20" t="s">
        <v>510</v>
      </c>
      <c r="D121" s="20" t="s">
        <v>511</v>
      </c>
      <c r="E121" s="20"/>
      <c r="F121" s="21" t="s">
        <v>512</v>
      </c>
    </row>
    <row r="122" spans="1:6" x14ac:dyDescent="0.35">
      <c r="A122" s="19" t="s">
        <v>128</v>
      </c>
      <c r="B122" s="20" t="s">
        <v>129</v>
      </c>
      <c r="C122" s="20" t="s">
        <v>513</v>
      </c>
      <c r="D122" s="20" t="s">
        <v>514</v>
      </c>
      <c r="E122" s="20"/>
      <c r="F122" s="21"/>
    </row>
    <row r="123" spans="1:6" x14ac:dyDescent="0.35">
      <c r="A123" s="19" t="s">
        <v>515</v>
      </c>
      <c r="B123" s="20" t="s">
        <v>29</v>
      </c>
      <c r="C123" s="20" t="s">
        <v>516</v>
      </c>
      <c r="D123" s="20" t="s">
        <v>514</v>
      </c>
      <c r="E123" s="20"/>
      <c r="F123" s="21"/>
    </row>
    <row r="124" spans="1:6" x14ac:dyDescent="0.35">
      <c r="A124" s="19" t="s">
        <v>26</v>
      </c>
      <c r="B124" s="20" t="s">
        <v>517</v>
      </c>
      <c r="C124" s="20" t="s">
        <v>518</v>
      </c>
      <c r="D124" s="20" t="s">
        <v>519</v>
      </c>
      <c r="E124" s="20"/>
      <c r="F124" s="21" t="s">
        <v>520</v>
      </c>
    </row>
    <row r="125" spans="1:6" x14ac:dyDescent="0.35">
      <c r="A125" s="19" t="s">
        <v>27</v>
      </c>
      <c r="B125" s="20" t="s">
        <v>28</v>
      </c>
      <c r="C125" s="20" t="s">
        <v>521</v>
      </c>
      <c r="D125" s="20" t="s">
        <v>522</v>
      </c>
      <c r="E125" s="20"/>
      <c r="F125" s="21" t="s">
        <v>523</v>
      </c>
    </row>
    <row r="126" spans="1:6" ht="15" thickBot="1" x14ac:dyDescent="0.4">
      <c r="A126" s="22" t="s">
        <v>133</v>
      </c>
      <c r="B126" s="23" t="s">
        <v>524</v>
      </c>
      <c r="C126" s="23" t="s">
        <v>510</v>
      </c>
      <c r="D126" s="23" t="s">
        <v>511</v>
      </c>
      <c r="E126" s="23"/>
      <c r="F126" s="24" t="s">
        <v>525</v>
      </c>
    </row>
    <row r="127" spans="1:6" x14ac:dyDescent="0.35">
      <c r="A127" s="4"/>
      <c r="B127" s="4"/>
      <c r="C127" s="4"/>
      <c r="D127" s="4"/>
      <c r="E127" s="4"/>
      <c r="F127" s="4"/>
    </row>
    <row r="128" spans="1:6" x14ac:dyDescent="0.35">
      <c r="A128" s="5" t="s">
        <v>93</v>
      </c>
      <c r="B128" s="5"/>
      <c r="C128" s="5"/>
      <c r="D128" s="5"/>
      <c r="E128" s="5"/>
      <c r="F128" s="5"/>
    </row>
    <row r="129" spans="1:6" x14ac:dyDescent="0.35">
      <c r="A129" s="12" t="s">
        <v>526</v>
      </c>
      <c r="B129" s="12"/>
      <c r="C129" s="12"/>
      <c r="D129" s="12"/>
      <c r="E129" s="12"/>
      <c r="F129" s="12"/>
    </row>
    <row r="130" spans="1:6" ht="15" thickBot="1" x14ac:dyDescent="0.4">
      <c r="A130" s="4"/>
      <c r="B130" s="4"/>
      <c r="C130" s="4"/>
      <c r="D130" s="4"/>
      <c r="E130" s="4"/>
      <c r="F130" s="4"/>
    </row>
    <row r="131" spans="1:6" x14ac:dyDescent="0.35">
      <c r="A131" s="29" t="s">
        <v>527</v>
      </c>
      <c r="B131" s="30" t="s">
        <v>30</v>
      </c>
      <c r="C131" s="30" t="s">
        <v>31</v>
      </c>
      <c r="D131" s="30" t="s">
        <v>32</v>
      </c>
      <c r="E131" s="30" t="s">
        <v>528</v>
      </c>
      <c r="F131" s="38" t="s">
        <v>529</v>
      </c>
    </row>
    <row r="132" spans="1:6" x14ac:dyDescent="0.35">
      <c r="A132" s="19" t="s">
        <v>33</v>
      </c>
      <c r="B132" s="32">
        <v>0.25</v>
      </c>
      <c r="C132" s="33">
        <v>0</v>
      </c>
      <c r="D132" s="34">
        <f>B132*C132</f>
        <v>0</v>
      </c>
      <c r="E132" s="20"/>
      <c r="F132" s="21"/>
    </row>
    <row r="133" spans="1:6" x14ac:dyDescent="0.35">
      <c r="A133" s="19" t="s">
        <v>34</v>
      </c>
      <c r="B133" s="32">
        <v>0.2</v>
      </c>
      <c r="C133" s="33">
        <v>0</v>
      </c>
      <c r="D133" s="34">
        <f t="shared" ref="D133:D138" si="4">B133*C133</f>
        <v>0</v>
      </c>
      <c r="E133" s="20"/>
      <c r="F133" s="21"/>
    </row>
    <row r="134" spans="1:6" x14ac:dyDescent="0.35">
      <c r="A134" s="19" t="s">
        <v>530</v>
      </c>
      <c r="B134" s="32">
        <v>0.15</v>
      </c>
      <c r="C134" s="33">
        <v>0</v>
      </c>
      <c r="D134" s="34">
        <f t="shared" si="4"/>
        <v>0</v>
      </c>
      <c r="E134" s="20"/>
      <c r="F134" s="21"/>
    </row>
    <row r="135" spans="1:6" x14ac:dyDescent="0.35">
      <c r="A135" s="19" t="s">
        <v>531</v>
      </c>
      <c r="B135" s="32">
        <v>0.15</v>
      </c>
      <c r="C135" s="33">
        <v>0</v>
      </c>
      <c r="D135" s="34">
        <f t="shared" si="4"/>
        <v>0</v>
      </c>
      <c r="E135" s="20"/>
      <c r="F135" s="21"/>
    </row>
    <row r="136" spans="1:6" x14ac:dyDescent="0.35">
      <c r="A136" s="19" t="s">
        <v>532</v>
      </c>
      <c r="B136" s="32">
        <v>0.1</v>
      </c>
      <c r="C136" s="33">
        <v>0</v>
      </c>
      <c r="D136" s="34">
        <f t="shared" si="4"/>
        <v>0</v>
      </c>
      <c r="E136" s="20"/>
      <c r="F136" s="21"/>
    </row>
    <row r="137" spans="1:6" x14ac:dyDescent="0.35">
      <c r="A137" s="19" t="s">
        <v>533</v>
      </c>
      <c r="B137" s="32">
        <v>0.1</v>
      </c>
      <c r="C137" s="33">
        <v>0</v>
      </c>
      <c r="D137" s="34">
        <f t="shared" si="4"/>
        <v>0</v>
      </c>
      <c r="E137" s="20"/>
      <c r="F137" s="21"/>
    </row>
    <row r="138" spans="1:6" x14ac:dyDescent="0.35">
      <c r="A138" s="19" t="s">
        <v>35</v>
      </c>
      <c r="B138" s="32">
        <v>0.05</v>
      </c>
      <c r="C138" s="33">
        <v>0</v>
      </c>
      <c r="D138" s="34">
        <f t="shared" si="4"/>
        <v>0</v>
      </c>
      <c r="E138" s="20"/>
      <c r="F138" s="21"/>
    </row>
    <row r="139" spans="1:6" x14ac:dyDescent="0.35">
      <c r="A139" s="19"/>
      <c r="B139" s="32"/>
      <c r="C139" s="20"/>
      <c r="D139" s="34"/>
      <c r="E139" s="20"/>
      <c r="F139" s="21"/>
    </row>
    <row r="140" spans="1:6" ht="15" thickBot="1" x14ac:dyDescent="0.4">
      <c r="A140" s="22" t="s">
        <v>534</v>
      </c>
      <c r="B140" s="31">
        <v>1</v>
      </c>
      <c r="C140" s="23"/>
      <c r="D140" s="35">
        <f>ROUND(SUM(D132:D138),1)</f>
        <v>0</v>
      </c>
      <c r="E140" s="23" t="str">
        <f>IF(D140&gt;=80,"🟢 STRONG FIT",IF(D140&gt;=60,"🟡 MODERATE FIT",IF(D140&gt;=40,"🟠 CONDITIONAL FIT","🔴 POOR FIT")))</f>
        <v>🔴 POOR FIT</v>
      </c>
      <c r="F140" s="24" t="s">
        <v>535</v>
      </c>
    </row>
    <row r="141" spans="1:6" x14ac:dyDescent="0.35">
      <c r="A141" s="4"/>
      <c r="B141" s="4"/>
      <c r="C141" s="4"/>
      <c r="D141" s="4"/>
      <c r="E141" s="4"/>
      <c r="F141" s="4"/>
    </row>
    <row r="142" spans="1:6" ht="15" thickBot="1" x14ac:dyDescent="0.4">
      <c r="A142" s="25" t="s">
        <v>536</v>
      </c>
      <c r="B142" s="25"/>
      <c r="C142" s="25"/>
      <c r="D142" s="25"/>
      <c r="E142" s="25"/>
      <c r="F142" s="25"/>
    </row>
    <row r="143" spans="1:6" x14ac:dyDescent="0.35">
      <c r="A143" s="29" t="s">
        <v>537</v>
      </c>
      <c r="B143" s="30" t="s">
        <v>538</v>
      </c>
      <c r="C143" s="30" t="s">
        <v>539</v>
      </c>
      <c r="D143" s="38" t="s">
        <v>540</v>
      </c>
      <c r="E143" s="14"/>
      <c r="F143" s="15"/>
    </row>
    <row r="144" spans="1:6" x14ac:dyDescent="0.35">
      <c r="A144" s="19" t="s">
        <v>102</v>
      </c>
      <c r="B144" s="20" t="s">
        <v>541</v>
      </c>
      <c r="C144" s="20" t="s">
        <v>104</v>
      </c>
      <c r="D144" s="21" t="s">
        <v>105</v>
      </c>
      <c r="E144" s="18"/>
      <c r="F144" s="3"/>
    </row>
    <row r="145" spans="1:6" x14ac:dyDescent="0.35">
      <c r="A145" s="19" t="s">
        <v>106</v>
      </c>
      <c r="B145" s="20" t="s">
        <v>542</v>
      </c>
      <c r="C145" s="20" t="s">
        <v>108</v>
      </c>
      <c r="D145" s="21" t="s">
        <v>109</v>
      </c>
      <c r="E145" s="18"/>
      <c r="F145" s="3"/>
    </row>
    <row r="146" spans="1:6" x14ac:dyDescent="0.35">
      <c r="A146" s="19" t="s">
        <v>110</v>
      </c>
      <c r="B146" s="20" t="s">
        <v>543</v>
      </c>
      <c r="C146" s="20" t="s">
        <v>112</v>
      </c>
      <c r="D146" s="21" t="s">
        <v>544</v>
      </c>
      <c r="E146" s="18"/>
      <c r="F146" s="3"/>
    </row>
    <row r="147" spans="1:6" ht="15" thickBot="1" x14ac:dyDescent="0.4">
      <c r="A147" s="22" t="s">
        <v>114</v>
      </c>
      <c r="B147" s="23" t="s">
        <v>545</v>
      </c>
      <c r="C147" s="23" t="s">
        <v>546</v>
      </c>
      <c r="D147" s="24" t="s">
        <v>547</v>
      </c>
      <c r="E147" s="18"/>
      <c r="F147" s="3"/>
    </row>
    <row r="148" spans="1:6" x14ac:dyDescent="0.35">
      <c r="A148" s="4"/>
      <c r="B148" s="4"/>
      <c r="C148" s="4"/>
      <c r="D148" s="4"/>
      <c r="E148" s="7"/>
      <c r="F148" s="7"/>
    </row>
    <row r="149" spans="1:6" x14ac:dyDescent="0.35">
      <c r="A149" s="12" t="s">
        <v>548</v>
      </c>
      <c r="B149" s="12"/>
      <c r="C149" s="12"/>
      <c r="D149" s="12"/>
      <c r="E149" s="12"/>
      <c r="F149" s="12"/>
    </row>
    <row r="150" spans="1:6" x14ac:dyDescent="0.35">
      <c r="A150" s="12" t="s">
        <v>549</v>
      </c>
      <c r="B150" s="12"/>
      <c r="C150" s="12"/>
      <c r="D150" s="12"/>
      <c r="E150" s="12"/>
      <c r="F150" s="12"/>
    </row>
    <row r="151" spans="1:6" ht="15" customHeight="1" x14ac:dyDescent="0.35"/>
    <row r="152" spans="1:6" ht="15" customHeight="1" x14ac:dyDescent="0.35"/>
    <row r="153" spans="1:6" ht="15" customHeight="1" x14ac:dyDescent="0.35"/>
    <row r="154" spans="1:6" ht="15" customHeight="1" x14ac:dyDescent="0.35"/>
    <row r="155" spans="1:6" ht="15" customHeight="1" x14ac:dyDescent="0.35"/>
    <row r="156" spans="1:6" ht="15" customHeight="1" x14ac:dyDescent="0.35"/>
    <row r="157" spans="1:6" ht="15" customHeight="1" x14ac:dyDescent="0.35"/>
    <row r="158" spans="1:6" ht="15" customHeight="1" x14ac:dyDescent="0.35"/>
    <row r="159" spans="1:6" ht="15" customHeight="1" x14ac:dyDescent="0.35"/>
    <row r="160" spans="1:6" ht="15" customHeight="1" x14ac:dyDescent="0.35"/>
    <row r="161" ht="15" customHeight="1" x14ac:dyDescent="0.35"/>
    <row r="162" ht="15" customHeight="1" x14ac:dyDescent="0.35"/>
    <row r="163" ht="15"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5"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5" customHeight="1" x14ac:dyDescent="0.35"/>
    <row r="182" ht="15" customHeight="1" x14ac:dyDescent="0.35"/>
    <row r="183" ht="15" customHeight="1" x14ac:dyDescent="0.35"/>
    <row r="184" ht="15" customHeight="1" x14ac:dyDescent="0.35"/>
    <row r="185" ht="15" customHeight="1" x14ac:dyDescent="0.35"/>
    <row r="186" ht="15" customHeight="1" x14ac:dyDescent="0.35"/>
    <row r="187" ht="15" customHeight="1" x14ac:dyDescent="0.35"/>
    <row r="188" ht="15" customHeight="1" x14ac:dyDescent="0.35"/>
    <row r="189" ht="15" customHeight="1" x14ac:dyDescent="0.35"/>
    <row r="190" ht="15" customHeight="1" x14ac:dyDescent="0.35"/>
    <row r="191" ht="15" customHeight="1" x14ac:dyDescent="0.35"/>
    <row r="192"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sheetData>
  <mergeCells count="31">
    <mergeCell ref="A150:F150"/>
    <mergeCell ref="A118:F118"/>
    <mergeCell ref="A128:F128"/>
    <mergeCell ref="A129:F129"/>
    <mergeCell ref="A142:F142"/>
    <mergeCell ref="A149:F149"/>
    <mergeCell ref="A95:F95"/>
    <mergeCell ref="A97:F97"/>
    <mergeCell ref="A105:F105"/>
    <mergeCell ref="A113:F113"/>
    <mergeCell ref="A117:F117"/>
    <mergeCell ref="A3:F3"/>
    <mergeCell ref="A6:F6"/>
    <mergeCell ref="A8:F8"/>
    <mergeCell ref="A9:F9"/>
    <mergeCell ref="A17:F17"/>
    <mergeCell ref="A25:F25"/>
    <mergeCell ref="A33:F33"/>
    <mergeCell ref="A34:F34"/>
    <mergeCell ref="A36:F36"/>
    <mergeCell ref="A44:F44"/>
    <mergeCell ref="A52:F52"/>
    <mergeCell ref="A74:F74"/>
    <mergeCell ref="A75:F75"/>
    <mergeCell ref="A76:F76"/>
    <mergeCell ref="A66:F66"/>
    <mergeCell ref="A94:F94"/>
    <mergeCell ref="A90:F90"/>
    <mergeCell ref="A1:F1"/>
    <mergeCell ref="A2:F2"/>
    <mergeCell ref="A4:F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2BC3B-03F6-4CA8-892A-A457519D8BFC}">
  <dimension ref="A1:E200"/>
  <sheetViews>
    <sheetView topLeftCell="A57" workbookViewId="0">
      <selection sqref="A1:E1"/>
    </sheetView>
  </sheetViews>
  <sheetFormatPr defaultColWidth="25.7265625" defaultRowHeight="14.5" x14ac:dyDescent="0.35"/>
  <cols>
    <col min="1" max="1" width="25.7265625" customWidth="1"/>
    <col min="2" max="2" width="43.7265625" customWidth="1"/>
    <col min="3" max="3" width="47.6328125" customWidth="1"/>
    <col min="4" max="4" width="54.6328125" customWidth="1"/>
  </cols>
  <sheetData>
    <row r="1" spans="1:5" s="36" customFormat="1" ht="38" customHeight="1" x14ac:dyDescent="0.35">
      <c r="A1" s="37" t="s">
        <v>36</v>
      </c>
      <c r="B1" s="37"/>
      <c r="C1" s="37"/>
      <c r="D1" s="37"/>
      <c r="E1" s="37"/>
    </row>
    <row r="2" spans="1:5" s="36" customFormat="1" ht="26" customHeight="1" x14ac:dyDescent="0.35">
      <c r="A2" s="16" t="s">
        <v>37</v>
      </c>
      <c r="B2" s="16"/>
      <c r="C2" s="16"/>
      <c r="D2" s="16"/>
      <c r="E2" s="16"/>
    </row>
    <row r="3" spans="1:5" s="36" customFormat="1" ht="20" customHeight="1" x14ac:dyDescent="0.35">
      <c r="A3" s="17" t="s">
        <v>38</v>
      </c>
      <c r="B3" s="17"/>
      <c r="C3" s="17"/>
      <c r="D3" s="17"/>
      <c r="E3" s="17"/>
    </row>
    <row r="4" spans="1:5" s="36" customFormat="1" ht="18" customHeight="1" x14ac:dyDescent="0.35">
      <c r="A4" s="4"/>
      <c r="B4" s="4"/>
      <c r="C4" s="4"/>
      <c r="D4" s="4"/>
      <c r="E4" s="4"/>
    </row>
    <row r="5" spans="1:5" s="36" customFormat="1" ht="18" customHeight="1" x14ac:dyDescent="0.35">
      <c r="A5" s="5" t="s">
        <v>39</v>
      </c>
      <c r="B5" s="5"/>
      <c r="C5" s="5"/>
      <c r="D5" s="5"/>
      <c r="E5" s="5"/>
    </row>
    <row r="6" spans="1:5" s="36" customFormat="1" ht="48.5" customHeight="1" x14ac:dyDescent="0.35">
      <c r="A6" s="6" t="s">
        <v>40</v>
      </c>
      <c r="B6" s="6"/>
      <c r="C6" s="6"/>
      <c r="D6" s="6"/>
      <c r="E6" s="6"/>
    </row>
    <row r="7" spans="1:5" s="36" customFormat="1" ht="18" customHeight="1" x14ac:dyDescent="0.35">
      <c r="A7" s="7"/>
      <c r="B7" s="7"/>
      <c r="C7" s="7"/>
      <c r="D7" s="7"/>
      <c r="E7" s="7"/>
    </row>
    <row r="8" spans="1:5" s="36" customFormat="1" ht="18" customHeight="1" thickBot="1" x14ac:dyDescent="0.4">
      <c r="A8" s="5" t="s">
        <v>41</v>
      </c>
      <c r="B8" s="5"/>
      <c r="C8" s="5"/>
      <c r="D8" s="5"/>
      <c r="E8" s="5"/>
    </row>
    <row r="9" spans="1:5" s="36" customFormat="1" ht="18" customHeight="1" x14ac:dyDescent="0.35">
      <c r="A9" s="29" t="s">
        <v>42</v>
      </c>
      <c r="B9" s="30" t="s">
        <v>43</v>
      </c>
      <c r="C9" s="30" t="s">
        <v>44</v>
      </c>
      <c r="D9" s="38" t="s">
        <v>45</v>
      </c>
      <c r="E9" s="8"/>
    </row>
    <row r="10" spans="1:5" s="36" customFormat="1" ht="29" x14ac:dyDescent="0.35">
      <c r="A10" s="19" t="s">
        <v>46</v>
      </c>
      <c r="B10" s="20" t="s">
        <v>47</v>
      </c>
      <c r="C10" s="20" t="s">
        <v>48</v>
      </c>
      <c r="D10" s="21" t="s">
        <v>49</v>
      </c>
      <c r="E10" s="18"/>
    </row>
    <row r="11" spans="1:5" s="36" customFormat="1" ht="29" x14ac:dyDescent="0.35">
      <c r="A11" s="19" t="s">
        <v>50</v>
      </c>
      <c r="B11" s="20" t="s">
        <v>51</v>
      </c>
      <c r="C11" s="20" t="s">
        <v>48</v>
      </c>
      <c r="D11" s="21" t="s">
        <v>49</v>
      </c>
      <c r="E11" s="18"/>
    </row>
    <row r="12" spans="1:5" s="36" customFormat="1" ht="29" x14ac:dyDescent="0.35">
      <c r="A12" s="19" t="s">
        <v>52</v>
      </c>
      <c r="B12" s="20" t="s">
        <v>53</v>
      </c>
      <c r="C12" s="20" t="s">
        <v>54</v>
      </c>
      <c r="D12" s="21" t="s">
        <v>49</v>
      </c>
      <c r="E12" s="18"/>
    </row>
    <row r="13" spans="1:5" s="36" customFormat="1" ht="58" x14ac:dyDescent="0.35">
      <c r="A13" s="19" t="s">
        <v>55</v>
      </c>
      <c r="B13" s="20" t="s">
        <v>56</v>
      </c>
      <c r="C13" s="20" t="s">
        <v>57</v>
      </c>
      <c r="D13" s="21" t="s">
        <v>49</v>
      </c>
      <c r="E13" s="18"/>
    </row>
    <row r="14" spans="1:5" s="36" customFormat="1" ht="43.5" x14ac:dyDescent="0.35">
      <c r="A14" s="19" t="s">
        <v>58</v>
      </c>
      <c r="B14" s="20" t="s">
        <v>59</v>
      </c>
      <c r="C14" s="20" t="s">
        <v>57</v>
      </c>
      <c r="D14" s="21" t="s">
        <v>60</v>
      </c>
      <c r="E14" s="18"/>
    </row>
    <row r="15" spans="1:5" s="36" customFormat="1" ht="58" x14ac:dyDescent="0.35">
      <c r="A15" s="19" t="s">
        <v>61</v>
      </c>
      <c r="B15" s="20" t="s">
        <v>62</v>
      </c>
      <c r="C15" s="20" t="s">
        <v>63</v>
      </c>
      <c r="D15" s="21" t="s">
        <v>60</v>
      </c>
      <c r="E15" s="18"/>
    </row>
    <row r="16" spans="1:5" s="36" customFormat="1" ht="44" thickBot="1" x14ac:dyDescent="0.4">
      <c r="A16" s="22" t="s">
        <v>64</v>
      </c>
      <c r="B16" s="23" t="s">
        <v>65</v>
      </c>
      <c r="C16" s="23" t="s">
        <v>66</v>
      </c>
      <c r="D16" s="24" t="s">
        <v>49</v>
      </c>
      <c r="E16" s="18"/>
    </row>
    <row r="17" spans="1:5" s="36" customFormat="1" x14ac:dyDescent="0.35">
      <c r="A17" s="4"/>
      <c r="B17" s="4"/>
      <c r="C17" s="4"/>
      <c r="D17" s="4"/>
      <c r="E17" s="7"/>
    </row>
    <row r="18" spans="1:5" s="36" customFormat="1" x14ac:dyDescent="0.35">
      <c r="A18" s="5" t="s">
        <v>67</v>
      </c>
      <c r="B18" s="5"/>
      <c r="C18" s="5"/>
      <c r="D18" s="5"/>
      <c r="E18" s="5"/>
    </row>
    <row r="19" spans="1:5" s="36" customFormat="1" ht="15" thickBot="1" x14ac:dyDescent="0.4">
      <c r="A19" s="2"/>
      <c r="B19" s="2"/>
      <c r="C19" s="2"/>
      <c r="D19" s="2"/>
      <c r="E19" s="2"/>
    </row>
    <row r="20" spans="1:5" s="36" customFormat="1" ht="14.5" customHeight="1" x14ac:dyDescent="0.35">
      <c r="A20" s="29" t="s">
        <v>68</v>
      </c>
      <c r="B20" s="30"/>
      <c r="C20" s="30"/>
      <c r="D20" s="38"/>
      <c r="E20" s="29"/>
    </row>
    <row r="21" spans="1:5" s="36" customFormat="1" ht="29" x14ac:dyDescent="0.35">
      <c r="A21" s="3" t="s">
        <v>69</v>
      </c>
      <c r="B21" s="3" t="s">
        <v>70</v>
      </c>
      <c r="C21" s="3"/>
      <c r="D21" s="3"/>
      <c r="E21" s="3"/>
    </row>
    <row r="22" spans="1:5" s="36" customFormat="1" ht="43.5" x14ac:dyDescent="0.35">
      <c r="A22" s="3" t="s">
        <v>71</v>
      </c>
      <c r="B22" s="3" t="s">
        <v>72</v>
      </c>
      <c r="C22" s="3"/>
      <c r="D22" s="3"/>
      <c r="E22" s="3"/>
    </row>
    <row r="23" spans="1:5" s="36" customFormat="1" ht="58" x14ac:dyDescent="0.35">
      <c r="A23" s="3" t="s">
        <v>73</v>
      </c>
      <c r="B23" s="3" t="s">
        <v>74</v>
      </c>
      <c r="C23" s="3"/>
      <c r="D23" s="3"/>
      <c r="E23" s="3"/>
    </row>
    <row r="24" spans="1:5" s="36" customFormat="1" ht="58" x14ac:dyDescent="0.35">
      <c r="A24" s="3" t="s">
        <v>75</v>
      </c>
      <c r="B24" s="3" t="s">
        <v>76</v>
      </c>
      <c r="C24" s="3"/>
      <c r="D24" s="3"/>
      <c r="E24" s="3"/>
    </row>
    <row r="25" spans="1:5" s="36" customFormat="1" ht="15" thickBot="1" x14ac:dyDescent="0.4">
      <c r="A25" s="3"/>
      <c r="B25" s="3"/>
      <c r="C25" s="3"/>
      <c r="D25" s="3"/>
      <c r="E25" s="3"/>
    </row>
    <row r="26" spans="1:5" s="36" customFormat="1" ht="14.5" customHeight="1" x14ac:dyDescent="0.35">
      <c r="A26" s="29" t="s">
        <v>77</v>
      </c>
      <c r="B26" s="30"/>
      <c r="C26" s="30"/>
      <c r="D26" s="38"/>
      <c r="E26" s="29"/>
    </row>
    <row r="27" spans="1:5" s="36" customFormat="1" ht="43.5" x14ac:dyDescent="0.35">
      <c r="A27" s="3" t="s">
        <v>69</v>
      </c>
      <c r="B27" s="3" t="s">
        <v>78</v>
      </c>
      <c r="C27" s="3"/>
      <c r="D27" s="3"/>
      <c r="E27" s="3"/>
    </row>
    <row r="28" spans="1:5" s="36" customFormat="1" ht="58" x14ac:dyDescent="0.35">
      <c r="A28" s="3" t="s">
        <v>71</v>
      </c>
      <c r="B28" s="3" t="s">
        <v>79</v>
      </c>
      <c r="C28" s="3"/>
      <c r="D28" s="3"/>
      <c r="E28" s="3"/>
    </row>
    <row r="29" spans="1:5" s="36" customFormat="1" ht="58" x14ac:dyDescent="0.35">
      <c r="A29" s="3" t="s">
        <v>73</v>
      </c>
      <c r="B29" s="3" t="s">
        <v>80</v>
      </c>
      <c r="C29" s="3"/>
      <c r="D29" s="3"/>
      <c r="E29" s="3"/>
    </row>
    <row r="30" spans="1:5" s="36" customFormat="1" ht="58" x14ac:dyDescent="0.35">
      <c r="A30" s="3" t="s">
        <v>81</v>
      </c>
      <c r="B30" s="3" t="s">
        <v>82</v>
      </c>
      <c r="C30" s="3"/>
      <c r="D30" s="3"/>
      <c r="E30" s="3"/>
    </row>
    <row r="31" spans="1:5" s="36" customFormat="1" ht="15" thickBot="1" x14ac:dyDescent="0.4">
      <c r="A31" s="3"/>
      <c r="B31" s="3"/>
      <c r="C31" s="3"/>
      <c r="D31" s="3"/>
      <c r="E31" s="3"/>
    </row>
    <row r="32" spans="1:5" s="36" customFormat="1" ht="14.5" customHeight="1" x14ac:dyDescent="0.35">
      <c r="A32" s="29" t="s">
        <v>83</v>
      </c>
      <c r="B32" s="30"/>
      <c r="C32" s="30"/>
      <c r="D32" s="38"/>
      <c r="E32" s="29"/>
    </row>
    <row r="33" spans="1:5" s="36" customFormat="1" ht="43.5" x14ac:dyDescent="0.35">
      <c r="A33" s="3" t="s">
        <v>69</v>
      </c>
      <c r="B33" s="3" t="s">
        <v>84</v>
      </c>
      <c r="C33" s="3"/>
      <c r="D33" s="3"/>
      <c r="E33" s="3"/>
    </row>
    <row r="34" spans="1:5" s="36" customFormat="1" ht="58" x14ac:dyDescent="0.35">
      <c r="A34" s="3" t="s">
        <v>71</v>
      </c>
      <c r="B34" s="3" t="s">
        <v>85</v>
      </c>
      <c r="C34" s="3"/>
      <c r="D34" s="3"/>
      <c r="E34" s="3"/>
    </row>
    <row r="35" spans="1:5" s="36" customFormat="1" ht="43.5" x14ac:dyDescent="0.35">
      <c r="A35" s="3" t="s">
        <v>73</v>
      </c>
      <c r="B35" s="3" t="s">
        <v>86</v>
      </c>
      <c r="C35" s="3"/>
      <c r="D35" s="3"/>
      <c r="E35" s="3"/>
    </row>
    <row r="36" spans="1:5" s="36" customFormat="1" ht="58" x14ac:dyDescent="0.35">
      <c r="A36" s="3" t="s">
        <v>87</v>
      </c>
      <c r="B36" s="3" t="s">
        <v>88</v>
      </c>
      <c r="C36" s="3"/>
      <c r="D36" s="3"/>
      <c r="E36" s="3"/>
    </row>
    <row r="37" spans="1:5" s="36" customFormat="1" ht="15" thickBot="1" x14ac:dyDescent="0.4">
      <c r="A37" s="3"/>
      <c r="B37" s="3"/>
      <c r="C37" s="3"/>
      <c r="D37" s="3"/>
      <c r="E37" s="3"/>
    </row>
    <row r="38" spans="1:5" s="36" customFormat="1" ht="14.5" customHeight="1" x14ac:dyDescent="0.35">
      <c r="A38" s="29" t="s">
        <v>89</v>
      </c>
      <c r="B38" s="30"/>
      <c r="C38" s="30"/>
      <c r="D38" s="38"/>
      <c r="E38" s="29"/>
    </row>
    <row r="39" spans="1:5" s="36" customFormat="1" ht="43.5" x14ac:dyDescent="0.35">
      <c r="A39" s="3" t="s">
        <v>69</v>
      </c>
      <c r="B39" s="3" t="s">
        <v>90</v>
      </c>
      <c r="C39" s="3"/>
      <c r="D39" s="3"/>
      <c r="E39" s="3"/>
    </row>
    <row r="40" spans="1:5" s="36" customFormat="1" ht="72.5" x14ac:dyDescent="0.35">
      <c r="A40" s="3" t="s">
        <v>91</v>
      </c>
      <c r="B40" s="3" t="s">
        <v>92</v>
      </c>
      <c r="C40" s="3"/>
      <c r="D40" s="3"/>
      <c r="E40" s="3"/>
    </row>
    <row r="41" spans="1:5" s="36" customFormat="1" ht="15" thickBot="1" x14ac:dyDescent="0.4">
      <c r="A41" s="3"/>
      <c r="B41" s="3"/>
      <c r="C41" s="3"/>
      <c r="D41" s="3"/>
      <c r="E41" s="3"/>
    </row>
    <row r="42" spans="1:5" s="36" customFormat="1" ht="14.5" customHeight="1" x14ac:dyDescent="0.35">
      <c r="A42" s="29" t="s">
        <v>93</v>
      </c>
      <c r="B42" s="30"/>
      <c r="C42" s="30"/>
      <c r="D42" s="38"/>
      <c r="E42" s="29"/>
    </row>
    <row r="43" spans="1:5" s="36" customFormat="1" ht="43.5" x14ac:dyDescent="0.35">
      <c r="A43" s="3" t="s">
        <v>69</v>
      </c>
      <c r="B43" s="3" t="s">
        <v>94</v>
      </c>
      <c r="C43" s="3"/>
      <c r="D43" s="3"/>
      <c r="E43" s="3"/>
    </row>
    <row r="44" spans="1:5" s="36" customFormat="1" ht="72.5" x14ac:dyDescent="0.35">
      <c r="A44" s="3" t="s">
        <v>95</v>
      </c>
      <c r="B44" s="3" t="s">
        <v>96</v>
      </c>
      <c r="C44" s="3"/>
      <c r="D44" s="3"/>
      <c r="E44" s="3"/>
    </row>
    <row r="45" spans="1:5" s="36" customFormat="1" x14ac:dyDescent="0.35">
      <c r="A45" s="7"/>
      <c r="B45" s="7"/>
      <c r="C45" s="7"/>
      <c r="D45" s="7"/>
      <c r="E45" s="7"/>
    </row>
    <row r="46" spans="1:5" s="36" customFormat="1" ht="15" thickBot="1" x14ac:dyDescent="0.4">
      <c r="A46" s="5" t="s">
        <v>97</v>
      </c>
      <c r="B46" s="5"/>
      <c r="C46" s="5"/>
      <c r="D46" s="5"/>
      <c r="E46" s="5"/>
    </row>
    <row r="47" spans="1:5" s="36" customFormat="1" x14ac:dyDescent="0.35">
      <c r="A47" s="29" t="s">
        <v>98</v>
      </c>
      <c r="B47" s="30" t="s">
        <v>99</v>
      </c>
      <c r="C47" s="30" t="s">
        <v>100</v>
      </c>
      <c r="D47" s="38" t="s">
        <v>101</v>
      </c>
      <c r="E47" s="8"/>
    </row>
    <row r="48" spans="1:5" s="36" customFormat="1" ht="29" x14ac:dyDescent="0.35">
      <c r="A48" s="19" t="s">
        <v>102</v>
      </c>
      <c r="B48" s="20" t="s">
        <v>103</v>
      </c>
      <c r="C48" s="20" t="s">
        <v>104</v>
      </c>
      <c r="D48" s="21" t="s">
        <v>105</v>
      </c>
      <c r="E48" s="18"/>
    </row>
    <row r="49" spans="1:5" s="36" customFormat="1" ht="29" x14ac:dyDescent="0.35">
      <c r="A49" s="19" t="s">
        <v>106</v>
      </c>
      <c r="B49" s="20" t="s">
        <v>107</v>
      </c>
      <c r="C49" s="20" t="s">
        <v>108</v>
      </c>
      <c r="D49" s="21" t="s">
        <v>109</v>
      </c>
      <c r="E49" s="18"/>
    </row>
    <row r="50" spans="1:5" s="36" customFormat="1" ht="29" x14ac:dyDescent="0.35">
      <c r="A50" s="19" t="s">
        <v>110</v>
      </c>
      <c r="B50" s="20" t="s">
        <v>111</v>
      </c>
      <c r="C50" s="20" t="s">
        <v>112</v>
      </c>
      <c r="D50" s="21" t="s">
        <v>113</v>
      </c>
      <c r="E50" s="18"/>
    </row>
    <row r="51" spans="1:5" ht="29.5" thickBot="1" x14ac:dyDescent="0.4">
      <c r="A51" s="22" t="s">
        <v>114</v>
      </c>
      <c r="B51" s="23" t="s">
        <v>115</v>
      </c>
      <c r="C51" s="23" t="s">
        <v>116</v>
      </c>
      <c r="D51" s="24" t="s">
        <v>117</v>
      </c>
      <c r="E51" s="18"/>
    </row>
    <row r="52" spans="1:5" x14ac:dyDescent="0.35">
      <c r="A52" s="2"/>
      <c r="B52" s="2"/>
      <c r="C52" s="2"/>
      <c r="D52" s="2"/>
      <c r="E52" s="3"/>
    </row>
    <row r="53" spans="1:5" x14ac:dyDescent="0.35">
      <c r="A53" s="7"/>
      <c r="B53" s="7"/>
      <c r="C53" s="7"/>
      <c r="D53" s="7"/>
      <c r="E53" s="7"/>
    </row>
    <row r="54" spans="1:5" ht="15" thickBot="1" x14ac:dyDescent="0.4">
      <c r="A54" s="5" t="s">
        <v>118</v>
      </c>
      <c r="B54" s="5"/>
      <c r="C54" s="5"/>
      <c r="D54" s="5"/>
      <c r="E54" s="5"/>
    </row>
    <row r="55" spans="1:5" x14ac:dyDescent="0.35">
      <c r="A55" s="29" t="s">
        <v>119</v>
      </c>
      <c r="B55" s="30" t="s">
        <v>120</v>
      </c>
      <c r="C55" s="38" t="s">
        <v>121</v>
      </c>
      <c r="D55" s="8"/>
      <c r="E55" s="2"/>
    </row>
    <row r="56" spans="1:5" ht="29" x14ac:dyDescent="0.35">
      <c r="A56" s="19" t="s">
        <v>122</v>
      </c>
      <c r="B56" s="20" t="s">
        <v>123</v>
      </c>
      <c r="C56" s="21" t="s">
        <v>124</v>
      </c>
      <c r="D56" s="18"/>
      <c r="E56" s="3"/>
    </row>
    <row r="57" spans="1:5" ht="29" x14ac:dyDescent="0.35">
      <c r="A57" s="19" t="s">
        <v>125</v>
      </c>
      <c r="B57" s="20" t="s">
        <v>126</v>
      </c>
      <c r="C57" s="21" t="s">
        <v>127</v>
      </c>
      <c r="D57" s="18"/>
      <c r="E57" s="3"/>
    </row>
    <row r="58" spans="1:5" ht="29" x14ac:dyDescent="0.35">
      <c r="A58" s="19" t="s">
        <v>128</v>
      </c>
      <c r="B58" s="20" t="s">
        <v>129</v>
      </c>
      <c r="C58" s="21" t="s">
        <v>130</v>
      </c>
      <c r="D58" s="18"/>
      <c r="E58" s="3"/>
    </row>
    <row r="59" spans="1:5" ht="29" x14ac:dyDescent="0.35">
      <c r="A59" s="19" t="s">
        <v>26</v>
      </c>
      <c r="B59" s="20" t="s">
        <v>131</v>
      </c>
      <c r="C59" s="21" t="s">
        <v>132</v>
      </c>
      <c r="D59" s="18"/>
      <c r="E59" s="3"/>
    </row>
    <row r="60" spans="1:5" ht="43.5" x14ac:dyDescent="0.35">
      <c r="A60" s="19" t="s">
        <v>133</v>
      </c>
      <c r="B60" s="20" t="s">
        <v>134</v>
      </c>
      <c r="C60" s="21" t="s">
        <v>135</v>
      </c>
      <c r="D60" s="18"/>
      <c r="E60" s="3"/>
    </row>
    <row r="61" spans="1:5" ht="29.5" thickBot="1" x14ac:dyDescent="0.4">
      <c r="A61" s="22" t="s">
        <v>136</v>
      </c>
      <c r="B61" s="23" t="s">
        <v>137</v>
      </c>
      <c r="C61" s="24" t="s">
        <v>138</v>
      </c>
      <c r="D61" s="18"/>
      <c r="E61" s="3"/>
    </row>
    <row r="62" spans="1:5" x14ac:dyDescent="0.35">
      <c r="A62" s="2"/>
      <c r="B62" s="2"/>
      <c r="C62" s="2"/>
      <c r="D62" s="3"/>
      <c r="E62" s="3"/>
    </row>
    <row r="63" spans="1:5" x14ac:dyDescent="0.35">
      <c r="A63" s="10"/>
      <c r="B63" s="10"/>
      <c r="C63" s="10"/>
      <c r="D63" s="10"/>
      <c r="E63" s="10"/>
    </row>
    <row r="64" spans="1:5" x14ac:dyDescent="0.35">
      <c r="A64" s="5" t="s">
        <v>139</v>
      </c>
      <c r="B64" s="5"/>
      <c r="C64" s="5"/>
      <c r="D64" s="5"/>
      <c r="E64" s="5"/>
    </row>
    <row r="65" spans="1:5" x14ac:dyDescent="0.35">
      <c r="A65" s="6" t="s">
        <v>140</v>
      </c>
      <c r="B65" s="6"/>
      <c r="C65" s="6"/>
      <c r="D65" s="6"/>
      <c r="E65" s="6"/>
    </row>
    <row r="66" spans="1:5" x14ac:dyDescent="0.35">
      <c r="A66" s="11" t="s">
        <v>141</v>
      </c>
      <c r="B66" s="11"/>
      <c r="C66" s="11"/>
      <c r="D66" s="11"/>
      <c r="E66" s="11"/>
    </row>
    <row r="67" spans="1:5" x14ac:dyDescent="0.35">
      <c r="A67" s="11" t="s">
        <v>142</v>
      </c>
      <c r="B67" s="11"/>
      <c r="C67" s="11"/>
      <c r="D67" s="11"/>
      <c r="E67" s="11"/>
    </row>
    <row r="68" spans="1:5" x14ac:dyDescent="0.35">
      <c r="A68" s="9"/>
      <c r="B68" s="9"/>
      <c r="C68" s="9"/>
      <c r="D68" s="9"/>
      <c r="E68" s="9"/>
    </row>
    <row r="69" spans="1:5" x14ac:dyDescent="0.35">
      <c r="A69" s="3" t="s">
        <v>143</v>
      </c>
      <c r="B69" s="3"/>
      <c r="C69" s="3"/>
      <c r="D69" s="3"/>
      <c r="E69" s="3"/>
    </row>
    <row r="70" spans="1:5" x14ac:dyDescent="0.35">
      <c r="A70" s="11" t="s">
        <v>144</v>
      </c>
      <c r="B70" s="11"/>
      <c r="C70" s="11"/>
      <c r="D70" s="11"/>
      <c r="E70" s="11"/>
    </row>
    <row r="71" spans="1:5" x14ac:dyDescent="0.35">
      <c r="A71" s="11" t="s">
        <v>145</v>
      </c>
      <c r="B71" s="11"/>
      <c r="C71" s="11"/>
      <c r="D71" s="11"/>
      <c r="E71" s="11"/>
    </row>
    <row r="72" spans="1:5" x14ac:dyDescent="0.35">
      <c r="A72" s="11" t="s">
        <v>146</v>
      </c>
      <c r="B72" s="11"/>
      <c r="C72" s="11"/>
      <c r="D72" s="11"/>
      <c r="E72" s="11"/>
    </row>
    <row r="73" spans="1:5" x14ac:dyDescent="0.35">
      <c r="A73" s="11" t="s">
        <v>147</v>
      </c>
      <c r="B73" s="11"/>
      <c r="C73" s="11"/>
      <c r="D73" s="11"/>
      <c r="E73" s="11"/>
    </row>
    <row r="74" spans="1:5" x14ac:dyDescent="0.35">
      <c r="A74" s="3"/>
      <c r="B74" s="3"/>
      <c r="C74" s="3"/>
      <c r="D74" s="3"/>
      <c r="E74" s="3"/>
    </row>
    <row r="75" spans="1:5" x14ac:dyDescent="0.35">
      <c r="A75" s="3"/>
      <c r="B75" s="3"/>
      <c r="C75" s="3"/>
      <c r="D75" s="3"/>
      <c r="E75" s="3"/>
    </row>
    <row r="76" spans="1:5" x14ac:dyDescent="0.35">
      <c r="A76" s="7"/>
      <c r="B76" s="7"/>
      <c r="C76" s="7"/>
      <c r="D76" s="7"/>
      <c r="E76" s="7"/>
    </row>
    <row r="77" spans="1:5" x14ac:dyDescent="0.35">
      <c r="A77" s="12" t="s">
        <v>148</v>
      </c>
      <c r="B77" s="12"/>
      <c r="C77" s="12"/>
      <c r="D77" s="12"/>
      <c r="E77" s="12"/>
    </row>
    <row r="78" spans="1:5" x14ac:dyDescent="0.35">
      <c r="A78" s="12" t="s">
        <v>149</v>
      </c>
      <c r="B78" s="12"/>
      <c r="C78" s="12"/>
      <c r="D78" s="12"/>
      <c r="E78" s="12"/>
    </row>
    <row r="79" spans="1:5" x14ac:dyDescent="0.35">
      <c r="A79" s="12" t="s">
        <v>150</v>
      </c>
      <c r="B79" s="12"/>
      <c r="C79" s="12"/>
      <c r="D79" s="12"/>
      <c r="E79" s="12"/>
    </row>
    <row r="80" spans="1:5" x14ac:dyDescent="0.35">
      <c r="A80" s="12" t="s">
        <v>151</v>
      </c>
      <c r="B80" s="12"/>
      <c r="C80" s="12"/>
      <c r="D80" s="12"/>
      <c r="E80" s="12"/>
    </row>
    <row r="81" spans="1:5" ht="15" customHeight="1" x14ac:dyDescent="0.35">
      <c r="A81" s="1"/>
      <c r="B81" s="1"/>
      <c r="C81" s="1"/>
      <c r="D81" s="1"/>
      <c r="E81" s="1"/>
    </row>
    <row r="82" spans="1:5" ht="15" customHeight="1" x14ac:dyDescent="0.35">
      <c r="A82" s="1"/>
      <c r="B82" s="1"/>
      <c r="C82" s="1"/>
      <c r="D82" s="1"/>
      <c r="E82" s="1"/>
    </row>
    <row r="83" spans="1:5" ht="15" customHeight="1" x14ac:dyDescent="0.35">
      <c r="A83" s="1"/>
      <c r="B83" s="1"/>
      <c r="C83" s="1"/>
      <c r="D83" s="1"/>
      <c r="E83" s="1"/>
    </row>
    <row r="84" spans="1:5" ht="15" customHeight="1" x14ac:dyDescent="0.35">
      <c r="A84" s="1"/>
      <c r="B84" s="1"/>
      <c r="C84" s="1"/>
      <c r="D84" s="1"/>
      <c r="E84" s="1"/>
    </row>
    <row r="85" spans="1:5" ht="15" customHeight="1" x14ac:dyDescent="0.35"/>
    <row r="86" spans="1:5" ht="15" customHeight="1" x14ac:dyDescent="0.35"/>
    <row r="87" spans="1:5" ht="15" customHeight="1" x14ac:dyDescent="0.35"/>
    <row r="88" spans="1:5" ht="15" customHeight="1" x14ac:dyDescent="0.35"/>
    <row r="89" spans="1:5" ht="15" customHeight="1" x14ac:dyDescent="0.35"/>
    <row r="90" spans="1:5" ht="15" customHeight="1" x14ac:dyDescent="0.35"/>
    <row r="91" spans="1:5" ht="15" customHeight="1" x14ac:dyDescent="0.35"/>
    <row r="92" spans="1:5" ht="15" customHeight="1" x14ac:dyDescent="0.35"/>
    <row r="93" spans="1:5" ht="15" customHeight="1" x14ac:dyDescent="0.35"/>
    <row r="94" spans="1:5" ht="15" customHeight="1" x14ac:dyDescent="0.35"/>
    <row r="95" spans="1:5" ht="15" customHeight="1" x14ac:dyDescent="0.35"/>
    <row r="96" spans="1:5" ht="15" customHeight="1" x14ac:dyDescent="0.35"/>
    <row r="97" ht="15"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ht="15" customHeight="1" x14ac:dyDescent="0.35"/>
    <row r="114" ht="15" customHeight="1" x14ac:dyDescent="0.35"/>
    <row r="115" ht="15" customHeight="1" x14ac:dyDescent="0.35"/>
    <row r="116" ht="15" customHeight="1" x14ac:dyDescent="0.35"/>
    <row r="117" ht="15" customHeight="1" x14ac:dyDescent="0.35"/>
    <row r="118" ht="15" customHeight="1" x14ac:dyDescent="0.35"/>
    <row r="119" ht="15" customHeight="1" x14ac:dyDescent="0.35"/>
    <row r="120" ht="15" customHeight="1" x14ac:dyDescent="0.35"/>
    <row r="121" ht="15" customHeight="1" x14ac:dyDescent="0.35"/>
    <row r="122" ht="15" customHeight="1" x14ac:dyDescent="0.35"/>
    <row r="123" ht="15" customHeight="1" x14ac:dyDescent="0.35"/>
    <row r="124" ht="15" customHeight="1" x14ac:dyDescent="0.35"/>
    <row r="125" ht="15" customHeight="1" x14ac:dyDescent="0.35"/>
    <row r="126" ht="15" customHeight="1" x14ac:dyDescent="0.35"/>
    <row r="127" ht="15" customHeight="1" x14ac:dyDescent="0.35"/>
    <row r="128"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ht="15" customHeight="1" x14ac:dyDescent="0.35"/>
    <row r="146" ht="15" customHeight="1" x14ac:dyDescent="0.35"/>
    <row r="147" ht="15" customHeight="1" x14ac:dyDescent="0.35"/>
    <row r="148" ht="15" customHeight="1" x14ac:dyDescent="0.35"/>
    <row r="149" ht="15"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5"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5"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5" customHeight="1" x14ac:dyDescent="0.35"/>
    <row r="182" ht="15" customHeight="1" x14ac:dyDescent="0.35"/>
    <row r="183" ht="15" customHeight="1" x14ac:dyDescent="0.35"/>
    <row r="184" ht="15" customHeight="1" x14ac:dyDescent="0.35"/>
    <row r="185" ht="15" customHeight="1" x14ac:dyDescent="0.35"/>
    <row r="186" ht="15" customHeight="1" x14ac:dyDescent="0.35"/>
    <row r="187" ht="15" customHeight="1" x14ac:dyDescent="0.35"/>
    <row r="188" ht="15" customHeight="1" x14ac:dyDescent="0.35"/>
    <row r="189" ht="15" customHeight="1" x14ac:dyDescent="0.35"/>
    <row r="190" ht="15" customHeight="1" x14ac:dyDescent="0.35"/>
    <row r="191" ht="15" customHeight="1" x14ac:dyDescent="0.35"/>
    <row r="192"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sheetData>
  <mergeCells count="22">
    <mergeCell ref="A79:E79"/>
    <mergeCell ref="A80:E80"/>
    <mergeCell ref="A67:E67"/>
    <mergeCell ref="A70:E70"/>
    <mergeCell ref="A71:E71"/>
    <mergeCell ref="A72:E72"/>
    <mergeCell ref="A73:E73"/>
    <mergeCell ref="A77:E77"/>
    <mergeCell ref="A78:E78"/>
    <mergeCell ref="A46:E46"/>
    <mergeCell ref="A54:E54"/>
    <mergeCell ref="A64:E64"/>
    <mergeCell ref="A65:E65"/>
    <mergeCell ref="A66:E66"/>
    <mergeCell ref="A68:E68"/>
    <mergeCell ref="A18:E18"/>
    <mergeCell ref="A1:E1"/>
    <mergeCell ref="A2:E2"/>
    <mergeCell ref="A3:E3"/>
    <mergeCell ref="A5:E5"/>
    <mergeCell ref="A6:E6"/>
    <mergeCell ref="A8:E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7AE8B-CC70-46E4-849B-44582C176C42}">
  <dimension ref="A1:E200"/>
  <sheetViews>
    <sheetView tabSelected="1" topLeftCell="A28" workbookViewId="0">
      <selection sqref="A1:E1"/>
    </sheetView>
  </sheetViews>
  <sheetFormatPr defaultRowHeight="14.5" x14ac:dyDescent="0.35"/>
  <cols>
    <col min="1" max="1" width="59.7265625" customWidth="1"/>
    <col min="2" max="2" width="53" customWidth="1"/>
    <col min="3" max="3" width="51.08984375" bestFit="1" customWidth="1"/>
    <col min="4" max="4" width="35.81640625" bestFit="1" customWidth="1"/>
    <col min="5" max="5" width="31.36328125" bestFit="1" customWidth="1"/>
  </cols>
  <sheetData>
    <row r="1" spans="1:5" s="36" customFormat="1" ht="38" customHeight="1" x14ac:dyDescent="0.35">
      <c r="A1" s="37" t="s">
        <v>152</v>
      </c>
      <c r="B1" s="37"/>
      <c r="C1" s="37"/>
      <c r="D1" s="37"/>
      <c r="E1" s="37"/>
    </row>
    <row r="2" spans="1:5" s="36" customFormat="1" ht="26" customHeight="1" x14ac:dyDescent="0.35">
      <c r="A2" s="16" t="s">
        <v>153</v>
      </c>
      <c r="B2" s="16"/>
      <c r="C2" s="16"/>
      <c r="D2" s="16"/>
      <c r="E2" s="16"/>
    </row>
    <row r="3" spans="1:5" s="36" customFormat="1" ht="20" customHeight="1" x14ac:dyDescent="0.35">
      <c r="A3" s="17" t="s">
        <v>154</v>
      </c>
      <c r="B3" s="17"/>
      <c r="C3" s="17"/>
      <c r="D3" s="17"/>
      <c r="E3" s="17"/>
    </row>
    <row r="4" spans="1:5" s="36" customFormat="1" ht="18" customHeight="1" x14ac:dyDescent="0.35">
      <c r="A4" s="4"/>
      <c r="B4" s="4"/>
      <c r="C4" s="4"/>
      <c r="D4" s="4"/>
      <c r="E4" s="4"/>
    </row>
    <row r="5" spans="1:5" s="36" customFormat="1" ht="18" customHeight="1" thickBot="1" x14ac:dyDescent="0.4">
      <c r="A5" s="5" t="s">
        <v>155</v>
      </c>
      <c r="B5" s="5"/>
      <c r="C5" s="5"/>
      <c r="D5" s="5"/>
      <c r="E5" s="5"/>
    </row>
    <row r="6" spans="1:5" s="36" customFormat="1" ht="18" customHeight="1" x14ac:dyDescent="0.35">
      <c r="A6" s="29" t="s">
        <v>156</v>
      </c>
      <c r="B6" s="30" t="s">
        <v>157</v>
      </c>
      <c r="C6" s="30" t="s">
        <v>158</v>
      </c>
      <c r="D6" s="30" t="s">
        <v>159</v>
      </c>
      <c r="E6" s="38" t="s">
        <v>160</v>
      </c>
    </row>
    <row r="7" spans="1:5" s="36" customFormat="1" ht="18" customHeight="1" x14ac:dyDescent="0.35">
      <c r="A7" s="26" t="s">
        <v>161</v>
      </c>
      <c r="B7" s="27"/>
      <c r="C7" s="27"/>
      <c r="D7" s="27"/>
      <c r="E7" s="28"/>
    </row>
    <row r="8" spans="1:5" s="36" customFormat="1" ht="18" customHeight="1" x14ac:dyDescent="0.35">
      <c r="A8" s="19" t="s">
        <v>162</v>
      </c>
      <c r="B8" s="20" t="s">
        <v>163</v>
      </c>
      <c r="C8" s="20" t="s">
        <v>158</v>
      </c>
      <c r="D8" s="20" t="s">
        <v>159</v>
      </c>
      <c r="E8" s="21" t="s">
        <v>160</v>
      </c>
    </row>
    <row r="9" spans="1:5" s="36" customFormat="1" ht="18" customHeight="1" x14ac:dyDescent="0.35">
      <c r="A9" s="19" t="s">
        <v>162</v>
      </c>
      <c r="B9" s="20" t="s">
        <v>164</v>
      </c>
      <c r="C9" s="20" t="s">
        <v>165</v>
      </c>
      <c r="D9" s="20" t="s">
        <v>165</v>
      </c>
      <c r="E9" s="21" t="s">
        <v>165</v>
      </c>
    </row>
    <row r="10" spans="1:5" s="36" customFormat="1" ht="18" customHeight="1" x14ac:dyDescent="0.35">
      <c r="A10" s="19" t="s">
        <v>162</v>
      </c>
      <c r="B10" s="20" t="s">
        <v>166</v>
      </c>
      <c r="C10" s="20" t="s">
        <v>167</v>
      </c>
      <c r="D10" s="20" t="s">
        <v>167</v>
      </c>
      <c r="E10" s="21" t="s">
        <v>167</v>
      </c>
    </row>
    <row r="11" spans="1:5" s="36" customFormat="1" ht="18" customHeight="1" x14ac:dyDescent="0.35">
      <c r="A11" s="19" t="s">
        <v>162</v>
      </c>
      <c r="B11" s="20" t="s">
        <v>168</v>
      </c>
      <c r="C11" s="20" t="s">
        <v>169</v>
      </c>
      <c r="D11" s="20" t="s">
        <v>169</v>
      </c>
      <c r="E11" s="21" t="s">
        <v>169</v>
      </c>
    </row>
    <row r="12" spans="1:5" s="36" customFormat="1" ht="18" customHeight="1" x14ac:dyDescent="0.35">
      <c r="A12" s="19" t="s">
        <v>162</v>
      </c>
      <c r="B12" s="20" t="s">
        <v>170</v>
      </c>
      <c r="C12" s="20" t="s">
        <v>171</v>
      </c>
      <c r="D12" s="20" t="s">
        <v>171</v>
      </c>
      <c r="E12" s="21" t="s">
        <v>171</v>
      </c>
    </row>
    <row r="13" spans="1:5" s="36" customFormat="1" x14ac:dyDescent="0.35">
      <c r="A13" s="19" t="s">
        <v>162</v>
      </c>
      <c r="B13" s="20" t="s">
        <v>172</v>
      </c>
      <c r="C13" s="20">
        <v>0</v>
      </c>
      <c r="D13" s="20">
        <v>0</v>
      </c>
      <c r="E13" s="21">
        <v>0</v>
      </c>
    </row>
    <row r="14" spans="1:5" s="36" customFormat="1" x14ac:dyDescent="0.35">
      <c r="A14" s="19" t="s">
        <v>162</v>
      </c>
      <c r="B14" s="20" t="s">
        <v>173</v>
      </c>
      <c r="C14" s="20">
        <v>31</v>
      </c>
      <c r="D14" s="20">
        <v>31</v>
      </c>
      <c r="E14" s="21">
        <v>31</v>
      </c>
    </row>
    <row r="15" spans="1:5" s="36" customFormat="1" x14ac:dyDescent="0.35">
      <c r="A15" s="19" t="s">
        <v>162</v>
      </c>
      <c r="B15" s="20" t="s">
        <v>174</v>
      </c>
      <c r="C15" s="20">
        <v>24</v>
      </c>
      <c r="D15" s="20">
        <v>24</v>
      </c>
      <c r="E15" s="21">
        <v>24</v>
      </c>
    </row>
    <row r="16" spans="1:5" s="36" customFormat="1" x14ac:dyDescent="0.35">
      <c r="A16" s="26" t="s">
        <v>175</v>
      </c>
      <c r="B16" s="27"/>
      <c r="C16" s="27"/>
      <c r="D16" s="27"/>
      <c r="E16" s="28"/>
    </row>
    <row r="17" spans="1:5" s="36" customFormat="1" x14ac:dyDescent="0.35">
      <c r="A17" s="19" t="s">
        <v>176</v>
      </c>
      <c r="B17" s="20" t="s">
        <v>177</v>
      </c>
      <c r="C17" s="20" t="s">
        <v>178</v>
      </c>
      <c r="D17" s="20" t="s">
        <v>178</v>
      </c>
      <c r="E17" s="21" t="s">
        <v>178</v>
      </c>
    </row>
    <row r="18" spans="1:5" s="36" customFormat="1" x14ac:dyDescent="0.35">
      <c r="A18" s="19" t="s">
        <v>176</v>
      </c>
      <c r="B18" s="20" t="s">
        <v>179</v>
      </c>
      <c r="C18" s="20" t="s">
        <v>180</v>
      </c>
      <c r="D18" s="20" t="s">
        <v>180</v>
      </c>
      <c r="E18" s="21" t="s">
        <v>180</v>
      </c>
    </row>
    <row r="19" spans="1:5" s="36" customFormat="1" x14ac:dyDescent="0.35">
      <c r="A19" s="19" t="s">
        <v>176</v>
      </c>
      <c r="B19" s="20" t="s">
        <v>181</v>
      </c>
      <c r="C19" s="20" t="s">
        <v>182</v>
      </c>
      <c r="D19" s="20" t="s">
        <v>182</v>
      </c>
      <c r="E19" s="21" t="s">
        <v>182</v>
      </c>
    </row>
    <row r="20" spans="1:5" s="36" customFormat="1" x14ac:dyDescent="0.35">
      <c r="A20" s="19" t="s">
        <v>176</v>
      </c>
      <c r="B20" s="20" t="s">
        <v>183</v>
      </c>
      <c r="C20" s="20" t="s">
        <v>184</v>
      </c>
      <c r="D20" s="20" t="s">
        <v>184</v>
      </c>
      <c r="E20" s="21" t="s">
        <v>184</v>
      </c>
    </row>
    <row r="21" spans="1:5" s="36" customFormat="1" x14ac:dyDescent="0.35">
      <c r="A21" s="26" t="s">
        <v>185</v>
      </c>
      <c r="B21" s="27"/>
      <c r="C21" s="27"/>
      <c r="D21" s="27"/>
      <c r="E21" s="28"/>
    </row>
    <row r="22" spans="1:5" s="36" customFormat="1" x14ac:dyDescent="0.35">
      <c r="A22" s="19" t="s">
        <v>186</v>
      </c>
      <c r="B22" s="20" t="s">
        <v>187</v>
      </c>
      <c r="C22" s="20" t="s">
        <v>188</v>
      </c>
      <c r="D22" s="20" t="s">
        <v>188</v>
      </c>
      <c r="E22" s="21" t="s">
        <v>188</v>
      </c>
    </row>
    <row r="23" spans="1:5" s="36" customFormat="1" x14ac:dyDescent="0.35">
      <c r="A23" s="26" t="s">
        <v>189</v>
      </c>
      <c r="B23" s="27"/>
      <c r="C23" s="27"/>
      <c r="D23" s="27"/>
      <c r="E23" s="28"/>
    </row>
    <row r="24" spans="1:5" s="36" customFormat="1" x14ac:dyDescent="0.35">
      <c r="A24" s="19" t="s">
        <v>190</v>
      </c>
      <c r="B24" s="20" t="s">
        <v>191</v>
      </c>
      <c r="C24" s="20" t="s">
        <v>192</v>
      </c>
      <c r="D24" s="20" t="s">
        <v>192</v>
      </c>
      <c r="E24" s="21" t="s">
        <v>192</v>
      </c>
    </row>
    <row r="25" spans="1:5" s="36" customFormat="1" x14ac:dyDescent="0.35">
      <c r="A25" s="19" t="s">
        <v>190</v>
      </c>
      <c r="B25" s="20" t="s">
        <v>193</v>
      </c>
      <c r="C25" s="20" t="s">
        <v>192</v>
      </c>
      <c r="D25" s="20" t="s">
        <v>192</v>
      </c>
      <c r="E25" s="21" t="s">
        <v>192</v>
      </c>
    </row>
    <row r="26" spans="1:5" s="36" customFormat="1" x14ac:dyDescent="0.35">
      <c r="A26" s="26" t="s">
        <v>194</v>
      </c>
      <c r="B26" s="27"/>
      <c r="C26" s="27"/>
      <c r="D26" s="27"/>
      <c r="E26" s="28"/>
    </row>
    <row r="27" spans="1:5" s="36" customFormat="1" x14ac:dyDescent="0.35">
      <c r="A27" s="19" t="s">
        <v>8</v>
      </c>
      <c r="B27" s="20" t="s">
        <v>195</v>
      </c>
      <c r="C27" s="20" t="s">
        <v>196</v>
      </c>
      <c r="D27" s="20" t="s">
        <v>196</v>
      </c>
      <c r="E27" s="21" t="s">
        <v>196</v>
      </c>
    </row>
    <row r="28" spans="1:5" s="36" customFormat="1" x14ac:dyDescent="0.35">
      <c r="A28" s="26" t="s">
        <v>197</v>
      </c>
      <c r="B28" s="27"/>
      <c r="C28" s="27"/>
      <c r="D28" s="27"/>
      <c r="E28" s="28"/>
    </row>
    <row r="29" spans="1:5" s="36" customFormat="1" x14ac:dyDescent="0.35">
      <c r="A29" s="19" t="s">
        <v>198</v>
      </c>
      <c r="B29" s="20" t="s">
        <v>199</v>
      </c>
      <c r="C29" s="20" t="s">
        <v>192</v>
      </c>
      <c r="D29" s="20" t="s">
        <v>192</v>
      </c>
      <c r="E29" s="21" t="s">
        <v>192</v>
      </c>
    </row>
    <row r="30" spans="1:5" s="36" customFormat="1" x14ac:dyDescent="0.35">
      <c r="A30" s="26" t="s">
        <v>200</v>
      </c>
      <c r="B30" s="27"/>
      <c r="C30" s="27"/>
      <c r="D30" s="27"/>
      <c r="E30" s="28"/>
    </row>
    <row r="31" spans="1:5" s="36" customFormat="1" x14ac:dyDescent="0.35">
      <c r="A31" s="19" t="s">
        <v>201</v>
      </c>
      <c r="B31" s="20" t="s">
        <v>202</v>
      </c>
      <c r="C31" s="20" t="s">
        <v>203</v>
      </c>
      <c r="D31" s="20" t="s">
        <v>204</v>
      </c>
      <c r="E31" s="21" t="s">
        <v>204</v>
      </c>
    </row>
    <row r="32" spans="1:5" s="36" customFormat="1" x14ac:dyDescent="0.35">
      <c r="A32" s="19" t="s">
        <v>201</v>
      </c>
      <c r="B32" s="20" t="s">
        <v>205</v>
      </c>
      <c r="C32" s="20" t="s">
        <v>206</v>
      </c>
      <c r="D32" s="20" t="s">
        <v>204</v>
      </c>
      <c r="E32" s="21" t="s">
        <v>204</v>
      </c>
    </row>
    <row r="33" spans="1:5" s="36" customFormat="1" ht="15" thickBot="1" x14ac:dyDescent="0.4">
      <c r="A33" s="22" t="s">
        <v>201</v>
      </c>
      <c r="B33" s="23" t="s">
        <v>207</v>
      </c>
      <c r="C33" s="23" t="s">
        <v>208</v>
      </c>
      <c r="D33" s="23" t="s">
        <v>204</v>
      </c>
      <c r="E33" s="24" t="s">
        <v>204</v>
      </c>
    </row>
    <row r="34" spans="1:5" s="36" customFormat="1" x14ac:dyDescent="0.35">
      <c r="A34" s="4"/>
      <c r="B34" s="4"/>
      <c r="C34" s="4"/>
      <c r="D34" s="4"/>
      <c r="E34" s="4"/>
    </row>
    <row r="35" spans="1:5" s="36" customFormat="1" ht="15" thickBot="1" x14ac:dyDescent="0.4">
      <c r="A35" s="5" t="s">
        <v>209</v>
      </c>
      <c r="B35" s="5"/>
      <c r="C35" s="5"/>
      <c r="D35" s="5"/>
      <c r="E35" s="5"/>
    </row>
    <row r="36" spans="1:5" s="36" customFormat="1" x14ac:dyDescent="0.35">
      <c r="A36" s="29" t="s">
        <v>156</v>
      </c>
      <c r="B36" s="30" t="s">
        <v>157</v>
      </c>
      <c r="C36" s="30" t="s">
        <v>158</v>
      </c>
      <c r="D36" s="30" t="s">
        <v>159</v>
      </c>
      <c r="E36" s="38" t="s">
        <v>160</v>
      </c>
    </row>
    <row r="37" spans="1:5" s="36" customFormat="1" x14ac:dyDescent="0.35">
      <c r="A37" s="26" t="s">
        <v>161</v>
      </c>
      <c r="B37" s="27"/>
      <c r="C37" s="27"/>
      <c r="D37" s="27"/>
      <c r="E37" s="28"/>
    </row>
    <row r="38" spans="1:5" s="36" customFormat="1" x14ac:dyDescent="0.35">
      <c r="A38" s="19" t="s">
        <v>162</v>
      </c>
      <c r="B38" s="20" t="s">
        <v>163</v>
      </c>
      <c r="C38" s="20" t="s">
        <v>158</v>
      </c>
      <c r="D38" s="20" t="s">
        <v>159</v>
      </c>
      <c r="E38" s="21" t="s">
        <v>160</v>
      </c>
    </row>
    <row r="39" spans="1:5" s="36" customFormat="1" x14ac:dyDescent="0.35">
      <c r="A39" s="19" t="s">
        <v>162</v>
      </c>
      <c r="B39" s="20" t="s">
        <v>164</v>
      </c>
      <c r="C39" s="20" t="s">
        <v>165</v>
      </c>
      <c r="D39" s="20" t="s">
        <v>165</v>
      </c>
      <c r="E39" s="21" t="s">
        <v>165</v>
      </c>
    </row>
    <row r="40" spans="1:5" s="36" customFormat="1" x14ac:dyDescent="0.35">
      <c r="A40" s="19" t="s">
        <v>162</v>
      </c>
      <c r="B40" s="20" t="s">
        <v>166</v>
      </c>
      <c r="C40" s="20" t="s">
        <v>167</v>
      </c>
      <c r="D40" s="20" t="s">
        <v>167</v>
      </c>
      <c r="E40" s="21" t="s">
        <v>167</v>
      </c>
    </row>
    <row r="41" spans="1:5" s="36" customFormat="1" x14ac:dyDescent="0.35">
      <c r="A41" s="19" t="s">
        <v>162</v>
      </c>
      <c r="B41" s="20" t="s">
        <v>168</v>
      </c>
      <c r="C41" s="20" t="s">
        <v>169</v>
      </c>
      <c r="D41" s="20" t="s">
        <v>169</v>
      </c>
      <c r="E41" s="21" t="s">
        <v>169</v>
      </c>
    </row>
    <row r="42" spans="1:5" s="36" customFormat="1" x14ac:dyDescent="0.35">
      <c r="A42" s="19" t="s">
        <v>162</v>
      </c>
      <c r="B42" s="20" t="s">
        <v>170</v>
      </c>
      <c r="C42" s="20" t="s">
        <v>210</v>
      </c>
      <c r="D42" s="20" t="s">
        <v>204</v>
      </c>
      <c r="E42" s="21" t="s">
        <v>204</v>
      </c>
    </row>
    <row r="43" spans="1:5" s="36" customFormat="1" x14ac:dyDescent="0.35">
      <c r="A43" s="19" t="s">
        <v>162</v>
      </c>
      <c r="B43" s="20" t="s">
        <v>211</v>
      </c>
      <c r="C43" s="20" t="s">
        <v>212</v>
      </c>
      <c r="D43" s="20" t="s">
        <v>212</v>
      </c>
      <c r="E43" s="21" t="s">
        <v>212</v>
      </c>
    </row>
    <row r="44" spans="1:5" s="36" customFormat="1" x14ac:dyDescent="0.35">
      <c r="A44" s="19" t="s">
        <v>162</v>
      </c>
      <c r="B44" s="20" t="s">
        <v>213</v>
      </c>
      <c r="C44" s="20" t="s">
        <v>214</v>
      </c>
      <c r="D44" s="20" t="s">
        <v>204</v>
      </c>
      <c r="E44" s="21" t="s">
        <v>204</v>
      </c>
    </row>
    <row r="45" spans="1:5" s="36" customFormat="1" x14ac:dyDescent="0.35">
      <c r="A45" s="26" t="s">
        <v>175</v>
      </c>
      <c r="B45" s="27"/>
      <c r="C45" s="27"/>
      <c r="D45" s="27"/>
      <c r="E45" s="28"/>
    </row>
    <row r="46" spans="1:5" s="36" customFormat="1" x14ac:dyDescent="0.35">
      <c r="A46" s="19" t="s">
        <v>176</v>
      </c>
      <c r="B46" s="20" t="s">
        <v>177</v>
      </c>
      <c r="C46" s="20" t="s">
        <v>178</v>
      </c>
      <c r="D46" s="20" t="s">
        <v>178</v>
      </c>
      <c r="E46" s="21" t="s">
        <v>178</v>
      </c>
    </row>
    <row r="47" spans="1:5" s="36" customFormat="1" x14ac:dyDescent="0.35">
      <c r="A47" s="19" t="s">
        <v>176</v>
      </c>
      <c r="B47" s="20" t="s">
        <v>179</v>
      </c>
      <c r="C47" s="20" t="s">
        <v>180</v>
      </c>
      <c r="D47" s="20" t="s">
        <v>180</v>
      </c>
      <c r="E47" s="21" t="s">
        <v>180</v>
      </c>
    </row>
    <row r="48" spans="1:5" s="36" customFormat="1" x14ac:dyDescent="0.35">
      <c r="A48" s="19" t="s">
        <v>176</v>
      </c>
      <c r="B48" s="20" t="s">
        <v>181</v>
      </c>
      <c r="C48" s="20" t="s">
        <v>182</v>
      </c>
      <c r="D48" s="20" t="s">
        <v>182</v>
      </c>
      <c r="E48" s="21" t="s">
        <v>182</v>
      </c>
    </row>
    <row r="49" spans="1:5" s="36" customFormat="1" x14ac:dyDescent="0.35">
      <c r="A49" s="19" t="s">
        <v>176</v>
      </c>
      <c r="B49" s="20" t="s">
        <v>183</v>
      </c>
      <c r="C49" s="20" t="s">
        <v>184</v>
      </c>
      <c r="D49" s="20" t="s">
        <v>184</v>
      </c>
      <c r="E49" s="21" t="s">
        <v>184</v>
      </c>
    </row>
    <row r="50" spans="1:5" s="36" customFormat="1" x14ac:dyDescent="0.35">
      <c r="A50" s="26" t="s">
        <v>189</v>
      </c>
      <c r="B50" s="27"/>
      <c r="C50" s="27"/>
      <c r="D50" s="27"/>
      <c r="E50" s="28"/>
    </row>
    <row r="51" spans="1:5" x14ac:dyDescent="0.35">
      <c r="A51" s="19" t="s">
        <v>190</v>
      </c>
      <c r="B51" s="20" t="s">
        <v>191</v>
      </c>
      <c r="C51" s="20" t="s">
        <v>215</v>
      </c>
      <c r="D51" s="20" t="s">
        <v>215</v>
      </c>
      <c r="E51" s="21" t="s">
        <v>215</v>
      </c>
    </row>
    <row r="52" spans="1:5" x14ac:dyDescent="0.35">
      <c r="A52" s="19" t="s">
        <v>190</v>
      </c>
      <c r="B52" s="20" t="s">
        <v>193</v>
      </c>
      <c r="C52" s="20" t="s">
        <v>192</v>
      </c>
      <c r="D52" s="20" t="s">
        <v>192</v>
      </c>
      <c r="E52" s="21" t="s">
        <v>192</v>
      </c>
    </row>
    <row r="53" spans="1:5" x14ac:dyDescent="0.35">
      <c r="A53" s="26" t="s">
        <v>197</v>
      </c>
      <c r="B53" s="27"/>
      <c r="C53" s="27"/>
      <c r="D53" s="27"/>
      <c r="E53" s="28"/>
    </row>
    <row r="54" spans="1:5" x14ac:dyDescent="0.35">
      <c r="A54" s="19" t="s">
        <v>198</v>
      </c>
      <c r="B54" s="20" t="s">
        <v>199</v>
      </c>
      <c r="C54" s="20" t="s">
        <v>192</v>
      </c>
      <c r="D54" s="20" t="s">
        <v>192</v>
      </c>
      <c r="E54" s="21" t="s">
        <v>192</v>
      </c>
    </row>
    <row r="55" spans="1:5" x14ac:dyDescent="0.35">
      <c r="A55" s="26" t="s">
        <v>185</v>
      </c>
      <c r="B55" s="27"/>
      <c r="C55" s="27"/>
      <c r="D55" s="27"/>
      <c r="E55" s="28"/>
    </row>
    <row r="56" spans="1:5" x14ac:dyDescent="0.35">
      <c r="A56" s="19" t="s">
        <v>186</v>
      </c>
      <c r="B56" s="20" t="s">
        <v>187</v>
      </c>
      <c r="C56" s="20" t="s">
        <v>188</v>
      </c>
      <c r="D56" s="20" t="s">
        <v>188</v>
      </c>
      <c r="E56" s="21" t="s">
        <v>188</v>
      </c>
    </row>
    <row r="57" spans="1:5" x14ac:dyDescent="0.35">
      <c r="A57" s="26" t="s">
        <v>200</v>
      </c>
      <c r="B57" s="27"/>
      <c r="C57" s="27"/>
      <c r="D57" s="27"/>
      <c r="E57" s="28"/>
    </row>
    <row r="58" spans="1:5" x14ac:dyDescent="0.35">
      <c r="A58" s="19" t="s">
        <v>201</v>
      </c>
      <c r="B58" s="20" t="s">
        <v>202</v>
      </c>
      <c r="C58" s="20" t="s">
        <v>203</v>
      </c>
      <c r="D58" s="20" t="s">
        <v>204</v>
      </c>
      <c r="E58" s="21" t="s">
        <v>204</v>
      </c>
    </row>
    <row r="59" spans="1:5" ht="15" thickBot="1" x14ac:dyDescent="0.4">
      <c r="A59" s="22" t="s">
        <v>201</v>
      </c>
      <c r="B59" s="23" t="s">
        <v>207</v>
      </c>
      <c r="C59" s="23" t="s">
        <v>208</v>
      </c>
      <c r="D59" s="23" t="s">
        <v>204</v>
      </c>
      <c r="E59" s="24" t="s">
        <v>204</v>
      </c>
    </row>
    <row r="60" spans="1:5" x14ac:dyDescent="0.35">
      <c r="A60" s="4"/>
      <c r="B60" s="4"/>
      <c r="C60" s="4"/>
      <c r="D60" s="4"/>
      <c r="E60" s="4"/>
    </row>
    <row r="61" spans="1:5" ht="15" thickBot="1" x14ac:dyDescent="0.4">
      <c r="A61" s="5" t="s">
        <v>216</v>
      </c>
      <c r="B61" s="5"/>
      <c r="C61" s="5"/>
      <c r="D61" s="5"/>
      <c r="E61" s="5"/>
    </row>
    <row r="62" spans="1:5" x14ac:dyDescent="0.35">
      <c r="A62" s="29" t="s">
        <v>156</v>
      </c>
      <c r="B62" s="30" t="s">
        <v>157</v>
      </c>
      <c r="C62" s="30" t="s">
        <v>158</v>
      </c>
      <c r="D62" s="30" t="s">
        <v>159</v>
      </c>
      <c r="E62" s="38" t="s">
        <v>160</v>
      </c>
    </row>
    <row r="63" spans="1:5" x14ac:dyDescent="0.35">
      <c r="A63" s="26" t="s">
        <v>217</v>
      </c>
      <c r="B63" s="27"/>
      <c r="C63" s="27"/>
      <c r="D63" s="27"/>
      <c r="E63" s="28"/>
    </row>
    <row r="64" spans="1:5" x14ac:dyDescent="0.35">
      <c r="A64" s="19" t="s">
        <v>218</v>
      </c>
      <c r="B64" s="20" t="s">
        <v>219</v>
      </c>
      <c r="C64" s="20" t="s">
        <v>220</v>
      </c>
      <c r="D64" s="20" t="s">
        <v>204</v>
      </c>
      <c r="E64" s="21" t="s">
        <v>204</v>
      </c>
    </row>
    <row r="65" spans="1:5" x14ac:dyDescent="0.35">
      <c r="A65" s="19" t="s">
        <v>218</v>
      </c>
      <c r="B65" s="20" t="s">
        <v>221</v>
      </c>
      <c r="C65" s="20" t="s">
        <v>222</v>
      </c>
      <c r="D65" s="20" t="s">
        <v>223</v>
      </c>
      <c r="E65" s="21" t="s">
        <v>223</v>
      </c>
    </row>
    <row r="66" spans="1:5" x14ac:dyDescent="0.35">
      <c r="A66" s="19" t="s">
        <v>218</v>
      </c>
      <c r="B66" s="20" t="s">
        <v>21</v>
      </c>
      <c r="C66" s="20" t="s">
        <v>224</v>
      </c>
      <c r="D66" s="20" t="s">
        <v>204</v>
      </c>
      <c r="E66" s="21" t="s">
        <v>204</v>
      </c>
    </row>
    <row r="67" spans="1:5" x14ac:dyDescent="0.35">
      <c r="A67" s="26" t="s">
        <v>225</v>
      </c>
      <c r="B67" s="27"/>
      <c r="C67" s="27"/>
      <c r="D67" s="27"/>
      <c r="E67" s="28"/>
    </row>
    <row r="68" spans="1:5" x14ac:dyDescent="0.35">
      <c r="A68" s="19" t="s">
        <v>226</v>
      </c>
      <c r="B68" s="20" t="s">
        <v>227</v>
      </c>
      <c r="C68" s="20" t="s">
        <v>228</v>
      </c>
      <c r="D68" s="20" t="s">
        <v>204</v>
      </c>
      <c r="E68" s="21" t="s">
        <v>204</v>
      </c>
    </row>
    <row r="69" spans="1:5" x14ac:dyDescent="0.35">
      <c r="A69" s="19" t="s">
        <v>226</v>
      </c>
      <c r="B69" s="20" t="s">
        <v>229</v>
      </c>
      <c r="C69" s="20" t="s">
        <v>215</v>
      </c>
      <c r="D69" s="20" t="s">
        <v>215</v>
      </c>
      <c r="E69" s="21" t="s">
        <v>215</v>
      </c>
    </row>
    <row r="70" spans="1:5" x14ac:dyDescent="0.35">
      <c r="A70" s="26" t="s">
        <v>230</v>
      </c>
      <c r="B70" s="27"/>
      <c r="C70" s="27"/>
      <c r="D70" s="27"/>
      <c r="E70" s="28"/>
    </row>
    <row r="71" spans="1:5" x14ac:dyDescent="0.35">
      <c r="A71" s="19" t="s">
        <v>231</v>
      </c>
      <c r="B71" s="20" t="s">
        <v>232</v>
      </c>
      <c r="C71" s="20" t="s">
        <v>233</v>
      </c>
      <c r="D71" s="20" t="s">
        <v>204</v>
      </c>
      <c r="E71" s="21" t="s">
        <v>204</v>
      </c>
    </row>
    <row r="72" spans="1:5" x14ac:dyDescent="0.35">
      <c r="A72" s="26" t="s">
        <v>189</v>
      </c>
      <c r="B72" s="27"/>
      <c r="C72" s="27"/>
      <c r="D72" s="27"/>
      <c r="E72" s="28"/>
    </row>
    <row r="73" spans="1:5" x14ac:dyDescent="0.35">
      <c r="A73" s="19" t="s">
        <v>190</v>
      </c>
      <c r="B73" s="20" t="s">
        <v>191</v>
      </c>
      <c r="C73" s="20" t="s">
        <v>215</v>
      </c>
      <c r="D73" s="20" t="s">
        <v>215</v>
      </c>
      <c r="E73" s="21" t="s">
        <v>215</v>
      </c>
    </row>
    <row r="74" spans="1:5" x14ac:dyDescent="0.35">
      <c r="A74" s="19" t="s">
        <v>190</v>
      </c>
      <c r="B74" s="20" t="s">
        <v>193</v>
      </c>
      <c r="C74" s="20" t="s">
        <v>234</v>
      </c>
      <c r="D74" s="20" t="s">
        <v>204</v>
      </c>
      <c r="E74" s="21" t="s">
        <v>204</v>
      </c>
    </row>
    <row r="75" spans="1:5" x14ac:dyDescent="0.35">
      <c r="A75" s="26" t="s">
        <v>235</v>
      </c>
      <c r="B75" s="27"/>
      <c r="C75" s="27"/>
      <c r="D75" s="27"/>
      <c r="E75" s="28"/>
    </row>
    <row r="76" spans="1:5" x14ac:dyDescent="0.35">
      <c r="A76" s="19" t="s">
        <v>236</v>
      </c>
      <c r="B76" s="20" t="s">
        <v>237</v>
      </c>
      <c r="C76" s="20" t="s">
        <v>238</v>
      </c>
      <c r="D76" s="20" t="s">
        <v>204</v>
      </c>
      <c r="E76" s="21" t="s">
        <v>204</v>
      </c>
    </row>
    <row r="77" spans="1:5" x14ac:dyDescent="0.35">
      <c r="A77" s="19" t="s">
        <v>236</v>
      </c>
      <c r="B77" s="20" t="s">
        <v>239</v>
      </c>
      <c r="C77" s="20" t="s">
        <v>192</v>
      </c>
      <c r="D77" s="20" t="s">
        <v>192</v>
      </c>
      <c r="E77" s="21" t="s">
        <v>192</v>
      </c>
    </row>
    <row r="78" spans="1:5" x14ac:dyDescent="0.35">
      <c r="A78" s="26" t="s">
        <v>175</v>
      </c>
      <c r="B78" s="27"/>
      <c r="C78" s="27"/>
      <c r="D78" s="27"/>
      <c r="E78" s="28"/>
    </row>
    <row r="79" spans="1:5" x14ac:dyDescent="0.35">
      <c r="A79" s="19" t="s">
        <v>176</v>
      </c>
      <c r="B79" s="20" t="s">
        <v>177</v>
      </c>
      <c r="C79" s="20" t="s">
        <v>178</v>
      </c>
      <c r="D79" s="20" t="s">
        <v>178</v>
      </c>
      <c r="E79" s="21" t="s">
        <v>178</v>
      </c>
    </row>
    <row r="80" spans="1:5" x14ac:dyDescent="0.35">
      <c r="A80" s="19" t="s">
        <v>176</v>
      </c>
      <c r="B80" s="20" t="s">
        <v>179</v>
      </c>
      <c r="C80" s="20" t="s">
        <v>180</v>
      </c>
      <c r="D80" s="20" t="s">
        <v>180</v>
      </c>
      <c r="E80" s="21" t="s">
        <v>180</v>
      </c>
    </row>
    <row r="81" spans="1:5" x14ac:dyDescent="0.35">
      <c r="A81" s="19" t="s">
        <v>176</v>
      </c>
      <c r="B81" s="20" t="s">
        <v>181</v>
      </c>
      <c r="C81" s="20" t="s">
        <v>182</v>
      </c>
      <c r="D81" s="20" t="s">
        <v>182</v>
      </c>
      <c r="E81" s="21" t="s">
        <v>182</v>
      </c>
    </row>
    <row r="82" spans="1:5" x14ac:dyDescent="0.35">
      <c r="A82" s="19" t="s">
        <v>176</v>
      </c>
      <c r="B82" s="20" t="s">
        <v>183</v>
      </c>
      <c r="C82" s="20" t="s">
        <v>184</v>
      </c>
      <c r="D82" s="20" t="s">
        <v>184</v>
      </c>
      <c r="E82" s="21" t="s">
        <v>184</v>
      </c>
    </row>
    <row r="83" spans="1:5" x14ac:dyDescent="0.35">
      <c r="A83" s="26" t="s">
        <v>240</v>
      </c>
      <c r="B83" s="27"/>
      <c r="C83" s="27"/>
      <c r="D83" s="27"/>
      <c r="E83" s="28"/>
    </row>
    <row r="84" spans="1:5" x14ac:dyDescent="0.35">
      <c r="A84" s="19" t="s">
        <v>4</v>
      </c>
      <c r="B84" s="20" t="s">
        <v>241</v>
      </c>
      <c r="C84" s="20" t="s">
        <v>242</v>
      </c>
      <c r="D84" s="20" t="s">
        <v>204</v>
      </c>
      <c r="E84" s="21" t="s">
        <v>204</v>
      </c>
    </row>
    <row r="85" spans="1:5" ht="29.5" thickBot="1" x14ac:dyDescent="0.4">
      <c r="A85" s="22" t="s">
        <v>4</v>
      </c>
      <c r="B85" s="23" t="s">
        <v>243</v>
      </c>
      <c r="C85" s="23" t="s">
        <v>244</v>
      </c>
      <c r="D85" s="23" t="s">
        <v>204</v>
      </c>
      <c r="E85" s="24" t="s">
        <v>204</v>
      </c>
    </row>
    <row r="86" spans="1:5" x14ac:dyDescent="0.35">
      <c r="A86" s="4"/>
      <c r="B86" s="4"/>
      <c r="C86" s="4"/>
      <c r="D86" s="4"/>
      <c r="E86" s="4"/>
    </row>
    <row r="87" spans="1:5" ht="15" thickBot="1" x14ac:dyDescent="0.4">
      <c r="A87" s="5" t="s">
        <v>245</v>
      </c>
      <c r="B87" s="5"/>
      <c r="C87" s="5"/>
      <c r="D87" s="5"/>
      <c r="E87" s="5"/>
    </row>
    <row r="88" spans="1:5" x14ac:dyDescent="0.35">
      <c r="A88" s="29" t="s">
        <v>246</v>
      </c>
      <c r="B88" s="30" t="s">
        <v>247</v>
      </c>
      <c r="C88" s="30" t="s">
        <v>248</v>
      </c>
      <c r="D88" s="30" t="s">
        <v>25</v>
      </c>
      <c r="E88" s="38" t="s">
        <v>4</v>
      </c>
    </row>
    <row r="89" spans="1:5" x14ac:dyDescent="0.35">
      <c r="A89" s="19" t="s">
        <v>249</v>
      </c>
      <c r="B89" s="20" t="s">
        <v>250</v>
      </c>
      <c r="C89" s="20" t="s">
        <v>251</v>
      </c>
      <c r="D89" s="20" t="s">
        <v>252</v>
      </c>
      <c r="E89" s="21" t="s">
        <v>253</v>
      </c>
    </row>
    <row r="90" spans="1:5" x14ac:dyDescent="0.35">
      <c r="A90" s="19" t="s">
        <v>166</v>
      </c>
      <c r="B90" s="20" t="s">
        <v>254</v>
      </c>
      <c r="C90" s="20" t="s">
        <v>251</v>
      </c>
      <c r="D90" s="20" t="s">
        <v>252</v>
      </c>
      <c r="E90" s="21" t="s">
        <v>255</v>
      </c>
    </row>
    <row r="91" spans="1:5" x14ac:dyDescent="0.35">
      <c r="A91" s="19" t="s">
        <v>256</v>
      </c>
      <c r="B91" s="20" t="s">
        <v>257</v>
      </c>
      <c r="C91" s="20" t="s">
        <v>258</v>
      </c>
      <c r="D91" s="20" t="s">
        <v>252</v>
      </c>
      <c r="E91" s="21" t="s">
        <v>259</v>
      </c>
    </row>
    <row r="92" spans="1:5" x14ac:dyDescent="0.35">
      <c r="A92" s="19" t="s">
        <v>241</v>
      </c>
      <c r="B92" s="20" t="s">
        <v>260</v>
      </c>
      <c r="C92" s="20" t="s">
        <v>251</v>
      </c>
      <c r="D92" s="20" t="s">
        <v>252</v>
      </c>
      <c r="E92" s="21" t="s">
        <v>261</v>
      </c>
    </row>
    <row r="93" spans="1:5" x14ac:dyDescent="0.35">
      <c r="A93" s="19" t="s">
        <v>262</v>
      </c>
      <c r="B93" s="20" t="s">
        <v>263</v>
      </c>
      <c r="C93" s="20" t="s">
        <v>258</v>
      </c>
      <c r="D93" s="20" t="s">
        <v>252</v>
      </c>
      <c r="E93" s="21" t="s">
        <v>264</v>
      </c>
    </row>
    <row r="94" spans="1:5" x14ac:dyDescent="0.35">
      <c r="A94" s="19" t="s">
        <v>265</v>
      </c>
      <c r="B94" s="20" t="s">
        <v>266</v>
      </c>
      <c r="C94" s="20" t="s">
        <v>267</v>
      </c>
      <c r="D94" s="20" t="s">
        <v>268</v>
      </c>
      <c r="E94" s="21" t="s">
        <v>269</v>
      </c>
    </row>
    <row r="95" spans="1:5" ht="15" thickBot="1" x14ac:dyDescent="0.4">
      <c r="A95" s="22" t="s">
        <v>270</v>
      </c>
      <c r="B95" s="23" t="s">
        <v>271</v>
      </c>
      <c r="C95" s="23" t="s">
        <v>251</v>
      </c>
      <c r="D95" s="23" t="s">
        <v>252</v>
      </c>
      <c r="E95" s="24" t="s">
        <v>272</v>
      </c>
    </row>
    <row r="96" spans="1:5" x14ac:dyDescent="0.35">
      <c r="A96" s="4"/>
      <c r="B96" s="4"/>
      <c r="C96" s="4"/>
      <c r="D96" s="4"/>
      <c r="E96" s="4"/>
    </row>
    <row r="97" spans="1:5" ht="15" thickBot="1" x14ac:dyDescent="0.4">
      <c r="A97" s="5" t="s">
        <v>273</v>
      </c>
      <c r="B97" s="5"/>
      <c r="C97" s="5"/>
      <c r="D97" s="5"/>
      <c r="E97" s="5"/>
    </row>
    <row r="98" spans="1:5" x14ac:dyDescent="0.35">
      <c r="A98" s="29" t="s">
        <v>157</v>
      </c>
      <c r="B98" s="30" t="s">
        <v>274</v>
      </c>
      <c r="C98" s="30" t="s">
        <v>275</v>
      </c>
      <c r="D98" s="30" t="s">
        <v>276</v>
      </c>
      <c r="E98" s="38" t="s">
        <v>277</v>
      </c>
    </row>
    <row r="99" spans="1:5" ht="29" x14ac:dyDescent="0.35">
      <c r="A99" s="19" t="s">
        <v>278</v>
      </c>
      <c r="B99" s="20" t="s">
        <v>279</v>
      </c>
      <c r="C99" s="20" t="s">
        <v>210</v>
      </c>
      <c r="D99" s="20" t="s">
        <v>280</v>
      </c>
      <c r="E99" s="21" t="s">
        <v>281</v>
      </c>
    </row>
    <row r="100" spans="1:5" x14ac:dyDescent="0.35">
      <c r="A100" s="19" t="s">
        <v>21</v>
      </c>
      <c r="B100" s="20" t="s">
        <v>282</v>
      </c>
      <c r="C100" s="20" t="s">
        <v>282</v>
      </c>
      <c r="D100" s="20" t="s">
        <v>224</v>
      </c>
      <c r="E100" s="21" t="s">
        <v>283</v>
      </c>
    </row>
    <row r="101" spans="1:5" x14ac:dyDescent="0.35">
      <c r="A101" s="19" t="s">
        <v>284</v>
      </c>
      <c r="B101" s="20" t="s">
        <v>178</v>
      </c>
      <c r="C101" s="20" t="s">
        <v>178</v>
      </c>
      <c r="D101" s="20" t="s">
        <v>178</v>
      </c>
      <c r="E101" s="21" t="s">
        <v>285</v>
      </c>
    </row>
    <row r="102" spans="1:5" x14ac:dyDescent="0.35">
      <c r="A102" s="19" t="s">
        <v>286</v>
      </c>
      <c r="B102" s="20" t="s">
        <v>180</v>
      </c>
      <c r="C102" s="20" t="s">
        <v>180</v>
      </c>
      <c r="D102" s="20" t="s">
        <v>180</v>
      </c>
      <c r="E102" s="21" t="s">
        <v>287</v>
      </c>
    </row>
    <row r="103" spans="1:5" x14ac:dyDescent="0.35">
      <c r="A103" s="19" t="s">
        <v>288</v>
      </c>
      <c r="B103" s="20" t="s">
        <v>182</v>
      </c>
      <c r="C103" s="20" t="s">
        <v>182</v>
      </c>
      <c r="D103" s="20" t="s">
        <v>182</v>
      </c>
      <c r="E103" s="21" t="s">
        <v>289</v>
      </c>
    </row>
    <row r="104" spans="1:5" x14ac:dyDescent="0.35">
      <c r="A104" s="19" t="s">
        <v>290</v>
      </c>
      <c r="B104" s="20" t="s">
        <v>184</v>
      </c>
      <c r="C104" s="20" t="s">
        <v>184</v>
      </c>
      <c r="D104" s="20" t="s">
        <v>184</v>
      </c>
      <c r="E104" s="21" t="s">
        <v>291</v>
      </c>
    </row>
    <row r="105" spans="1:5" x14ac:dyDescent="0.35">
      <c r="A105" s="19" t="s">
        <v>292</v>
      </c>
      <c r="B105" s="20" t="s">
        <v>188</v>
      </c>
      <c r="C105" s="20" t="s">
        <v>188</v>
      </c>
      <c r="D105" s="20" t="s">
        <v>293</v>
      </c>
      <c r="E105" s="21" t="s">
        <v>294</v>
      </c>
    </row>
    <row r="106" spans="1:5" x14ac:dyDescent="0.35">
      <c r="A106" s="19" t="s">
        <v>295</v>
      </c>
      <c r="B106" s="20" t="s">
        <v>192</v>
      </c>
      <c r="C106" s="20" t="s">
        <v>192</v>
      </c>
      <c r="D106" s="20" t="s">
        <v>234</v>
      </c>
      <c r="E106" s="21" t="s">
        <v>296</v>
      </c>
    </row>
    <row r="107" spans="1:5" x14ac:dyDescent="0.35">
      <c r="A107" s="19" t="s">
        <v>297</v>
      </c>
      <c r="B107" s="20" t="s">
        <v>298</v>
      </c>
      <c r="C107" s="20" t="s">
        <v>298</v>
      </c>
      <c r="D107" s="20" t="s">
        <v>299</v>
      </c>
      <c r="E107" s="21" t="s">
        <v>300</v>
      </c>
    </row>
    <row r="108" spans="1:5" x14ac:dyDescent="0.35">
      <c r="A108" s="19" t="s">
        <v>301</v>
      </c>
      <c r="B108" s="20" t="s">
        <v>302</v>
      </c>
      <c r="C108" s="20" t="s">
        <v>302</v>
      </c>
      <c r="D108" s="20" t="s">
        <v>303</v>
      </c>
      <c r="E108" s="21" t="s">
        <v>304</v>
      </c>
    </row>
    <row r="109" spans="1:5" ht="15" thickBot="1" x14ac:dyDescent="0.4">
      <c r="A109" s="22" t="s">
        <v>305</v>
      </c>
      <c r="B109" s="23" t="s">
        <v>306</v>
      </c>
      <c r="C109" s="23" t="s">
        <v>307</v>
      </c>
      <c r="D109" s="23" t="s">
        <v>308</v>
      </c>
      <c r="E109" s="24" t="s">
        <v>309</v>
      </c>
    </row>
    <row r="110" spans="1:5" x14ac:dyDescent="0.35">
      <c r="A110" s="4"/>
      <c r="B110" s="4"/>
      <c r="C110" s="4"/>
      <c r="D110" s="4"/>
      <c r="E110" s="4"/>
    </row>
    <row r="111" spans="1:5" ht="15" thickBot="1" x14ac:dyDescent="0.4">
      <c r="A111" s="5" t="s">
        <v>310</v>
      </c>
      <c r="B111" s="5"/>
      <c r="C111" s="5"/>
      <c r="D111" s="5"/>
      <c r="E111" s="5"/>
    </row>
    <row r="112" spans="1:5" x14ac:dyDescent="0.35">
      <c r="A112" s="29" t="s">
        <v>311</v>
      </c>
      <c r="B112" s="30" t="s">
        <v>312</v>
      </c>
      <c r="C112" s="30" t="s">
        <v>313</v>
      </c>
      <c r="D112" s="30" t="s">
        <v>314</v>
      </c>
      <c r="E112" s="38" t="s">
        <v>25</v>
      </c>
    </row>
    <row r="113" spans="1:5" x14ac:dyDescent="0.35">
      <c r="A113" s="19" t="s">
        <v>315</v>
      </c>
      <c r="B113" s="20" t="s">
        <v>316</v>
      </c>
      <c r="C113" s="20" t="s">
        <v>317</v>
      </c>
      <c r="D113" s="20"/>
      <c r="E113" s="21" t="s">
        <v>268</v>
      </c>
    </row>
    <row r="114" spans="1:5" x14ac:dyDescent="0.35">
      <c r="A114" s="19" t="s">
        <v>318</v>
      </c>
      <c r="B114" s="20" t="s">
        <v>316</v>
      </c>
      <c r="C114" s="20" t="s">
        <v>317</v>
      </c>
      <c r="D114" s="20"/>
      <c r="E114" s="21" t="s">
        <v>268</v>
      </c>
    </row>
    <row r="115" spans="1:5" x14ac:dyDescent="0.35">
      <c r="A115" s="19" t="s">
        <v>319</v>
      </c>
      <c r="B115" s="20" t="s">
        <v>316</v>
      </c>
      <c r="C115" s="20" t="s">
        <v>317</v>
      </c>
      <c r="D115" s="20"/>
      <c r="E115" s="21" t="s">
        <v>268</v>
      </c>
    </row>
    <row r="116" spans="1:5" x14ac:dyDescent="0.35">
      <c r="A116" s="19" t="s">
        <v>320</v>
      </c>
      <c r="B116" s="20" t="s">
        <v>316</v>
      </c>
      <c r="C116" s="20" t="s">
        <v>317</v>
      </c>
      <c r="D116" s="20"/>
      <c r="E116" s="21" t="s">
        <v>268</v>
      </c>
    </row>
    <row r="117" spans="1:5" x14ac:dyDescent="0.35">
      <c r="A117" s="19" t="s">
        <v>321</v>
      </c>
      <c r="B117" s="20" t="s">
        <v>316</v>
      </c>
      <c r="C117" s="20" t="s">
        <v>317</v>
      </c>
      <c r="D117" s="20"/>
      <c r="E117" s="21" t="s">
        <v>268</v>
      </c>
    </row>
    <row r="118" spans="1:5" ht="15" thickBot="1" x14ac:dyDescent="0.4">
      <c r="A118" s="22" t="s">
        <v>322</v>
      </c>
      <c r="B118" s="23" t="s">
        <v>316</v>
      </c>
      <c r="C118" s="23" t="s">
        <v>317</v>
      </c>
      <c r="D118" s="23"/>
      <c r="E118" s="24" t="s">
        <v>268</v>
      </c>
    </row>
    <row r="119" spans="1:5" x14ac:dyDescent="0.35">
      <c r="A119" s="4"/>
      <c r="B119" s="4"/>
      <c r="C119" s="4"/>
      <c r="D119" s="4"/>
      <c r="E119" s="4"/>
    </row>
    <row r="120" spans="1:5" x14ac:dyDescent="0.35">
      <c r="A120" s="5" t="s">
        <v>323</v>
      </c>
      <c r="B120" s="5"/>
      <c r="C120" s="5"/>
      <c r="D120" s="5"/>
      <c r="E120" s="5"/>
    </row>
    <row r="121" spans="1:5" x14ac:dyDescent="0.35">
      <c r="A121" s="2" t="s">
        <v>324</v>
      </c>
      <c r="B121" s="2"/>
      <c r="C121" s="2"/>
      <c r="D121" s="2"/>
      <c r="E121" s="2"/>
    </row>
    <row r="122" spans="1:5" x14ac:dyDescent="0.35">
      <c r="A122" s="3" t="s">
        <v>325</v>
      </c>
      <c r="B122" s="3"/>
      <c r="C122" s="3"/>
      <c r="D122" s="3"/>
      <c r="E122" s="3"/>
    </row>
    <row r="123" spans="1:5" x14ac:dyDescent="0.35">
      <c r="A123" s="3" t="s">
        <v>326</v>
      </c>
      <c r="B123" s="3"/>
      <c r="C123" s="3"/>
      <c r="D123" s="3"/>
      <c r="E123" s="3"/>
    </row>
    <row r="124" spans="1:5" x14ac:dyDescent="0.35">
      <c r="A124" s="3" t="s">
        <v>327</v>
      </c>
      <c r="B124" s="3"/>
      <c r="C124" s="3"/>
      <c r="D124" s="3"/>
      <c r="E124" s="3"/>
    </row>
    <row r="125" spans="1:5" x14ac:dyDescent="0.35">
      <c r="A125" s="3" t="s">
        <v>328</v>
      </c>
      <c r="B125" s="3"/>
      <c r="C125" s="3"/>
      <c r="D125" s="3"/>
      <c r="E125" s="3"/>
    </row>
    <row r="126" spans="1:5" x14ac:dyDescent="0.35">
      <c r="A126" s="7"/>
      <c r="B126" s="7"/>
      <c r="C126" s="7"/>
      <c r="D126" s="7"/>
      <c r="E126" s="7"/>
    </row>
    <row r="127" spans="1:5" x14ac:dyDescent="0.35">
      <c r="A127" s="25" t="s">
        <v>329</v>
      </c>
      <c r="B127" s="25"/>
      <c r="C127" s="25"/>
      <c r="D127" s="25"/>
      <c r="E127" s="25"/>
    </row>
    <row r="128" spans="1:5" x14ac:dyDescent="0.35">
      <c r="A128" s="12" t="s">
        <v>330</v>
      </c>
      <c r="B128" s="12"/>
      <c r="C128" s="12"/>
      <c r="D128" s="12"/>
      <c r="E128" s="12"/>
    </row>
    <row r="129" spans="1:5" x14ac:dyDescent="0.35">
      <c r="A129" s="13"/>
      <c r="B129" s="13"/>
      <c r="C129" s="13"/>
      <c r="D129" s="13"/>
      <c r="E129" s="13"/>
    </row>
    <row r="130" spans="1:5" x14ac:dyDescent="0.35">
      <c r="A130" s="13" t="s">
        <v>331</v>
      </c>
      <c r="B130" s="13"/>
      <c r="C130" s="13"/>
      <c r="D130" s="13"/>
      <c r="E130" s="13"/>
    </row>
    <row r="131" spans="1:5" ht="15" customHeight="1" x14ac:dyDescent="0.35">
      <c r="A131" s="1"/>
      <c r="B131" s="1"/>
      <c r="C131" s="1"/>
      <c r="D131" s="1"/>
      <c r="E131" s="1"/>
    </row>
    <row r="132" spans="1:5" ht="15" customHeight="1" x14ac:dyDescent="0.35">
      <c r="A132" s="1"/>
      <c r="B132" s="1"/>
      <c r="C132" s="1"/>
      <c r="D132" s="1"/>
      <c r="E132" s="1"/>
    </row>
    <row r="133" spans="1:5" ht="15" customHeight="1" x14ac:dyDescent="0.35">
      <c r="A133" s="1"/>
      <c r="B133" s="1"/>
      <c r="C133" s="1"/>
      <c r="D133" s="1"/>
      <c r="E133" s="1"/>
    </row>
    <row r="134" spans="1:5" ht="15" customHeight="1" x14ac:dyDescent="0.35"/>
    <row r="135" spans="1:5" ht="15" customHeight="1" x14ac:dyDescent="0.35"/>
    <row r="136" spans="1:5" ht="15" customHeight="1" x14ac:dyDescent="0.35"/>
    <row r="137" spans="1:5" ht="15" customHeight="1" x14ac:dyDescent="0.35"/>
    <row r="138" spans="1:5" ht="15" customHeight="1" x14ac:dyDescent="0.35"/>
    <row r="139" spans="1:5" ht="15" customHeight="1" x14ac:dyDescent="0.35"/>
    <row r="140" spans="1:5" ht="15" customHeight="1" x14ac:dyDescent="0.35"/>
    <row r="141" spans="1:5" ht="15" customHeight="1" x14ac:dyDescent="0.35"/>
    <row r="142" spans="1:5" ht="15" customHeight="1" x14ac:dyDescent="0.35"/>
    <row r="143" spans="1:5" ht="15" customHeight="1" x14ac:dyDescent="0.35"/>
    <row r="144" spans="1:5" ht="15" customHeight="1" x14ac:dyDescent="0.35"/>
    <row r="145" ht="15" customHeight="1" x14ac:dyDescent="0.35"/>
    <row r="146" ht="15" customHeight="1" x14ac:dyDescent="0.35"/>
    <row r="147" ht="15" customHeight="1" x14ac:dyDescent="0.35"/>
    <row r="148" ht="15" customHeight="1" x14ac:dyDescent="0.35"/>
    <row r="149" ht="15"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5"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5"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5" customHeight="1" x14ac:dyDescent="0.35"/>
    <row r="182" ht="15" customHeight="1" x14ac:dyDescent="0.35"/>
    <row r="183" ht="15" customHeight="1" x14ac:dyDescent="0.35"/>
    <row r="184" ht="15" customHeight="1" x14ac:dyDescent="0.35"/>
    <row r="185" ht="15" customHeight="1" x14ac:dyDescent="0.35"/>
    <row r="186" ht="15" customHeight="1" x14ac:dyDescent="0.35"/>
    <row r="187" ht="15" customHeight="1" x14ac:dyDescent="0.35"/>
    <row r="188" ht="15" customHeight="1" x14ac:dyDescent="0.35"/>
    <row r="189" ht="15" customHeight="1" x14ac:dyDescent="0.35"/>
    <row r="190" ht="15" customHeight="1" x14ac:dyDescent="0.35"/>
    <row r="191" ht="15" customHeight="1" x14ac:dyDescent="0.35"/>
    <row r="192"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sheetData>
  <mergeCells count="32">
    <mergeCell ref="A67:E67"/>
    <mergeCell ref="A70:E70"/>
    <mergeCell ref="A72:E72"/>
    <mergeCell ref="A75:E75"/>
    <mergeCell ref="A78:E78"/>
    <mergeCell ref="A83:E83"/>
    <mergeCell ref="A45:E45"/>
    <mergeCell ref="A50:E50"/>
    <mergeCell ref="A53:E53"/>
    <mergeCell ref="A55:E55"/>
    <mergeCell ref="A57:E57"/>
    <mergeCell ref="A63:E63"/>
    <mergeCell ref="A97:E97"/>
    <mergeCell ref="A111:E111"/>
    <mergeCell ref="A7:E7"/>
    <mergeCell ref="A16:E16"/>
    <mergeCell ref="A21:E21"/>
    <mergeCell ref="A23:E23"/>
    <mergeCell ref="A26:E26"/>
    <mergeCell ref="A28:E28"/>
    <mergeCell ref="A30:E30"/>
    <mergeCell ref="A37:E37"/>
    <mergeCell ref="A1:E1"/>
    <mergeCell ref="A2:E2"/>
    <mergeCell ref="A3:E3"/>
    <mergeCell ref="A120:E120"/>
    <mergeCell ref="A127:E127"/>
    <mergeCell ref="A128:E128"/>
    <mergeCell ref="A5:E5"/>
    <mergeCell ref="A35:E35"/>
    <mergeCell ref="A61:E61"/>
    <mergeCell ref="A87:E8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12ED6-0379-47B4-8F89-8826E991ECDF}">
  <sheetPr>
    <tabColor rgb="FF1F4E79"/>
  </sheetPr>
  <dimension ref="A1:F24"/>
  <sheetViews>
    <sheetView showGridLines="0" topLeftCell="A14" workbookViewId="0">
      <selection sqref="A1:F1"/>
    </sheetView>
  </sheetViews>
  <sheetFormatPr defaultRowHeight="14.5" x14ac:dyDescent="0.35"/>
  <cols>
    <col min="1" max="1" width="22.36328125" bestFit="1" customWidth="1"/>
    <col min="2" max="2" width="17.81640625" customWidth="1"/>
    <col min="3" max="3" width="24.90625" bestFit="1" customWidth="1"/>
    <col min="4" max="4" width="44.26953125" customWidth="1"/>
    <col min="5" max="5" width="40.90625" customWidth="1"/>
    <col min="6" max="6" width="72.36328125" customWidth="1"/>
  </cols>
  <sheetData>
    <row r="1" spans="1:6" ht="38" customHeight="1" x14ac:dyDescent="0.35">
      <c r="A1" s="49" t="s">
        <v>550</v>
      </c>
      <c r="B1" s="49"/>
      <c r="C1" s="49"/>
      <c r="D1" s="49"/>
      <c r="E1" s="49"/>
      <c r="F1" s="49"/>
    </row>
    <row r="2" spans="1:6" ht="26" customHeight="1" x14ac:dyDescent="0.35">
      <c r="A2" s="50" t="s">
        <v>551</v>
      </c>
      <c r="B2" s="50"/>
      <c r="C2" s="50"/>
      <c r="D2" s="50"/>
      <c r="E2" s="50"/>
      <c r="F2" s="50"/>
    </row>
    <row r="3" spans="1:6" ht="20" customHeight="1" x14ac:dyDescent="0.35">
      <c r="A3" s="51" t="s">
        <v>552</v>
      </c>
      <c r="B3" s="51"/>
      <c r="C3" s="51"/>
      <c r="D3" s="51"/>
      <c r="E3" s="51"/>
      <c r="F3" s="51"/>
    </row>
    <row r="4" spans="1:6" ht="18" customHeight="1" x14ac:dyDescent="0.35">
      <c r="A4" s="47"/>
      <c r="B4" s="47"/>
      <c r="C4" s="47"/>
      <c r="D4" s="47"/>
      <c r="E4" s="47"/>
      <c r="F4" s="47"/>
    </row>
    <row r="5" spans="1:6" ht="18" customHeight="1" x14ac:dyDescent="0.35">
      <c r="A5" s="52" t="s">
        <v>553</v>
      </c>
      <c r="B5" s="52"/>
      <c r="C5" s="52"/>
      <c r="D5" s="52"/>
      <c r="E5" s="52"/>
      <c r="F5" s="52"/>
    </row>
    <row r="6" spans="1:6" ht="22" customHeight="1" x14ac:dyDescent="0.35">
      <c r="A6" s="55" t="s">
        <v>554</v>
      </c>
      <c r="B6" s="56" t="s">
        <v>555</v>
      </c>
      <c r="C6" s="56" t="s">
        <v>25</v>
      </c>
      <c r="D6" s="56" t="s">
        <v>556</v>
      </c>
      <c r="E6" s="56" t="s">
        <v>540</v>
      </c>
      <c r="F6" s="57" t="s">
        <v>557</v>
      </c>
    </row>
    <row r="7" spans="1:6" ht="18" customHeight="1" x14ac:dyDescent="0.35">
      <c r="A7" s="42" t="s">
        <v>358</v>
      </c>
      <c r="B7" s="41" t="s">
        <v>426</v>
      </c>
      <c r="C7" s="41" t="s">
        <v>558</v>
      </c>
      <c r="D7" s="41" t="s">
        <v>559</v>
      </c>
      <c r="E7" s="41" t="s">
        <v>560</v>
      </c>
      <c r="F7" s="58" t="s">
        <v>561</v>
      </c>
    </row>
    <row r="8" spans="1:6" ht="18" customHeight="1" x14ac:dyDescent="0.35">
      <c r="A8" s="42" t="s">
        <v>358</v>
      </c>
      <c r="B8" s="41" t="s">
        <v>562</v>
      </c>
      <c r="C8" s="41" t="s">
        <v>563</v>
      </c>
      <c r="D8" s="41" t="s">
        <v>564</v>
      </c>
      <c r="E8" s="41" t="s">
        <v>565</v>
      </c>
      <c r="F8" s="58" t="s">
        <v>561</v>
      </c>
    </row>
    <row r="9" spans="1:6" ht="18" customHeight="1" x14ac:dyDescent="0.35">
      <c r="A9" s="42" t="s">
        <v>358</v>
      </c>
      <c r="B9" s="41" t="s">
        <v>566</v>
      </c>
      <c r="C9" s="41" t="s">
        <v>567</v>
      </c>
      <c r="D9" s="41" t="s">
        <v>568</v>
      </c>
      <c r="E9" s="41" t="s">
        <v>569</v>
      </c>
      <c r="F9" s="58" t="s">
        <v>561</v>
      </c>
    </row>
    <row r="10" spans="1:6" ht="18" customHeight="1" x14ac:dyDescent="0.35">
      <c r="A10" s="42" t="s">
        <v>570</v>
      </c>
      <c r="B10" s="41" t="s">
        <v>571</v>
      </c>
      <c r="C10" s="41" t="s">
        <v>572</v>
      </c>
      <c r="D10" s="41" t="s">
        <v>573</v>
      </c>
      <c r="E10" s="41" t="s">
        <v>574</v>
      </c>
      <c r="F10" s="58" t="s">
        <v>575</v>
      </c>
    </row>
    <row r="11" spans="1:6" ht="18" customHeight="1" x14ac:dyDescent="0.35">
      <c r="A11" s="42" t="s">
        <v>576</v>
      </c>
      <c r="B11" s="41" t="s">
        <v>577</v>
      </c>
      <c r="C11" s="41" t="s">
        <v>578</v>
      </c>
      <c r="D11" s="41" t="s">
        <v>579</v>
      </c>
      <c r="E11" s="41" t="s">
        <v>580</v>
      </c>
      <c r="F11" s="58" t="s">
        <v>575</v>
      </c>
    </row>
    <row r="12" spans="1:6" ht="18" customHeight="1" x14ac:dyDescent="0.35">
      <c r="A12" s="42" t="s">
        <v>576</v>
      </c>
      <c r="B12" s="41" t="s">
        <v>581</v>
      </c>
      <c r="C12" s="41" t="s">
        <v>578</v>
      </c>
      <c r="D12" s="41" t="s">
        <v>582</v>
      </c>
      <c r="E12" s="41" t="s">
        <v>583</v>
      </c>
      <c r="F12" s="58" t="s">
        <v>575</v>
      </c>
    </row>
    <row r="13" spans="1:6" ht="29" x14ac:dyDescent="0.35">
      <c r="A13" s="42" t="s">
        <v>584</v>
      </c>
      <c r="B13" s="41" t="s">
        <v>585</v>
      </c>
      <c r="C13" s="41" t="s">
        <v>586</v>
      </c>
      <c r="D13" s="41" t="s">
        <v>587</v>
      </c>
      <c r="E13" s="41" t="s">
        <v>588</v>
      </c>
      <c r="F13" s="58" t="s">
        <v>575</v>
      </c>
    </row>
    <row r="14" spans="1:6" ht="43.5" x14ac:dyDescent="0.35">
      <c r="A14" s="44" t="s">
        <v>589</v>
      </c>
      <c r="B14" s="45" t="s">
        <v>590</v>
      </c>
      <c r="C14" s="45" t="s">
        <v>591</v>
      </c>
      <c r="D14" s="45" t="s">
        <v>592</v>
      </c>
      <c r="E14" s="45" t="s">
        <v>593</v>
      </c>
      <c r="F14" s="59" t="s">
        <v>575</v>
      </c>
    </row>
    <row r="15" spans="1:6" x14ac:dyDescent="0.35">
      <c r="A15" s="48"/>
      <c r="B15" s="48"/>
      <c r="C15" s="48"/>
      <c r="D15" s="48"/>
      <c r="E15" s="48"/>
      <c r="F15" s="48"/>
    </row>
    <row r="16" spans="1:6" ht="15.5" x14ac:dyDescent="0.35">
      <c r="A16" s="53" t="s">
        <v>594</v>
      </c>
      <c r="B16" s="53"/>
      <c r="C16" s="53"/>
      <c r="D16" s="53"/>
      <c r="E16" s="53"/>
      <c r="F16" s="53"/>
    </row>
    <row r="17" spans="1:6" x14ac:dyDescent="0.35">
      <c r="A17" s="54" t="s">
        <v>595</v>
      </c>
      <c r="B17" s="54"/>
      <c r="C17" s="54"/>
      <c r="D17" s="54"/>
      <c r="E17" s="54"/>
      <c r="F17" s="54"/>
    </row>
    <row r="18" spans="1:6" ht="22" customHeight="1" x14ac:dyDescent="0.35">
      <c r="A18" s="55" t="s">
        <v>596</v>
      </c>
      <c r="B18" s="56" t="s">
        <v>25</v>
      </c>
      <c r="C18" s="56" t="s">
        <v>597</v>
      </c>
      <c r="D18" s="56" t="s">
        <v>598</v>
      </c>
      <c r="E18" s="56" t="s">
        <v>599</v>
      </c>
      <c r="F18" s="57" t="s">
        <v>4</v>
      </c>
    </row>
    <row r="19" spans="1:6" ht="29" x14ac:dyDescent="0.35">
      <c r="A19" s="42" t="s">
        <v>600</v>
      </c>
      <c r="B19" s="41" t="s">
        <v>601</v>
      </c>
      <c r="C19" s="41" t="s">
        <v>602</v>
      </c>
      <c r="D19" s="41" t="s">
        <v>603</v>
      </c>
      <c r="E19" s="60" t="s">
        <v>604</v>
      </c>
      <c r="F19" s="43" t="s">
        <v>605</v>
      </c>
    </row>
    <row r="20" spans="1:6" ht="43.5" x14ac:dyDescent="0.35">
      <c r="A20" s="42" t="s">
        <v>606</v>
      </c>
      <c r="B20" s="41" t="s">
        <v>607</v>
      </c>
      <c r="C20" s="41" t="s">
        <v>608</v>
      </c>
      <c r="D20" s="41" t="s">
        <v>609</v>
      </c>
      <c r="E20" s="60" t="s">
        <v>604</v>
      </c>
      <c r="F20" s="43" t="s">
        <v>610</v>
      </c>
    </row>
    <row r="21" spans="1:6" ht="43.5" x14ac:dyDescent="0.35">
      <c r="A21" s="42" t="s">
        <v>611</v>
      </c>
      <c r="B21" s="41" t="s">
        <v>607</v>
      </c>
      <c r="C21" s="41" t="s">
        <v>608</v>
      </c>
      <c r="D21" s="41" t="s">
        <v>612</v>
      </c>
      <c r="E21" s="60" t="s">
        <v>604</v>
      </c>
      <c r="F21" s="43" t="s">
        <v>613</v>
      </c>
    </row>
    <row r="22" spans="1:6" ht="43.5" x14ac:dyDescent="0.35">
      <c r="A22" s="42" t="s">
        <v>614</v>
      </c>
      <c r="B22" s="41" t="s">
        <v>607</v>
      </c>
      <c r="C22" s="41" t="s">
        <v>615</v>
      </c>
      <c r="D22" s="41" t="s">
        <v>616</v>
      </c>
      <c r="E22" s="60" t="s">
        <v>604</v>
      </c>
      <c r="F22" s="43" t="s">
        <v>613</v>
      </c>
    </row>
    <row r="23" spans="1:6" ht="43.5" x14ac:dyDescent="0.35">
      <c r="A23" s="42" t="s">
        <v>617</v>
      </c>
      <c r="B23" s="41" t="s">
        <v>607</v>
      </c>
      <c r="C23" s="41" t="s">
        <v>608</v>
      </c>
      <c r="D23" s="41" t="s">
        <v>618</v>
      </c>
      <c r="E23" s="60" t="s">
        <v>604</v>
      </c>
      <c r="F23" s="43" t="s">
        <v>613</v>
      </c>
    </row>
    <row r="24" spans="1:6" ht="29" x14ac:dyDescent="0.35">
      <c r="A24" s="44" t="s">
        <v>619</v>
      </c>
      <c r="B24" s="45" t="s">
        <v>620</v>
      </c>
      <c r="C24" s="45" t="s">
        <v>621</v>
      </c>
      <c r="D24" s="45" t="s">
        <v>622</v>
      </c>
      <c r="E24" s="61" t="s">
        <v>604</v>
      </c>
      <c r="F24" s="46" t="s">
        <v>623</v>
      </c>
    </row>
  </sheetData>
  <mergeCells count="6">
    <mergeCell ref="A1:F1"/>
    <mergeCell ref="A2:F2"/>
    <mergeCell ref="A3:F3"/>
    <mergeCell ref="A5:F5"/>
    <mergeCell ref="A16:F16"/>
    <mergeCell ref="A17:F17"/>
  </mergeCells>
  <pageMargins left="0.7" right="0.7" top="0.75" bottom="0.75" header="0.3" footer="0.3"/>
  <tableParts count="2">
    <tablePart r:id="rId1"/>
    <tablePart r:id="rId2"/>
  </tableParts>
</worksheet>
</file>

<file path=docMetadata/LabelInfo.xml><?xml version="1.0" encoding="utf-8"?>
<clbl:labelList xmlns:clbl="http://schemas.microsoft.com/office/2020/mipLabelMetadata">
  <clbl:label id="{e7f09a8f-df31-4464-b100-d09a5dbff5c8}" enabled="1" method="Standard" siteId="{570057f4-73ef-41c8-bcbb-08db2fc15c2b}"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GCP Evaluation</vt:lpstr>
      <vt:lpstr>Read Me</vt:lpstr>
      <vt:lpstr>Assumptions</vt:lpstr>
      <vt:lpstr>Unsupported OS &amp; Regions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Upendra Kumar</cp:lastModifiedBy>
  <cp:revision>0</cp:revision>
  <dcterms:created xsi:type="dcterms:W3CDTF">2026-04-25T12:28:26Z</dcterms:created>
  <dcterms:modified xsi:type="dcterms:W3CDTF">2026-04-26T07:33:51Z</dcterms:modified>
  <dc:language>en-US</dc:language>
</cp:coreProperties>
</file>