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axglobal-my.sharepoint.com/personal/upendra_kumar_rackspace_com1/Documents/Projects/DMG/Cloud Readiness acceleartor/Templates/"/>
    </mc:Choice>
  </mc:AlternateContent>
  <xr:revisionPtr revIDLastSave="1386" documentId="11_BF8BF684C61AEC61142682DE8EFFD4B56F0F6EB2" xr6:coauthVersionLast="47" xr6:coauthVersionMax="47" xr10:uidLastSave="{A34BD35C-0A38-4E7B-B303-D58CF6708161}"/>
  <bookViews>
    <workbookView xWindow="-110" yWindow="-110" windowWidth="19420" windowHeight="10300" tabRatio="500" firstSheet="1" activeTab="2" xr2:uid="{00000000-000D-0000-FFFF-FFFF00000000}"/>
  </bookViews>
  <sheets>
    <sheet name="Readiness Scoring" sheetId="1" r:id="rId1"/>
    <sheet name="Lookup" sheetId="2" r:id="rId2"/>
    <sheet name="Selection Criteria" sheetId="3" r:id="rId3"/>
    <sheet name="Scoring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3" l="1"/>
  <c r="G10" i="3" s="1"/>
  <c r="F11" i="3"/>
  <c r="M11" i="3" s="1"/>
  <c r="G11" i="3"/>
  <c r="I11" i="3"/>
  <c r="K11" i="3"/>
  <c r="F12" i="3"/>
  <c r="K12" i="3" s="1"/>
  <c r="G12" i="3"/>
  <c r="I12" i="3"/>
  <c r="F13" i="3"/>
  <c r="K13" i="3" s="1"/>
  <c r="F14" i="3"/>
  <c r="K14" i="3" s="1"/>
  <c r="G14" i="3"/>
  <c r="I14" i="3"/>
  <c r="F15" i="3"/>
  <c r="K15" i="3" s="1"/>
  <c r="G15" i="3"/>
  <c r="I15" i="3"/>
  <c r="F16" i="3"/>
  <c r="G16" i="3" s="1"/>
  <c r="K16" i="3"/>
  <c r="M16" i="3"/>
  <c r="F17" i="3"/>
  <c r="G17" i="3" s="1"/>
  <c r="F18" i="3"/>
  <c r="M18" i="3" s="1"/>
  <c r="G18" i="3"/>
  <c r="I18" i="3"/>
  <c r="K18" i="3"/>
  <c r="F19" i="3"/>
  <c r="I19" i="3" s="1"/>
  <c r="G19" i="3"/>
  <c r="K19" i="3"/>
  <c r="M19" i="3"/>
  <c r="F20" i="3"/>
  <c r="I20" i="3" s="1"/>
  <c r="F21" i="3"/>
  <c r="G21" i="3"/>
  <c r="I21" i="3"/>
  <c r="K21" i="3"/>
  <c r="M21" i="3"/>
  <c r="F22" i="3"/>
  <c r="G22" i="3" s="1"/>
  <c r="M22" i="3"/>
  <c r="F23" i="3"/>
  <c r="K23" i="3" s="1"/>
  <c r="G23" i="3"/>
  <c r="I23" i="3"/>
  <c r="F24" i="3"/>
  <c r="G24" i="3" s="1"/>
  <c r="I24" i="3"/>
  <c r="K24" i="3"/>
  <c r="M24" i="3"/>
  <c r="F25" i="3"/>
  <c r="G25" i="3" s="1"/>
  <c r="F26" i="3"/>
  <c r="M26" i="3" s="1"/>
  <c r="I26" i="3"/>
  <c r="K26" i="3"/>
  <c r="F27" i="3"/>
  <c r="G27" i="3"/>
  <c r="I27" i="3"/>
  <c r="K27" i="3"/>
  <c r="M27" i="3"/>
  <c r="F28" i="3"/>
  <c r="I28" i="3" s="1"/>
  <c r="G28" i="3"/>
  <c r="F29" i="3"/>
  <c r="G29" i="3"/>
  <c r="I29" i="3"/>
  <c r="K29" i="3"/>
  <c r="M29" i="3"/>
  <c r="P30" i="3"/>
  <c r="I13" i="3" l="1"/>
  <c r="G13" i="3"/>
  <c r="G26" i="3"/>
  <c r="I16" i="3"/>
  <c r="M10" i="3"/>
  <c r="M25" i="3"/>
  <c r="K22" i="3"/>
  <c r="M17" i="3"/>
  <c r="K10" i="3"/>
  <c r="I22" i="3"/>
  <c r="M20" i="3"/>
  <c r="K17" i="3"/>
  <c r="I10" i="3"/>
  <c r="G20" i="3"/>
  <c r="G30" i="3" s="1"/>
  <c r="M28" i="3"/>
  <c r="K25" i="3"/>
  <c r="K28" i="3"/>
  <c r="I25" i="3"/>
  <c r="M23" i="3"/>
  <c r="K20" i="3"/>
  <c r="I17" i="3"/>
  <c r="M15" i="3"/>
  <c r="M14" i="3"/>
  <c r="M13" i="3"/>
  <c r="M12" i="3"/>
  <c r="D117" i="1"/>
  <c r="B127" i="1" s="1"/>
  <c r="D127" i="1" s="1"/>
  <c r="D95" i="1"/>
  <c r="D73" i="1"/>
  <c r="B125" i="1" s="1"/>
  <c r="D125" i="1" s="1"/>
  <c r="D51" i="1"/>
  <c r="D29" i="1"/>
  <c r="B123" i="1" s="1"/>
  <c r="B126" i="1"/>
  <c r="D126" i="1" s="1"/>
  <c r="B124" i="1"/>
  <c r="D124" i="1" s="1"/>
  <c r="D113" i="1"/>
  <c r="C113" i="1"/>
  <c r="D109" i="1"/>
  <c r="C109" i="1"/>
  <c r="D105" i="1"/>
  <c r="C105" i="1"/>
  <c r="D101" i="1"/>
  <c r="C101" i="1"/>
  <c r="D91" i="1"/>
  <c r="C91" i="1"/>
  <c r="D87" i="1"/>
  <c r="C87" i="1"/>
  <c r="D83" i="1"/>
  <c r="C83" i="1"/>
  <c r="D79" i="1"/>
  <c r="C79" i="1"/>
  <c r="D69" i="1"/>
  <c r="C69" i="1"/>
  <c r="D65" i="1"/>
  <c r="C65" i="1"/>
  <c r="D61" i="1"/>
  <c r="C61" i="1"/>
  <c r="D57" i="1"/>
  <c r="C57" i="1"/>
  <c r="D47" i="1"/>
  <c r="C47" i="1"/>
  <c r="D43" i="1"/>
  <c r="C43" i="1"/>
  <c r="D39" i="1"/>
  <c r="C39" i="1"/>
  <c r="D35" i="1"/>
  <c r="C35" i="1"/>
  <c r="D25" i="1"/>
  <c r="C25" i="1"/>
  <c r="D21" i="1"/>
  <c r="C21" i="1"/>
  <c r="D17" i="1"/>
  <c r="C17" i="1"/>
  <c r="D13" i="1"/>
  <c r="C13" i="1"/>
  <c r="C128" i="1"/>
  <c r="U12" i="3" l="1"/>
  <c r="K30" i="3"/>
  <c r="T11" i="3"/>
  <c r="T12" i="3"/>
  <c r="I30" i="3"/>
  <c r="S11" i="3"/>
  <c r="S12" i="3"/>
  <c r="M30" i="3"/>
  <c r="U11" i="3"/>
  <c r="D123" i="1"/>
  <c r="D128" i="1" s="1"/>
  <c r="T13" i="3" l="1"/>
  <c r="T14" i="3"/>
  <c r="S13" i="3"/>
  <c r="S14" i="3"/>
  <c r="U13" i="3"/>
  <c r="U14" i="3"/>
  <c r="B131" i="1" a="1"/>
  <c r="B131" i="1" s="1"/>
  <c r="B130" i="1" a="1"/>
  <c r="B130" i="1" s="1"/>
  <c r="K123" i="1" l="1"/>
  <c r="J123" i="1"/>
  <c r="J124" i="1"/>
  <c r="K124" i="1"/>
  <c r="J125" i="1"/>
  <c r="K125" i="1"/>
  <c r="L124" i="1" l="1"/>
  <c r="I124" i="1"/>
  <c r="L123" i="1"/>
  <c r="I123" i="1"/>
  <c r="L125" i="1"/>
  <c r="I1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<sst xmlns="http://schemas.openxmlformats.org/spreadsheetml/2006/main" count="434" uniqueCount="252">
  <si>
    <t>Cloud Readiness Scoring Criteria</t>
  </si>
  <si>
    <t>Version 1.0 | Phase: Analysis/Evaluation | Task 3.3 | Requirements 3.2, 3.9</t>
  </si>
  <si>
    <t>Scoring Scale Reference</t>
  </si>
  <si>
    <t>Score Range</t>
  </si>
  <si>
    <t>Rating</t>
  </si>
  <si>
    <t>Description</t>
  </si>
  <si>
    <t>Migration Readiness</t>
  </si>
  <si>
    <t>Color</t>
  </si>
  <si>
    <t>Notes</t>
  </si>
  <si>
    <t>76-100</t>
  </si>
  <si>
    <t>Excellent</t>
  </si>
  <si>
    <t>Ready for immediate migration</t>
  </si>
  <si>
    <t>Proceed with migration planning</t>
  </si>
  <si>
    <t>Green</t>
  </si>
  <si>
    <t>51-75</t>
  </si>
  <si>
    <t>Good</t>
  </si>
  <si>
    <t>Ready with minor remediation</t>
  </si>
  <si>
    <t>Address gaps, then migrate</t>
  </si>
  <si>
    <t>Yellow</t>
  </si>
  <si>
    <t>26-50</t>
  </si>
  <si>
    <t>Fair</t>
  </si>
  <si>
    <t>Significant remediation needed</t>
  </si>
  <si>
    <t>Remediate before migration</t>
  </si>
  <si>
    <t>Orange</t>
  </si>
  <si>
    <t>0-25</t>
  </si>
  <si>
    <t>Poor</t>
  </si>
  <si>
    <t>Major remediation or stay on-premises</t>
  </si>
  <si>
    <t>Re-evaluate migration strategy</t>
  </si>
  <si>
    <t>Red</t>
  </si>
  <si>
    <t>Dimension 1 — Technical Readiness (Default Weight 25%)</t>
  </si>
  <si>
    <t>Criterion</t>
  </si>
  <si>
    <t>Weight</t>
  </si>
  <si>
    <t>Score (0-100)</t>
  </si>
  <si>
    <t>Weighted Score</t>
  </si>
  <si>
    <t>Evidence</t>
  </si>
  <si>
    <t>Remediation Needed</t>
  </si>
  <si>
    <t>Architecture Modernization</t>
  </si>
  <si>
    <t xml:space="preserve">    Monolithic vs. microservices readiness</t>
  </si>
  <si>
    <t xml:space="preserve">    Containerization readiness</t>
  </si>
  <si>
    <t xml:space="preserve">    Stateless design patterns</t>
  </si>
  <si>
    <t>Dependency Complexity</t>
  </si>
  <si>
    <t xml:space="preserve">    Number of dependencies</t>
  </si>
  <si>
    <t xml:space="preserve">    Tight coupling assessment</t>
  </si>
  <si>
    <t xml:space="preserve">    External service dependencies</t>
  </si>
  <si>
    <t>Technology Stack Compatibility</t>
  </si>
  <si>
    <t xml:space="preserve">    Cloud-native service availability</t>
  </si>
  <si>
    <t xml:space="preserve">    Language/framework cloud support</t>
  </si>
  <si>
    <t xml:space="preserve">    Database cloud compatibility</t>
  </si>
  <si>
    <t>Platform Support</t>
  </si>
  <si>
    <t xml:space="preserve">    OS cloud support</t>
  </si>
  <si>
    <t xml:space="preserve">    Middleware cloud availability</t>
  </si>
  <si>
    <t xml:space="preserve">    Hardware dependency assessment</t>
  </si>
  <si>
    <t>Dimension Score (/100)</t>
  </si>
  <si>
    <t>Scoring Rationale</t>
  </si>
  <si>
    <t>Key Remediation Items</t>
  </si>
  <si>
    <t>Dimension 2 — Operational Readiness (Default Weight 20%)</t>
  </si>
  <si>
    <t>Automation Maturity</t>
  </si>
  <si>
    <t xml:space="preserve">    CI/CD pipeline maturity</t>
  </si>
  <si>
    <t xml:space="preserve">    Infrastructure as Code adoption</t>
  </si>
  <si>
    <t xml:space="preserve">    Automated testing coverage</t>
  </si>
  <si>
    <t>Monitoring Capabilities</t>
  </si>
  <si>
    <t xml:space="preserve">    Application monitoring</t>
  </si>
  <si>
    <t xml:space="preserve">    Infrastructure monitoring</t>
  </si>
  <si>
    <t xml:space="preserve">    Log management and analysis</t>
  </si>
  <si>
    <t>Incident Response</t>
  </si>
  <si>
    <t xml:space="preserve">    Runbook documentation</t>
  </si>
  <si>
    <t xml:space="preserve">    On-call procedures</t>
  </si>
  <si>
    <t xml:space="preserve">    Disaster recovery procedures</t>
  </si>
  <si>
    <t>Operational Complexity</t>
  </si>
  <si>
    <t xml:space="preserve">    Number of operational teams</t>
  </si>
  <si>
    <t xml:space="preserve">    Change management maturity</t>
  </si>
  <si>
    <t xml:space="preserve">    Documentation completeness</t>
  </si>
  <si>
    <t>Dimension 3 — Security Readiness (Default Weight 20%)</t>
  </si>
  <si>
    <t>Identity Management</t>
  </si>
  <si>
    <t xml:space="preserve">    SSO/Federation readiness</t>
  </si>
  <si>
    <t xml:space="preserve">    RBAC implementation</t>
  </si>
  <si>
    <t xml:space="preserve">    MFA adoption</t>
  </si>
  <si>
    <t>Encryption</t>
  </si>
  <si>
    <t xml:space="preserve">    Data at rest encryption</t>
  </si>
  <si>
    <t xml:space="preserve">    Data in transit encryption</t>
  </si>
  <si>
    <t xml:space="preserve">    Key management practices</t>
  </si>
  <si>
    <t>Vulnerability Management</t>
  </si>
  <si>
    <t xml:space="preserve">    Patch management maturity</t>
  </si>
  <si>
    <t xml:space="preserve">    Vulnerability scanning</t>
  </si>
  <si>
    <t xml:space="preserve">    Penetration testing frequency</t>
  </si>
  <si>
    <t>Security Controls</t>
  </si>
  <si>
    <t xml:space="preserve">    Network segmentation</t>
  </si>
  <si>
    <t xml:space="preserve">    WAF/DDoS protection</t>
  </si>
  <si>
    <t xml:space="preserve">    Security incident response</t>
  </si>
  <si>
    <t>Dimension 4 — Compliance Readiness (Default Weight 20%)</t>
  </si>
  <si>
    <t>Regulatory Requirements</t>
  </si>
  <si>
    <t xml:space="preserve">    Applicable regulations identified</t>
  </si>
  <si>
    <t xml:space="preserve">    Current compliance status</t>
  </si>
  <si>
    <t xml:space="preserve">    Cloud compliance gap analysis</t>
  </si>
  <si>
    <t>Audit Trails</t>
  </si>
  <si>
    <t xml:space="preserve">    Logging completeness</t>
  </si>
  <si>
    <t xml:space="preserve">    Audit trail retention</t>
  </si>
  <si>
    <t xml:space="preserve">    Audit readiness</t>
  </si>
  <si>
    <t>Data Residency</t>
  </si>
  <si>
    <t xml:space="preserve">    Data location requirements</t>
  </si>
  <si>
    <t xml:space="preserve">    Cross-border transfer restrictions</t>
  </si>
  <si>
    <t xml:space="preserve">    Sovereignty requirements</t>
  </si>
  <si>
    <t>Certifications</t>
  </si>
  <si>
    <t xml:space="preserve">    Required certifications (SOC2, ISO, etc.)</t>
  </si>
  <si>
    <t xml:space="preserve">    Hyperscaler certification coverage</t>
  </si>
  <si>
    <t xml:space="preserve">    Certification gap analysis</t>
  </si>
  <si>
    <t>Dimension 5 — Business Readiness (Default Weight 15%)</t>
  </si>
  <si>
    <t>Stakeholder Alignment</t>
  </si>
  <si>
    <t xml:space="preserve">    Executive sponsorship</t>
  </si>
  <si>
    <t xml:space="preserve">    Business owner engagement</t>
  </si>
  <si>
    <t xml:space="preserve">    Change readiness</t>
  </si>
  <si>
    <t>Budget Availability</t>
  </si>
  <si>
    <t xml:space="preserve">    Migration budget approved</t>
  </si>
  <si>
    <t xml:space="preserve">    Ongoing cloud budget planned</t>
  </si>
  <si>
    <t xml:space="preserve">    Contingency budget available</t>
  </si>
  <si>
    <t>Business Case Justification</t>
  </si>
  <si>
    <t xml:space="preserve">    TCO analysis completed</t>
  </si>
  <si>
    <t xml:space="preserve">    ROI projections documented</t>
  </si>
  <si>
    <t xml:space="preserve">    Risk-adjusted business case</t>
  </si>
  <si>
    <t>Strategic Fit</t>
  </si>
  <si>
    <t xml:space="preserve">    Cloud-first strategy alignment</t>
  </si>
  <si>
    <t xml:space="preserve">    Digital transformation roadmap</t>
  </si>
  <si>
    <t xml:space="preserve">    Competitive advantage assessment</t>
  </si>
  <si>
    <t>Overall Cloud Readiness Score Calculation</t>
  </si>
  <si>
    <t>Dimension</t>
  </si>
  <si>
    <t>Score</t>
  </si>
  <si>
    <t>Technical</t>
  </si>
  <si>
    <t>Operational</t>
  </si>
  <si>
    <t>Security</t>
  </si>
  <si>
    <t>Compliance</t>
  </si>
  <si>
    <t>Business</t>
  </si>
  <si>
    <t>Overall Cloud Readiness Score</t>
  </si>
  <si>
    <t>Overall Assessment</t>
  </si>
  <si>
    <t>Recommendation</t>
  </si>
  <si>
    <t>Remediation Summary</t>
  </si>
  <si>
    <t>Priority</t>
  </si>
  <si>
    <t>Issue</t>
  </si>
  <si>
    <t>Remediation Action</t>
  </si>
  <si>
    <t>Effort</t>
  </si>
  <si>
    <t>Timeline</t>
  </si>
  <si>
    <t>Template Version 1.0 — Cloud Readiness Accelerator Framework</t>
  </si>
  <si>
    <t>Multiplier</t>
  </si>
  <si>
    <t>Very Low Importance</t>
  </si>
  <si>
    <t>Low Importance</t>
  </si>
  <si>
    <t>Moderate Importance</t>
  </si>
  <si>
    <t>High Importance</t>
  </si>
  <si>
    <t>Very High Importance</t>
  </si>
  <si>
    <t>Strategic Goal</t>
  </si>
  <si>
    <t>Code</t>
  </si>
  <si>
    <t>Value Dial</t>
  </si>
  <si>
    <t>Measurement</t>
  </si>
  <si>
    <t>Max</t>
  </si>
  <si>
    <t>AWS Score</t>
  </si>
  <si>
    <t>Azure Score</t>
  </si>
  <si>
    <t>GCP Score</t>
  </si>
  <si>
    <t>AWS Justification</t>
  </si>
  <si>
    <t>Azure Justification</t>
  </si>
  <si>
    <t>GCP Justification</t>
  </si>
  <si>
    <t>TECH-1</t>
  </si>
  <si>
    <t>Readiness criterion: Architecture Modernization</t>
  </si>
  <si>
    <t>TBD</t>
  </si>
  <si>
    <t>TECH-2</t>
  </si>
  <si>
    <t>Readiness criterion: Dependency Complexity</t>
  </si>
  <si>
    <t>TECH-3</t>
  </si>
  <si>
    <t>Readiness criterion: Technology Stack Compatibility</t>
  </si>
  <si>
    <t>TECH-4</t>
  </si>
  <si>
    <t>Readiness criterion: Platform Support</t>
  </si>
  <si>
    <t>Readiness criterion: Automation Maturity</t>
  </si>
  <si>
    <t>Readiness criterion: Monitoring Capabilities</t>
  </si>
  <si>
    <t>Readiness criterion: Incident Response</t>
  </si>
  <si>
    <t>Readiness criterion: Operational Complexity</t>
  </si>
  <si>
    <t>Readiness criterion: Identity Management</t>
  </si>
  <si>
    <t>Readiness criterion: Encryption</t>
  </si>
  <si>
    <t>Readiness criterion: Vulnerability Management</t>
  </si>
  <si>
    <t>Readiness criterion: Security Controls</t>
  </si>
  <si>
    <t>Readiness criterion: Regulatory Requirements</t>
  </si>
  <si>
    <t>Readiness criterion: Audit Trails</t>
  </si>
  <si>
    <t>Readiness criterion: Data Residency</t>
  </si>
  <si>
    <t>Readiness criterion: Certifications</t>
  </si>
  <si>
    <t>Readiness criterion: Stakeholder Alignment</t>
  </si>
  <si>
    <t>Readiness criterion: Budget Availability</t>
  </si>
  <si>
    <t>Readiness criterion: Business Case Justification</t>
  </si>
  <si>
    <t>Readiness criterion: Strategic Fit</t>
  </si>
  <si>
    <t>Avg Multiplier</t>
  </si>
  <si>
    <t>AWS</t>
  </si>
  <si>
    <t>Azure</t>
  </si>
  <si>
    <t>GCP</t>
  </si>
  <si>
    <t>AWS Fit</t>
  </si>
  <si>
    <t>Azure Fit</t>
  </si>
  <si>
    <t>GCP Fit</t>
  </si>
  <si>
    <t>WEIGHTED AVERAGE</t>
  </si>
  <si>
    <t>ABSOLUTE SCORE</t>
  </si>
  <si>
    <t>FIT METER</t>
  </si>
  <si>
    <t>PLACING</t>
  </si>
  <si>
    <t>(Replace placeholder scores in Selection Criteria)</t>
  </si>
  <si>
    <t>OPER-1</t>
  </si>
  <si>
    <t>OPER-2</t>
  </si>
  <si>
    <t>OPER-3</t>
  </si>
  <si>
    <t>OPER-4</t>
  </si>
  <si>
    <t>SECU-1</t>
  </si>
  <si>
    <t>SECU-2</t>
  </si>
  <si>
    <t>SECU-3</t>
  </si>
  <si>
    <t>SECU-4</t>
  </si>
  <si>
    <t>COMP-1</t>
  </si>
  <si>
    <t>COMP-2</t>
  </si>
  <si>
    <t>COMP-3</t>
  </si>
  <si>
    <t>COMP-4</t>
  </si>
  <si>
    <t>BUSI-1</t>
  </si>
  <si>
    <t>BUSI-2</t>
  </si>
  <si>
    <t>BUSI-3</t>
  </si>
  <si>
    <t>BUSI-4</t>
  </si>
  <si>
    <t>Hyperscaler Selection Snapshot (1–5)</t>
  </si>
  <si>
    <t>Provider</t>
  </si>
  <si>
    <t>Weighted Avg (1–5)</t>
  </si>
  <si>
    <t>Fit %</t>
  </si>
  <si>
    <t>Absolute Score</t>
  </si>
  <si>
    <t>Placing</t>
  </si>
  <si>
    <t>(Replace placeholder scores on “Selection Criteria”)</t>
  </si>
  <si>
    <t>customer Weighting</t>
  </si>
  <si>
    <t>customer Multiplier</t>
  </si>
  <si>
    <t>AWS Weighted (customer)</t>
  </si>
  <si>
    <t>Azure Weighted (customer)</t>
  </si>
  <si>
    <t>GCP Weighted (customer)</t>
  </si>
  <si>
    <t>customer Priority</t>
  </si>
  <si>
    <t>High</t>
  </si>
  <si>
    <t>Hyperscaler Selection Criteria Matrix (Customer)</t>
  </si>
  <si>
    <t>How to use</t>
  </si>
  <si>
    <t>1) Select Customer Weighting (Very Low → Very High) for each criterion.</t>
  </si>
  <si>
    <t>2) Enter AWS/Azure/GCP Score (1–5). Weighted points + totals + Fit Meter update automatically.</t>
  </si>
  <si>
    <t>Tip: Replace “TBD” justifications with short rationale for each provider decision.</t>
  </si>
  <si>
    <t>Criteria Scoring Table</t>
  </si>
  <si>
    <t>Scoring Scale (1–5)</t>
  </si>
  <si>
    <t>Meaning</t>
  </si>
  <si>
    <t>Typical Guidance</t>
  </si>
  <si>
    <t>Major gaps</t>
  </si>
  <si>
    <t>Not supported / high risk</t>
  </si>
  <si>
    <t>Significant limitations</t>
  </si>
  <si>
    <t>Workarounds required</t>
  </si>
  <si>
    <t>Meets baseline</t>
  </si>
  <si>
    <t>Some gaps to remediate</t>
  </si>
  <si>
    <t>Very Good</t>
  </si>
  <si>
    <t>Strong fit</t>
  </si>
  <si>
    <t>Minor gaps only</t>
  </si>
  <si>
    <t>Best-in-class</t>
  </si>
  <si>
    <t>Fully aligned / ideal</t>
  </si>
  <si>
    <t>TOTAL</t>
  </si>
  <si>
    <t>Provider Totals &amp; Fit Meter</t>
  </si>
  <si>
    <t>Metric</t>
  </si>
  <si>
    <t>Weighted Points</t>
  </si>
  <si>
    <t>Max Points</t>
  </si>
  <si>
    <t>Fit Meter</t>
  </si>
  <si>
    <t>Placing (1=best)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</si>
</sst>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/ 100&quot;"/>
    <numFmt numFmtId="165" formatCode="0.0;\(0.0\);"/>
    <numFmt numFmtId="166" formatCode="0.0"/>
  </numFmts>
  <fonts count="17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1"/>
      <color rgb="FF404040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i/>
      <sz val="10"/>
      <color rgb="FF404040"/>
      <name val="Arial"/>
      <charset val="1"/>
    </font>
    <font>
      <b/>
      <sz val="10"/>
      <color rgb="FFFFFFFF"/>
      <name val="Arial"/>
      <charset val="1"/>
    </font>
    <font>
      <i/>
      <sz val="9"/>
      <color rgb="FF595959"/>
      <name val="Arial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1F1F1F"/>
      <name val="Calibri"/>
      <family val="2"/>
      <charset val="1"/>
    </font>
    <font>
      <b/>
      <sz val="16"/>
      <color rgb="FFFFFFFF"/>
      <name val="Calibri"/>
      <family val="2"/>
      <charset val="1"/>
    </font>
    <font>
      <b/>
      <sz val="11"/>
      <color rgb="FF1F4E79"/>
      <name val="Calibri"/>
      <family val="2"/>
      <charset val="1"/>
    </font>
    <font>
      <i/>
      <sz val="11"/>
      <color rgb="FF595959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CCFFFF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548235"/>
        <bgColor rgb="FF339966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9" fontId="7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164" fontId="9" fillId="6" borderId="1" xfId="0" applyNumberFormat="1" applyFont="1" applyFill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9" fontId="6" fillId="3" borderId="1" xfId="0" applyNumberFormat="1" applyFont="1" applyFill="1" applyBorder="1" applyAlignment="1">
      <alignment horizontal="left" vertical="center" wrapText="1"/>
    </xf>
    <xf numFmtId="165" fontId="6" fillId="3" borderId="1" xfId="0" applyNumberFormat="1" applyFont="1" applyFill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left" vertical="center" wrapText="1"/>
    </xf>
    <xf numFmtId="1" fontId="5" fillId="5" borderId="1" xfId="0" applyNumberFormat="1" applyFont="1" applyFill="1" applyBorder="1" applyAlignment="1">
      <alignment horizontal="left" vertical="center" wrapText="1"/>
    </xf>
    <xf numFmtId="9" fontId="0" fillId="0" borderId="0" xfId="0" applyNumberFormat="1"/>
    <xf numFmtId="166" fontId="0" fillId="0" borderId="0" xfId="0" applyNumberFormat="1"/>
    <xf numFmtId="1" fontId="0" fillId="0" borderId="0" xfId="0" applyNumberFormat="1"/>
    <xf numFmtId="0" fontId="11" fillId="8" borderId="0" xfId="0" applyFont="1" applyFill="1"/>
    <xf numFmtId="0" fontId="0" fillId="0" borderId="2" xfId="0" applyBorder="1"/>
    <xf numFmtId="0" fontId="13" fillId="8" borderId="2" xfId="0" applyFont="1" applyFill="1" applyBorder="1"/>
    <xf numFmtId="166" fontId="0" fillId="0" borderId="2" xfId="0" applyNumberFormat="1" applyBorder="1"/>
    <xf numFmtId="9" fontId="0" fillId="0" borderId="2" xfId="0" applyNumberFormat="1" applyBorder="1"/>
    <xf numFmtId="1" fontId="0" fillId="0" borderId="2" xfId="0" applyNumberFormat="1" applyBorder="1"/>
    <xf numFmtId="0" fontId="15" fillId="0" borderId="0" xfId="0" applyFont="1"/>
    <xf numFmtId="0" fontId="0" fillId="9" borderId="0" xfId="0" applyFill="1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10" fillId="3" borderId="0" xfId="0" applyFont="1" applyFill="1" applyAlignment="1">
      <alignment horizontal="center" vertical="center"/>
    </xf>
    <xf numFmtId="0" fontId="12" fillId="7" borderId="2" xfId="0" applyFont="1" applyFill="1" applyBorder="1" applyAlignment="1">
      <alignment horizontal="center"/>
    </xf>
    <xf numFmtId="0" fontId="0" fillId="0" borderId="2" xfId="0" applyBorder="1"/>
    <xf numFmtId="0" fontId="12" fillId="7" borderId="0" xfId="0" applyFont="1" applyFill="1" applyAlignment="1">
      <alignment horizontal="center"/>
    </xf>
    <xf numFmtId="0" fontId="14" fillId="7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6" fillId="0" borderId="0" xfId="0" applyFont="1"/>
    <xf numFmtId="0" fontId="15" fillId="8" borderId="0" xfId="0" applyFont="1" applyFill="1"/>
  </cellXfs>
  <cellStyles count="1">
    <cellStyle name="Normal" xfId="0" builtinId="0"/>
  </cellStyles>
  <dxfs count="38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CE4D6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CE4D6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CE4D6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CE4D6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CE4D6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CE4D6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166" formatCode="0.0"/>
    </dxf>
    <dxf>
      <numFmt numFmtId="1" formatCode="0"/>
    </dxf>
    <dxf>
      <numFmt numFmtId="166" formatCode="0.0"/>
    </dxf>
    <dxf>
      <numFmt numFmtId="1" formatCode="0"/>
    </dxf>
    <dxf>
      <numFmt numFmtId="166" formatCode="0.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8F624D-ADEE-493D-ADDE-4AEAFB7A655A}" name="LookupTable" displayName="LookupTable" ref="A1:B6" totalsRowShown="0">
  <autoFilter ref="A1:B6" xr:uid="{BE8F624D-ADEE-493D-ADDE-4AEAFB7A655A}"/>
  <tableColumns count="2">
    <tableColumn id="1" xr3:uid="{837F6851-3518-49E2-A3CC-9E5A168D79EF}" name="Priority"/>
    <tableColumn id="2" xr3:uid="{59A4C359-A947-4280-8885-8EBEE2CC206F}" name="Multipli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F2FEC8-FCA8-41EF-86D6-7850677CA6EB}" name="SelCriteria" displayName="SelCriteria" ref="A9:P30" totalsRowCount="1">
  <autoFilter ref="A9:P29" xr:uid="{52F2FEC8-FCA8-41EF-86D6-7850677CA6EB}"/>
  <tableColumns count="16">
    <tableColumn id="1" xr3:uid="{38CDF6C8-239C-486F-817B-307064DF595B}" name="Strategic Goal" totalsRowLabel="TOTAL"/>
    <tableColumn id="2" xr3:uid="{4FD104F9-234F-4E70-9DC4-EC018AB1C0B6}" name="Code"/>
    <tableColumn id="3" xr3:uid="{7843CD90-0492-4214-B450-8A3074188127}" name="Value Dial"/>
    <tableColumn id="4" xr3:uid="{70B546F1-D139-4BE4-AC1A-52421814D93D}" name="Measurement"/>
    <tableColumn id="5" xr3:uid="{D2F22334-33C8-42F8-ACF2-4392824AA534}" name="customer Weighting"/>
    <tableColumn id="6" xr3:uid="{AE73B029-8EC1-4D3F-80FA-592C0CE4A8C8}" name="customer Multiplier" dataDxfId="37">
      <calculatedColumnFormula>IFERROR(VLOOKUP(SelCriteria[[#This Row],[customer Weighting]],LookupTable[[#All],[Priority]:[Multiplier]],2,FALSE),0)</calculatedColumnFormula>
    </tableColumn>
    <tableColumn id="7" xr3:uid="{EF6ADAF1-FA20-49AB-B3D7-623261910BE3}" name="Max" totalsRowFunction="sum" dataDxfId="36">
      <calculatedColumnFormula>SelCriteria[[#This Row],[customer Multiplier]]*5</calculatedColumnFormula>
    </tableColumn>
    <tableColumn id="8" xr3:uid="{DFE16CF6-DE45-406F-9287-1607B4CCDC07}" name="AWS Score" dataDxfId="35"/>
    <tableColumn id="9" xr3:uid="{2D8BE7E2-CE8E-462A-B770-EC50DE8071B3}" name="AWS Weighted (customer)" totalsRowFunction="sum" dataDxfId="34">
      <calculatedColumnFormula>SelCriteria[[#This Row],[AWS Score]]*SelCriteria[[#This Row],[customer Multiplier]]</calculatedColumnFormula>
    </tableColumn>
    <tableColumn id="10" xr3:uid="{4D891D07-A475-4C9D-A4FE-7C15489E1A8E}" name="Azure Score" dataDxfId="33"/>
    <tableColumn id="11" xr3:uid="{81D08674-351D-40E9-A30C-DD48B2178BF7}" name="Azure Weighted (customer)" totalsRowFunction="sum" dataDxfId="32">
      <calculatedColumnFormula>SelCriteria[[#This Row],[Azure Score]]*SelCriteria[[#This Row],[customer Multiplier]]</calculatedColumnFormula>
    </tableColumn>
    <tableColumn id="12" xr3:uid="{8D234D33-3803-483D-B2DD-27E6AAE09A2B}" name="GCP Score" dataDxfId="31"/>
    <tableColumn id="13" xr3:uid="{C210438A-80C6-4892-919F-F936909539D8}" name="GCP Weighted (customer)" totalsRowFunction="sum" dataDxfId="30">
      <calculatedColumnFormula>SelCriteria[[#This Row],[GCP Score]]*SelCriteria[[#This Row],[customer Multiplier]]</calculatedColumnFormula>
    </tableColumn>
    <tableColumn id="14" xr3:uid="{D006681B-E5B1-4D97-906F-ADD56564AE7E}" name="AWS Justification"/>
    <tableColumn id="15" xr3:uid="{A73CC089-D197-41FE-9F19-EC8612C18119}" name="Azure Justification"/>
    <tableColumn id="16" xr3:uid="{D59BBC5B-4F79-4C35-8866-06123BA91692}" name="GCP Justification" totalsRowFunction="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2F6B7A-9551-4B42-834F-D9C1BBB58266}" name="SelSummary" displayName="SelSummary" ref="A1:I12" totalsRowShown="0">
  <autoFilter ref="A1:I12" xr:uid="{E32F6B7A-9551-4B42-834F-D9C1BBB58266}"/>
  <tableColumns count="9">
    <tableColumn id="1" xr3:uid="{34D47805-C1FA-40D6-946B-0EB3B4FB14E0}" name="Strategic Goal"/>
    <tableColumn id="2" xr3:uid="{00A8E27E-7E59-42A5-8FD7-91E8E21BD321}" name="Avg Multiplier">
      <calculatedColumnFormula>IFERROR(ROUND(AVERAGEIF(SelCriteria[Strategic Goal],SelSummary[[#This Row],[Strategic Goal]],SelCriteria[customer Multiplier]),0),0)</calculatedColumnFormula>
    </tableColumn>
    <tableColumn id="3" xr3:uid="{4AEB1078-24A3-4AC9-8171-0F53BCCE482B}" name="customer Priority">
      <calculatedColumnFormula array="1">IF(SelSummary[[#This Row],[Avg Multiplier]]=0,"",_xlfn.IFS(SelSummary[[#This Row],[Avg Multiplier]]&gt;=5,"Very High",SelSummary[[#This Row],[Avg Multiplier]]&gt;=4,"High",SelSummary[[#This Row],[Avg Multiplier]]&gt;=3,"Moderate",SelSummary[[#This Row],[Avg Multiplier]]&gt;=2,"Low",TRUE,"Very Low"))</calculatedColumnFormula>
    </tableColumn>
    <tableColumn id="4" xr3:uid="{38FCBF50-224A-44A1-9576-0B2CAFC0C3E2}" name="AWS" dataDxfId="29">
      <calculatedColumnFormula>IFERROR(ROUND(SUMIF(SelCriteria[Strategic Goal],SelSummary[[#This Row],[Strategic Goal]],SelCriteria[AWS Weighted (customer)]) / SUMIF(SelCriteria[Strategic Goal],SelSummary[[#This Row],[Strategic Goal]],SelCriteria[customer Multiplier]),1),"")</calculatedColumnFormula>
    </tableColumn>
    <tableColumn id="5" xr3:uid="{F6806A40-3CAC-444C-9BA4-7B7976434D1E}" name="Azure" dataDxfId="28">
      <calculatedColumnFormula>IFERROR(ROUND(SUMIF(SelCriteria[Strategic Goal],SelSummary[[#This Row],[Strategic Goal]],SelCriteria[Azure Weighted (customer)]) / SUMIF(SelCriteria[Strategic Goal],SelSummary[[#This Row],[Strategic Goal]],SelCriteria[customer Multiplier]),1),"")</calculatedColumnFormula>
    </tableColumn>
    <tableColumn id="6" xr3:uid="{5DAC6F04-64F6-4EFA-874A-51A65AD38F19}" name="GCP" dataDxfId="27">
      <calculatedColumnFormula>IFERROR(ROUND(SUMIF(SelCriteria[Strategic Goal],SelSummary[[#This Row],[Strategic Goal]],SelCriteria[GCP Weighted (customer)]) / SUMIF(SelCriteria[Strategic Goal],SelSummary[[#This Row],[Strategic Goal]],SelCriteria[customer Multiplier]),1),"")</calculatedColumnFormula>
    </tableColumn>
    <tableColumn id="7" xr3:uid="{557E0A87-7415-4F72-B992-006DD0BD8775}" name="AWS Fit" dataDxfId="26">
      <calculatedColumnFormula>IF(SelSummary[[#This Row],[AWS]]="","",SelSummary[[#This Row],[AWS]]/5)</calculatedColumnFormula>
    </tableColumn>
    <tableColumn id="8" xr3:uid="{A4637275-A45D-4A69-9286-AA153B5D8DD1}" name="Azure Fit" dataDxfId="25">
      <calculatedColumnFormula>IF(SelSummary[[#This Row],[Azure]]="","",SelSummary[[#This Row],[Azure]]/5)</calculatedColumnFormula>
    </tableColumn>
    <tableColumn id="9" xr3:uid="{2D0B651C-ED54-4B96-A586-7A5C3CD85D00}" name="GCP Fit" dataDxfId="24">
      <calculatedColumnFormula>IF(SelSummary[[#This Row],[GCP]]="","",SelSummary[[#This Row],[GCP]]/5)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6"/>
  <sheetViews>
    <sheetView showGridLines="0" zoomScaleNormal="100" workbookViewId="0">
      <pane ySplit="3" topLeftCell="A137" activePane="bottomLeft" state="frozen"/>
      <selection pane="bottomLeft" activeCell="H121" sqref="H121:N121"/>
    </sheetView>
  </sheetViews>
  <sheetFormatPr defaultColWidth="8.6328125" defaultRowHeight="14.5" x14ac:dyDescent="0.35"/>
  <cols>
    <col min="1" max="1" width="40" customWidth="1"/>
    <col min="2" max="2" width="12" customWidth="1"/>
    <col min="3" max="4" width="16" customWidth="1"/>
    <col min="5" max="6" width="28" customWidth="1"/>
    <col min="8" max="8" width="8.1796875" bestFit="1" customWidth="1"/>
    <col min="9" max="9" width="17.81640625" bestFit="1" customWidth="1"/>
    <col min="10" max="10" width="5" bestFit="1" customWidth="1"/>
    <col min="11" max="11" width="13.7265625" bestFit="1" customWidth="1"/>
    <col min="12" max="12" width="6.90625" bestFit="1" customWidth="1"/>
    <col min="13" max="13" width="45.6328125" bestFit="1" customWidth="1"/>
  </cols>
  <sheetData>
    <row r="1" spans="1:6" ht="23" x14ac:dyDescent="0.35">
      <c r="A1" s="27" t="s">
        <v>0</v>
      </c>
      <c r="B1" s="27"/>
      <c r="C1" s="27"/>
      <c r="D1" s="27"/>
      <c r="E1" s="27"/>
      <c r="F1" s="27"/>
    </row>
    <row r="2" spans="1:6" x14ac:dyDescent="0.35">
      <c r="A2" s="28" t="s">
        <v>1</v>
      </c>
      <c r="B2" s="28"/>
      <c r="C2" s="28"/>
      <c r="D2" s="28"/>
      <c r="E2" s="28"/>
      <c r="F2" s="28"/>
    </row>
    <row r="4" spans="1:6" ht="16.5" x14ac:dyDescent="0.35">
      <c r="A4" s="29" t="s">
        <v>2</v>
      </c>
      <c r="B4" s="29"/>
      <c r="C4" s="29"/>
      <c r="D4" s="29"/>
      <c r="E4" s="29"/>
      <c r="F4" s="29"/>
    </row>
    <row r="5" spans="1:6" ht="28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37.5" x14ac:dyDescent="0.35">
      <c r="A6" s="2" t="s">
        <v>9</v>
      </c>
      <c r="B6" s="2" t="s">
        <v>10</v>
      </c>
      <c r="C6" s="2" t="s">
        <v>11</v>
      </c>
      <c r="D6" s="3" t="s">
        <v>12</v>
      </c>
      <c r="E6" s="2" t="s">
        <v>13</v>
      </c>
      <c r="F6" s="2"/>
    </row>
    <row r="7" spans="1:6" ht="25" x14ac:dyDescent="0.35">
      <c r="A7" s="2" t="s">
        <v>14</v>
      </c>
      <c r="B7" s="2" t="s">
        <v>15</v>
      </c>
      <c r="C7" s="2" t="s">
        <v>16</v>
      </c>
      <c r="D7" s="2" t="s">
        <v>17</v>
      </c>
      <c r="E7" s="2" t="s">
        <v>18</v>
      </c>
      <c r="F7" s="2"/>
    </row>
    <row r="8" spans="1:6" ht="37.5" x14ac:dyDescent="0.35">
      <c r="A8" s="2" t="s">
        <v>19</v>
      </c>
      <c r="B8" s="2" t="s">
        <v>20</v>
      </c>
      <c r="C8" s="2" t="s">
        <v>21</v>
      </c>
      <c r="D8" s="2" t="s">
        <v>22</v>
      </c>
      <c r="E8" s="2" t="s">
        <v>23</v>
      </c>
      <c r="F8" s="2"/>
    </row>
    <row r="9" spans="1:6" ht="37.5" x14ac:dyDescent="0.35">
      <c r="A9" s="2" t="s">
        <v>24</v>
      </c>
      <c r="B9" s="2" t="s">
        <v>25</v>
      </c>
      <c r="C9" s="3" t="s">
        <v>26</v>
      </c>
      <c r="D9" s="2" t="s">
        <v>27</v>
      </c>
      <c r="E9" s="2" t="s">
        <v>28</v>
      </c>
      <c r="F9" s="2"/>
    </row>
    <row r="11" spans="1:6" ht="16.5" x14ac:dyDescent="0.35">
      <c r="A11" s="29" t="s">
        <v>29</v>
      </c>
      <c r="B11" s="29"/>
      <c r="C11" s="29"/>
      <c r="D11" s="29"/>
      <c r="E11" s="29"/>
      <c r="F11" s="29"/>
    </row>
    <row r="12" spans="1:6" x14ac:dyDescent="0.35">
      <c r="A12" s="1" t="s">
        <v>30</v>
      </c>
      <c r="B12" s="1" t="s">
        <v>31</v>
      </c>
      <c r="C12" s="1" t="s">
        <v>32</v>
      </c>
      <c r="D12" s="1" t="s">
        <v>33</v>
      </c>
      <c r="E12" s="1" t="s">
        <v>34</v>
      </c>
      <c r="F12" s="1" t="s">
        <v>35</v>
      </c>
    </row>
    <row r="13" spans="1:6" x14ac:dyDescent="0.35">
      <c r="A13" s="4" t="s">
        <v>36</v>
      </c>
      <c r="B13" s="5">
        <v>0.25</v>
      </c>
      <c r="C13" s="13" t="str">
        <f>IF(COUNT(C14:C16)=0,"",AVERAGE(C14:C16))</f>
        <v/>
      </c>
      <c r="D13" s="13" t="str">
        <f>IF(C13="","",B13*C13)</f>
        <v/>
      </c>
      <c r="E13" s="2"/>
      <c r="F13" s="2"/>
    </row>
    <row r="14" spans="1:6" x14ac:dyDescent="0.35">
      <c r="A14" s="6" t="s">
        <v>37</v>
      </c>
      <c r="B14" s="2"/>
      <c r="C14" s="15"/>
      <c r="D14" s="2"/>
      <c r="E14" s="7"/>
      <c r="F14" s="7"/>
    </row>
    <row r="15" spans="1:6" x14ac:dyDescent="0.35">
      <c r="A15" s="8" t="s">
        <v>38</v>
      </c>
      <c r="B15" s="2"/>
      <c r="C15" s="15"/>
      <c r="D15" s="2"/>
      <c r="E15" s="7"/>
      <c r="F15" s="7"/>
    </row>
    <row r="16" spans="1:6" x14ac:dyDescent="0.35">
      <c r="A16" s="8" t="s">
        <v>39</v>
      </c>
      <c r="B16" s="2"/>
      <c r="C16" s="15"/>
      <c r="D16" s="2"/>
      <c r="E16" s="7"/>
      <c r="F16" s="7"/>
    </row>
    <row r="17" spans="1:6" x14ac:dyDescent="0.35">
      <c r="A17" s="4" t="s">
        <v>40</v>
      </c>
      <c r="B17" s="5">
        <v>0.25</v>
      </c>
      <c r="C17" s="13" t="str">
        <f>IF(COUNT(C18:C20)=0,"",AVERAGE(C18:C20))</f>
        <v/>
      </c>
      <c r="D17" s="13" t="str">
        <f>IF(C17="","",B17*C17)</f>
        <v/>
      </c>
      <c r="E17" s="2"/>
      <c r="F17" s="2"/>
    </row>
    <row r="18" spans="1:6" x14ac:dyDescent="0.35">
      <c r="A18" s="8" t="s">
        <v>41</v>
      </c>
      <c r="B18" s="2"/>
      <c r="C18" s="15"/>
      <c r="D18" s="2"/>
      <c r="E18" s="7"/>
      <c r="F18" s="7"/>
    </row>
    <row r="19" spans="1:6" x14ac:dyDescent="0.35">
      <c r="A19" s="8" t="s">
        <v>42</v>
      </c>
      <c r="B19" s="2"/>
      <c r="C19" s="15"/>
      <c r="D19" s="2"/>
      <c r="E19" s="7"/>
      <c r="F19" s="7"/>
    </row>
    <row r="20" spans="1:6" x14ac:dyDescent="0.35">
      <c r="A20" s="6" t="s">
        <v>43</v>
      </c>
      <c r="B20" s="2"/>
      <c r="C20" s="15"/>
      <c r="D20" s="2"/>
      <c r="E20" s="7"/>
      <c r="F20" s="7"/>
    </row>
    <row r="21" spans="1:6" x14ac:dyDescent="0.35">
      <c r="A21" s="4" t="s">
        <v>44</v>
      </c>
      <c r="B21" s="5">
        <v>0.25</v>
      </c>
      <c r="C21" s="13" t="str">
        <f>IF(COUNT(C22:C24)=0,"",AVERAGE(C22:C24))</f>
        <v/>
      </c>
      <c r="D21" s="13" t="str">
        <f>IF(C21="","",B21*C21)</f>
        <v/>
      </c>
      <c r="E21" s="2"/>
      <c r="F21" s="2"/>
    </row>
    <row r="22" spans="1:6" x14ac:dyDescent="0.35">
      <c r="A22" s="6" t="s">
        <v>45</v>
      </c>
      <c r="B22" s="2"/>
      <c r="C22" s="15"/>
      <c r="D22" s="2"/>
      <c r="E22" s="7"/>
      <c r="F22" s="7"/>
    </row>
    <row r="23" spans="1:6" x14ac:dyDescent="0.35">
      <c r="A23" s="6" t="s">
        <v>46</v>
      </c>
      <c r="B23" s="2"/>
      <c r="C23" s="15"/>
      <c r="D23" s="2"/>
      <c r="E23" s="7"/>
      <c r="F23" s="7"/>
    </row>
    <row r="24" spans="1:6" x14ac:dyDescent="0.35">
      <c r="A24" s="6" t="s">
        <v>47</v>
      </c>
      <c r="B24" s="2"/>
      <c r="C24" s="15"/>
      <c r="D24" s="2"/>
      <c r="E24" s="7"/>
      <c r="F24" s="7"/>
    </row>
    <row r="25" spans="1:6" x14ac:dyDescent="0.35">
      <c r="A25" s="4" t="s">
        <v>48</v>
      </c>
      <c r="B25" s="5">
        <v>0.25</v>
      </c>
      <c r="C25" s="13" t="str">
        <f>IF(COUNT(C26:C28)=0,"",AVERAGE(C26:C28))</f>
        <v/>
      </c>
      <c r="D25" s="13" t="str">
        <f>IF(C25="","",B25*C25)</f>
        <v/>
      </c>
      <c r="E25" s="2"/>
      <c r="F25" s="2"/>
    </row>
    <row r="26" spans="1:6" x14ac:dyDescent="0.35">
      <c r="A26" s="8" t="s">
        <v>49</v>
      </c>
      <c r="B26" s="2"/>
      <c r="C26" s="15"/>
      <c r="D26" s="2"/>
      <c r="E26" s="7"/>
      <c r="F26" s="7"/>
    </row>
    <row r="27" spans="1:6" x14ac:dyDescent="0.35">
      <c r="A27" s="6" t="s">
        <v>50</v>
      </c>
      <c r="B27" s="2"/>
      <c r="C27" s="15"/>
      <c r="D27" s="2"/>
      <c r="E27" s="7"/>
      <c r="F27" s="7"/>
    </row>
    <row r="28" spans="1:6" x14ac:dyDescent="0.35">
      <c r="A28" s="6" t="s">
        <v>51</v>
      </c>
      <c r="B28" s="2"/>
      <c r="C28" s="15"/>
      <c r="D28" s="2"/>
      <c r="E28" s="7"/>
      <c r="F28" s="7"/>
    </row>
    <row r="29" spans="1:6" x14ac:dyDescent="0.35">
      <c r="A29" s="9" t="s">
        <v>52</v>
      </c>
      <c r="B29" s="9"/>
      <c r="C29" s="9"/>
      <c r="D29" s="10">
        <f>IF(COUNTA(C13,C17,C21,C25)=0,"",SUM(D13,D17,D21,D25))</f>
        <v>0</v>
      </c>
      <c r="E29" s="9"/>
      <c r="F29" s="9"/>
    </row>
    <row r="30" spans="1:6" x14ac:dyDescent="0.35">
      <c r="A30" s="2" t="s">
        <v>53</v>
      </c>
      <c r="B30" s="7"/>
      <c r="C30" s="7"/>
      <c r="D30" s="7"/>
      <c r="E30" s="7"/>
      <c r="F30" s="7"/>
    </row>
    <row r="31" spans="1:6" x14ac:dyDescent="0.35">
      <c r="A31" s="2" t="s">
        <v>54</v>
      </c>
      <c r="B31" s="7"/>
      <c r="C31" s="7"/>
      <c r="D31" s="7"/>
      <c r="E31" s="7"/>
      <c r="F31" s="7"/>
    </row>
    <row r="33" spans="1:6" ht="16.5" x14ac:dyDescent="0.35">
      <c r="A33" s="29" t="s">
        <v>55</v>
      </c>
      <c r="B33" s="29"/>
      <c r="C33" s="29"/>
      <c r="D33" s="29"/>
      <c r="E33" s="29"/>
      <c r="F33" s="29"/>
    </row>
    <row r="34" spans="1:6" x14ac:dyDescent="0.35">
      <c r="A34" s="1" t="s">
        <v>30</v>
      </c>
      <c r="B34" s="1" t="s">
        <v>31</v>
      </c>
      <c r="C34" s="1" t="s">
        <v>32</v>
      </c>
      <c r="D34" s="1" t="s">
        <v>33</v>
      </c>
      <c r="E34" s="1" t="s">
        <v>34</v>
      </c>
      <c r="F34" s="1" t="s">
        <v>35</v>
      </c>
    </row>
    <row r="35" spans="1:6" x14ac:dyDescent="0.35">
      <c r="A35" s="4" t="s">
        <v>56</v>
      </c>
      <c r="B35" s="5">
        <v>0.25</v>
      </c>
      <c r="C35" s="13" t="str">
        <f>IF(COUNT(C36:C38)=0,"",AVERAGE(C36:C38))</f>
        <v/>
      </c>
      <c r="D35" s="13" t="str">
        <f>IF(C35="","",B35*C35)</f>
        <v/>
      </c>
      <c r="E35" s="2"/>
      <c r="F35" s="2"/>
    </row>
    <row r="36" spans="1:6" x14ac:dyDescent="0.35">
      <c r="A36" s="8" t="s">
        <v>57</v>
      </c>
      <c r="B36" s="2"/>
      <c r="C36" s="15"/>
      <c r="D36" s="2"/>
      <c r="E36" s="7"/>
      <c r="F36" s="7"/>
    </row>
    <row r="37" spans="1:6" x14ac:dyDescent="0.35">
      <c r="A37" s="6" t="s">
        <v>58</v>
      </c>
      <c r="B37" s="2"/>
      <c r="C37" s="15"/>
      <c r="D37" s="2"/>
      <c r="E37" s="7"/>
      <c r="F37" s="7"/>
    </row>
    <row r="38" spans="1:6" x14ac:dyDescent="0.35">
      <c r="A38" s="8" t="s">
        <v>59</v>
      </c>
      <c r="B38" s="2"/>
      <c r="C38" s="15"/>
      <c r="D38" s="2"/>
      <c r="E38" s="7"/>
      <c r="F38" s="7"/>
    </row>
    <row r="39" spans="1:6" x14ac:dyDescent="0.35">
      <c r="A39" s="4" t="s">
        <v>60</v>
      </c>
      <c r="B39" s="5">
        <v>0.25</v>
      </c>
      <c r="C39" s="13" t="str">
        <f>IF(COUNT(C40:C42)=0,"",AVERAGE(C40:C42))</f>
        <v/>
      </c>
      <c r="D39" s="13" t="str">
        <f>IF(C39="","",B39*C39)</f>
        <v/>
      </c>
      <c r="E39" s="2"/>
      <c r="F39" s="2"/>
    </row>
    <row r="40" spans="1:6" x14ac:dyDescent="0.35">
      <c r="A40" s="8" t="s">
        <v>61</v>
      </c>
      <c r="B40" s="2"/>
      <c r="C40" s="15"/>
      <c r="D40" s="2"/>
      <c r="E40" s="7"/>
      <c r="F40" s="7"/>
    </row>
    <row r="41" spans="1:6" x14ac:dyDescent="0.35">
      <c r="A41" s="8" t="s">
        <v>62</v>
      </c>
      <c r="B41" s="2"/>
      <c r="C41" s="15"/>
      <c r="D41" s="2"/>
      <c r="E41" s="7"/>
      <c r="F41" s="7"/>
    </row>
    <row r="42" spans="1:6" x14ac:dyDescent="0.35">
      <c r="A42" s="6" t="s">
        <v>63</v>
      </c>
      <c r="B42" s="2"/>
      <c r="C42" s="15"/>
      <c r="D42" s="2"/>
      <c r="E42" s="7"/>
      <c r="F42" s="7"/>
    </row>
    <row r="43" spans="1:6" x14ac:dyDescent="0.35">
      <c r="A43" s="4" t="s">
        <v>64</v>
      </c>
      <c r="B43" s="5">
        <v>0.25</v>
      </c>
      <c r="C43" s="13" t="str">
        <f>IF(COUNT(C44:C46)=0,"",AVERAGE(C44:C46))</f>
        <v/>
      </c>
      <c r="D43" s="13" t="str">
        <f>IF(C43="","",B43*C43)</f>
        <v/>
      </c>
      <c r="E43" s="2"/>
      <c r="F43" s="2"/>
    </row>
    <row r="44" spans="1:6" x14ac:dyDescent="0.35">
      <c r="A44" s="8" t="s">
        <v>65</v>
      </c>
      <c r="B44" s="2"/>
      <c r="C44" s="15"/>
      <c r="D44" s="2"/>
      <c r="E44" s="7"/>
      <c r="F44" s="7"/>
    </row>
    <row r="45" spans="1:6" x14ac:dyDescent="0.35">
      <c r="A45" s="8" t="s">
        <v>66</v>
      </c>
      <c r="B45" s="2"/>
      <c r="C45" s="15"/>
      <c r="D45" s="2"/>
      <c r="E45" s="7"/>
      <c r="F45" s="7"/>
    </row>
    <row r="46" spans="1:6" x14ac:dyDescent="0.35">
      <c r="A46" s="6" t="s">
        <v>67</v>
      </c>
      <c r="B46" s="2"/>
      <c r="C46" s="15"/>
      <c r="D46" s="2"/>
      <c r="E46" s="7"/>
      <c r="F46" s="7"/>
    </row>
    <row r="47" spans="1:6" x14ac:dyDescent="0.35">
      <c r="A47" s="4" t="s">
        <v>68</v>
      </c>
      <c r="B47" s="5">
        <v>0.25</v>
      </c>
      <c r="C47" s="13" t="str">
        <f>IF(COUNT(C48:C50)=0,"",AVERAGE(C48:C50))</f>
        <v/>
      </c>
      <c r="D47" s="13" t="str">
        <f>IF(C47="","",B47*C47)</f>
        <v/>
      </c>
      <c r="E47" s="2"/>
      <c r="F47" s="2"/>
    </row>
    <row r="48" spans="1:6" x14ac:dyDescent="0.35">
      <c r="A48" s="6" t="s">
        <v>69</v>
      </c>
      <c r="B48" s="2"/>
      <c r="C48" s="15"/>
      <c r="D48" s="2"/>
      <c r="E48" s="7"/>
      <c r="F48" s="7"/>
    </row>
    <row r="49" spans="1:6" x14ac:dyDescent="0.35">
      <c r="A49" s="8" t="s">
        <v>70</v>
      </c>
      <c r="B49" s="2"/>
      <c r="C49" s="15"/>
      <c r="D49" s="2"/>
      <c r="E49" s="7"/>
      <c r="F49" s="7"/>
    </row>
    <row r="50" spans="1:6" x14ac:dyDescent="0.35">
      <c r="A50" s="8" t="s">
        <v>71</v>
      </c>
      <c r="B50" s="2"/>
      <c r="C50" s="15"/>
      <c r="D50" s="2"/>
      <c r="E50" s="7"/>
      <c r="F50" s="7"/>
    </row>
    <row r="51" spans="1:6" x14ac:dyDescent="0.35">
      <c r="A51" s="9" t="s">
        <v>52</v>
      </c>
      <c r="B51" s="9"/>
      <c r="C51" s="9"/>
      <c r="D51" s="10">
        <f>IF(COUNTA(C35,C39,C43,C47)=0,"",SUM(D35,D39,D43,D47))</f>
        <v>0</v>
      </c>
      <c r="E51" s="9"/>
      <c r="F51" s="9"/>
    </row>
    <row r="52" spans="1:6" x14ac:dyDescent="0.35">
      <c r="A52" s="2" t="s">
        <v>53</v>
      </c>
      <c r="B52" s="7"/>
      <c r="C52" s="7"/>
      <c r="D52" s="7"/>
      <c r="E52" s="7"/>
      <c r="F52" s="7"/>
    </row>
    <row r="53" spans="1:6" x14ac:dyDescent="0.35">
      <c r="A53" s="2" t="s">
        <v>54</v>
      </c>
      <c r="B53" s="7"/>
      <c r="C53" s="7"/>
      <c r="D53" s="7"/>
      <c r="E53" s="7"/>
      <c r="F53" s="7"/>
    </row>
    <row r="55" spans="1:6" ht="16.5" x14ac:dyDescent="0.35">
      <c r="A55" s="29" t="s">
        <v>72</v>
      </c>
      <c r="B55" s="29"/>
      <c r="C55" s="29"/>
      <c r="D55" s="29"/>
      <c r="E55" s="29"/>
      <c r="F55" s="29"/>
    </row>
    <row r="56" spans="1:6" x14ac:dyDescent="0.35">
      <c r="A56" s="1" t="s">
        <v>30</v>
      </c>
      <c r="B56" s="1" t="s">
        <v>31</v>
      </c>
      <c r="C56" s="1" t="s">
        <v>32</v>
      </c>
      <c r="D56" s="1" t="s">
        <v>33</v>
      </c>
      <c r="E56" s="1" t="s">
        <v>34</v>
      </c>
      <c r="F56" s="1" t="s">
        <v>35</v>
      </c>
    </row>
    <row r="57" spans="1:6" x14ac:dyDescent="0.35">
      <c r="A57" s="4" t="s">
        <v>73</v>
      </c>
      <c r="B57" s="5">
        <v>0.25</v>
      </c>
      <c r="C57" s="13" t="str">
        <f>IF(COUNT(C58:C60)=0,"",AVERAGE(C58:C60))</f>
        <v/>
      </c>
      <c r="D57" s="13" t="str">
        <f>IF(C57="","",B57*C57)</f>
        <v/>
      </c>
      <c r="E57" s="2"/>
      <c r="F57" s="2"/>
    </row>
    <row r="58" spans="1:6" x14ac:dyDescent="0.35">
      <c r="A58" s="8" t="s">
        <v>74</v>
      </c>
      <c r="B58" s="2"/>
      <c r="C58" s="15"/>
      <c r="D58" s="2"/>
      <c r="E58" s="7"/>
      <c r="F58" s="7"/>
    </row>
    <row r="59" spans="1:6" x14ac:dyDescent="0.35">
      <c r="A59" s="8" t="s">
        <v>75</v>
      </c>
      <c r="B59" s="2"/>
      <c r="C59" s="15"/>
      <c r="D59" s="2"/>
      <c r="E59" s="7"/>
      <c r="F59" s="7"/>
    </row>
    <row r="60" spans="1:6" x14ac:dyDescent="0.35">
      <c r="A60" s="8" t="s">
        <v>76</v>
      </c>
      <c r="B60" s="2"/>
      <c r="C60" s="15"/>
      <c r="D60" s="2"/>
      <c r="E60" s="7"/>
      <c r="F60" s="7"/>
    </row>
    <row r="61" spans="1:6" x14ac:dyDescent="0.35">
      <c r="A61" s="4" t="s">
        <v>77</v>
      </c>
      <c r="B61" s="5">
        <v>0.25</v>
      </c>
      <c r="C61" s="13" t="str">
        <f>IF(COUNT(C62:C64)=0,"",AVERAGE(C62:C64))</f>
        <v/>
      </c>
      <c r="D61" s="13" t="str">
        <f>IF(C61="","",B61*C61)</f>
        <v/>
      </c>
      <c r="E61" s="2"/>
      <c r="F61" s="2"/>
    </row>
    <row r="62" spans="1:6" x14ac:dyDescent="0.35">
      <c r="A62" s="8" t="s">
        <v>78</v>
      </c>
      <c r="B62" s="2"/>
      <c r="C62" s="15"/>
      <c r="D62" s="2"/>
      <c r="E62" s="7"/>
      <c r="F62" s="7"/>
    </row>
    <row r="63" spans="1:6" x14ac:dyDescent="0.35">
      <c r="A63" s="8" t="s">
        <v>79</v>
      </c>
      <c r="B63" s="2"/>
      <c r="C63" s="15"/>
      <c r="D63" s="2"/>
      <c r="E63" s="7"/>
      <c r="F63" s="7"/>
    </row>
    <row r="64" spans="1:6" x14ac:dyDescent="0.35">
      <c r="A64" s="8" t="s">
        <v>80</v>
      </c>
      <c r="B64" s="2"/>
      <c r="C64" s="15"/>
      <c r="D64" s="2"/>
      <c r="E64" s="7"/>
      <c r="F64" s="7"/>
    </row>
    <row r="65" spans="1:6" x14ac:dyDescent="0.35">
      <c r="A65" s="4" t="s">
        <v>81</v>
      </c>
      <c r="B65" s="5">
        <v>0.25</v>
      </c>
      <c r="C65" s="13" t="str">
        <f>IF(COUNT(C66:C68)=0,"",AVERAGE(C66:C68))</f>
        <v/>
      </c>
      <c r="D65" s="13" t="str">
        <f>IF(C65="","",B65*C65)</f>
        <v/>
      </c>
      <c r="E65" s="2"/>
      <c r="F65" s="2"/>
    </row>
    <row r="66" spans="1:6" x14ac:dyDescent="0.35">
      <c r="A66" s="8" t="s">
        <v>82</v>
      </c>
      <c r="B66" s="2"/>
      <c r="C66" s="15"/>
      <c r="D66" s="2"/>
      <c r="E66" s="7"/>
      <c r="F66" s="7"/>
    </row>
    <row r="67" spans="1:6" x14ac:dyDescent="0.35">
      <c r="A67" s="8" t="s">
        <v>83</v>
      </c>
      <c r="B67" s="2"/>
      <c r="C67" s="15"/>
      <c r="D67" s="2"/>
      <c r="E67" s="7"/>
      <c r="F67" s="7"/>
    </row>
    <row r="68" spans="1:6" x14ac:dyDescent="0.35">
      <c r="A68" s="6" t="s">
        <v>84</v>
      </c>
      <c r="B68" s="2"/>
      <c r="C68" s="15"/>
      <c r="D68" s="2"/>
      <c r="E68" s="7"/>
      <c r="F68" s="7"/>
    </row>
    <row r="69" spans="1:6" x14ac:dyDescent="0.35">
      <c r="A69" s="4" t="s">
        <v>85</v>
      </c>
      <c r="B69" s="5">
        <v>0.25</v>
      </c>
      <c r="C69" s="13" t="str">
        <f>IF(COUNT(C70:C72)=0,"",AVERAGE(C70:C72))</f>
        <v/>
      </c>
      <c r="D69" s="13" t="str">
        <f>IF(C69="","",B69*C69)</f>
        <v/>
      </c>
      <c r="E69" s="2"/>
      <c r="F69" s="2"/>
    </row>
    <row r="70" spans="1:6" x14ac:dyDescent="0.35">
      <c r="A70" s="8" t="s">
        <v>86</v>
      </c>
      <c r="B70" s="2"/>
      <c r="C70" s="15"/>
      <c r="D70" s="2"/>
      <c r="E70" s="7"/>
      <c r="F70" s="7"/>
    </row>
    <row r="71" spans="1:6" x14ac:dyDescent="0.35">
      <c r="A71" s="8" t="s">
        <v>87</v>
      </c>
      <c r="B71" s="2"/>
      <c r="C71" s="15"/>
      <c r="D71" s="2"/>
      <c r="E71" s="7"/>
      <c r="F71" s="7"/>
    </row>
    <row r="72" spans="1:6" x14ac:dyDescent="0.35">
      <c r="A72" s="8" t="s">
        <v>88</v>
      </c>
      <c r="B72" s="2"/>
      <c r="C72" s="15"/>
      <c r="D72" s="2"/>
      <c r="E72" s="7"/>
      <c r="F72" s="7"/>
    </row>
    <row r="73" spans="1:6" x14ac:dyDescent="0.35">
      <c r="A73" s="9" t="s">
        <v>52</v>
      </c>
      <c r="B73" s="9"/>
      <c r="C73" s="9"/>
      <c r="D73" s="10">
        <f>IF(COUNTA(C57,C61,C65,C69)=0,"",SUM(D57,D61,D65,D69))</f>
        <v>0</v>
      </c>
      <c r="E73" s="9"/>
      <c r="F73" s="9"/>
    </row>
    <row r="74" spans="1:6" x14ac:dyDescent="0.35">
      <c r="A74" s="2" t="s">
        <v>53</v>
      </c>
      <c r="B74" s="7"/>
      <c r="C74" s="7"/>
      <c r="D74" s="7"/>
      <c r="E74" s="7"/>
      <c r="F74" s="7"/>
    </row>
    <row r="75" spans="1:6" x14ac:dyDescent="0.35">
      <c r="A75" s="2" t="s">
        <v>54</v>
      </c>
      <c r="B75" s="7"/>
      <c r="C75" s="7"/>
      <c r="D75" s="7"/>
      <c r="E75" s="7"/>
      <c r="F75" s="7"/>
    </row>
    <row r="77" spans="1:6" ht="16.5" x14ac:dyDescent="0.35">
      <c r="A77" s="29" t="s">
        <v>89</v>
      </c>
      <c r="B77" s="29"/>
      <c r="C77" s="29"/>
      <c r="D77" s="29"/>
      <c r="E77" s="29"/>
      <c r="F77" s="29"/>
    </row>
    <row r="78" spans="1:6" x14ac:dyDescent="0.35">
      <c r="A78" s="1" t="s">
        <v>30</v>
      </c>
      <c r="B78" s="1" t="s">
        <v>31</v>
      </c>
      <c r="C78" s="1" t="s">
        <v>32</v>
      </c>
      <c r="D78" s="1" t="s">
        <v>33</v>
      </c>
      <c r="E78" s="1" t="s">
        <v>34</v>
      </c>
      <c r="F78" s="1" t="s">
        <v>35</v>
      </c>
    </row>
    <row r="79" spans="1:6" x14ac:dyDescent="0.35">
      <c r="A79" s="4" t="s">
        <v>90</v>
      </c>
      <c r="B79" s="5">
        <v>0.3</v>
      </c>
      <c r="C79" s="13" t="str">
        <f>IF(COUNT(C80:C82)=0,"",AVERAGE(C80:C82))</f>
        <v/>
      </c>
      <c r="D79" s="13" t="str">
        <f>IF(C79="","",B79*C79)</f>
        <v/>
      </c>
      <c r="E79" s="2"/>
      <c r="F79" s="2"/>
    </row>
    <row r="80" spans="1:6" x14ac:dyDescent="0.35">
      <c r="A80" s="6" t="s">
        <v>91</v>
      </c>
      <c r="B80" s="2"/>
      <c r="C80" s="15"/>
      <c r="D80" s="2"/>
      <c r="E80" s="7"/>
      <c r="F80" s="7"/>
    </row>
    <row r="81" spans="1:6" x14ac:dyDescent="0.35">
      <c r="A81" s="8" t="s">
        <v>92</v>
      </c>
      <c r="B81" s="2"/>
      <c r="C81" s="15"/>
      <c r="D81" s="2"/>
      <c r="E81" s="7"/>
      <c r="F81" s="7"/>
    </row>
    <row r="82" spans="1:6" x14ac:dyDescent="0.35">
      <c r="A82" s="6" t="s">
        <v>93</v>
      </c>
      <c r="B82" s="2"/>
      <c r="C82" s="15"/>
      <c r="D82" s="2"/>
      <c r="E82" s="7"/>
      <c r="F82" s="7"/>
    </row>
    <row r="83" spans="1:6" x14ac:dyDescent="0.35">
      <c r="A83" s="4" t="s">
        <v>94</v>
      </c>
      <c r="B83" s="5">
        <v>0.2</v>
      </c>
      <c r="C83" s="13" t="str">
        <f>IF(COUNT(C84:C86)=0,"",AVERAGE(C84:C86))</f>
        <v/>
      </c>
      <c r="D83" s="13" t="str">
        <f>IF(C83="","",B83*C83)</f>
        <v/>
      </c>
      <c r="E83" s="2"/>
      <c r="F83" s="2"/>
    </row>
    <row r="84" spans="1:6" x14ac:dyDescent="0.35">
      <c r="A84" s="8" t="s">
        <v>95</v>
      </c>
      <c r="B84" s="2"/>
      <c r="C84" s="15"/>
      <c r="D84" s="2"/>
      <c r="E84" s="7"/>
      <c r="F84" s="7"/>
    </row>
    <row r="85" spans="1:6" x14ac:dyDescent="0.35">
      <c r="A85" s="8" t="s">
        <v>96</v>
      </c>
      <c r="B85" s="2"/>
      <c r="C85" s="15"/>
      <c r="D85" s="2"/>
      <c r="E85" s="7"/>
      <c r="F85" s="7"/>
    </row>
    <row r="86" spans="1:6" x14ac:dyDescent="0.35">
      <c r="A86" s="8" t="s">
        <v>97</v>
      </c>
      <c r="B86" s="2"/>
      <c r="C86" s="15"/>
      <c r="D86" s="2"/>
      <c r="E86" s="7"/>
      <c r="F86" s="7"/>
    </row>
    <row r="87" spans="1:6" x14ac:dyDescent="0.35">
      <c r="A87" s="4" t="s">
        <v>98</v>
      </c>
      <c r="B87" s="5">
        <v>0.3</v>
      </c>
      <c r="C87" s="13" t="str">
        <f>IF(COUNT(C88:C90)=0,"",AVERAGE(C88:C90))</f>
        <v/>
      </c>
      <c r="D87" s="13" t="str">
        <f>IF(C87="","",B87*C87)</f>
        <v/>
      </c>
      <c r="E87" s="2"/>
      <c r="F87" s="2"/>
    </row>
    <row r="88" spans="1:6" x14ac:dyDescent="0.35">
      <c r="A88" s="8" t="s">
        <v>99</v>
      </c>
      <c r="B88" s="2"/>
      <c r="C88" s="15"/>
      <c r="D88" s="2"/>
      <c r="E88" s="7"/>
      <c r="F88" s="7"/>
    </row>
    <row r="89" spans="1:6" x14ac:dyDescent="0.35">
      <c r="A89" s="6" t="s">
        <v>100</v>
      </c>
      <c r="B89" s="2"/>
      <c r="C89" s="15"/>
      <c r="D89" s="2"/>
      <c r="E89" s="7"/>
      <c r="F89" s="7"/>
    </row>
    <row r="90" spans="1:6" x14ac:dyDescent="0.35">
      <c r="A90" s="8" t="s">
        <v>101</v>
      </c>
      <c r="B90" s="2"/>
      <c r="C90" s="15"/>
      <c r="D90" s="2"/>
      <c r="E90" s="7"/>
      <c r="F90" s="7"/>
    </row>
    <row r="91" spans="1:6" x14ac:dyDescent="0.35">
      <c r="A91" s="4" t="s">
        <v>102</v>
      </c>
      <c r="B91" s="5">
        <v>0.2</v>
      </c>
      <c r="C91" s="13" t="str">
        <f>IF(COUNT(C92:C94)=0,"",AVERAGE(C92:C94))</f>
        <v/>
      </c>
      <c r="D91" s="13" t="str">
        <f>IF(C91="","",B91*C91)</f>
        <v/>
      </c>
      <c r="E91" s="2"/>
      <c r="F91" s="2"/>
    </row>
    <row r="92" spans="1:6" x14ac:dyDescent="0.35">
      <c r="A92" s="6" t="s">
        <v>103</v>
      </c>
      <c r="B92" s="2"/>
      <c r="C92" s="15"/>
      <c r="D92" s="2"/>
      <c r="E92" s="7"/>
      <c r="F92" s="7"/>
    </row>
    <row r="93" spans="1:6" x14ac:dyDescent="0.35">
      <c r="A93" s="6" t="s">
        <v>104</v>
      </c>
      <c r="B93" s="2"/>
      <c r="C93" s="15"/>
      <c r="D93" s="2"/>
      <c r="E93" s="7"/>
      <c r="F93" s="7"/>
    </row>
    <row r="94" spans="1:6" x14ac:dyDescent="0.35">
      <c r="A94" s="8" t="s">
        <v>105</v>
      </c>
      <c r="B94" s="2"/>
      <c r="C94" s="15"/>
      <c r="D94" s="2"/>
      <c r="E94" s="7"/>
      <c r="F94" s="7"/>
    </row>
    <row r="95" spans="1:6" x14ac:dyDescent="0.35">
      <c r="A95" s="9" t="s">
        <v>52</v>
      </c>
      <c r="B95" s="9"/>
      <c r="C95" s="9"/>
      <c r="D95" s="10">
        <f>IF(COUNTA(C79,C83,C87,C91)=0,"",SUM(D79,D83,D87,D91))</f>
        <v>0</v>
      </c>
      <c r="E95" s="9"/>
      <c r="F95" s="9"/>
    </row>
    <row r="96" spans="1:6" x14ac:dyDescent="0.35">
      <c r="A96" s="2" t="s">
        <v>53</v>
      </c>
      <c r="B96" s="7"/>
      <c r="C96" s="7"/>
      <c r="D96" s="7"/>
      <c r="E96" s="7"/>
      <c r="F96" s="7"/>
    </row>
    <row r="97" spans="1:6" x14ac:dyDescent="0.35">
      <c r="A97" s="2" t="s">
        <v>54</v>
      </c>
      <c r="B97" s="7"/>
      <c r="C97" s="7"/>
      <c r="D97" s="7"/>
      <c r="E97" s="7"/>
      <c r="F97" s="7"/>
    </row>
    <row r="99" spans="1:6" ht="16.5" x14ac:dyDescent="0.35">
      <c r="A99" s="29" t="s">
        <v>106</v>
      </c>
      <c r="B99" s="29"/>
      <c r="C99" s="29"/>
      <c r="D99" s="29"/>
      <c r="E99" s="29"/>
      <c r="F99" s="29"/>
    </row>
    <row r="100" spans="1:6" x14ac:dyDescent="0.35">
      <c r="A100" s="1" t="s">
        <v>30</v>
      </c>
      <c r="B100" s="1" t="s">
        <v>31</v>
      </c>
      <c r="C100" s="1" t="s">
        <v>32</v>
      </c>
      <c r="D100" s="1" t="s">
        <v>33</v>
      </c>
      <c r="E100" s="1" t="s">
        <v>34</v>
      </c>
      <c r="F100" s="1" t="s">
        <v>35</v>
      </c>
    </row>
    <row r="101" spans="1:6" x14ac:dyDescent="0.35">
      <c r="A101" s="4" t="s">
        <v>107</v>
      </c>
      <c r="B101" s="5">
        <v>0.25</v>
      </c>
      <c r="C101" s="13" t="str">
        <f>IF(COUNT(C102:C104)=0,"",AVERAGE(C102:C104))</f>
        <v/>
      </c>
      <c r="D101" s="13" t="str">
        <f>IF(C101="","",B101*C101)</f>
        <v/>
      </c>
      <c r="E101" s="2"/>
      <c r="F101" s="2"/>
    </row>
    <row r="102" spans="1:6" x14ac:dyDescent="0.35">
      <c r="A102" s="8" t="s">
        <v>108</v>
      </c>
      <c r="B102" s="2"/>
      <c r="C102" s="15"/>
      <c r="D102" s="2"/>
      <c r="E102" s="7"/>
      <c r="F102" s="7"/>
    </row>
    <row r="103" spans="1:6" x14ac:dyDescent="0.35">
      <c r="A103" s="8" t="s">
        <v>109</v>
      </c>
      <c r="B103" s="2"/>
      <c r="C103" s="15"/>
      <c r="D103" s="2"/>
      <c r="E103" s="7"/>
      <c r="F103" s="7"/>
    </row>
    <row r="104" spans="1:6" x14ac:dyDescent="0.35">
      <c r="A104" s="8" t="s">
        <v>110</v>
      </c>
      <c r="B104" s="2"/>
      <c r="C104" s="15"/>
      <c r="D104" s="2"/>
      <c r="E104" s="7"/>
      <c r="F104" s="7"/>
    </row>
    <row r="105" spans="1:6" x14ac:dyDescent="0.35">
      <c r="A105" s="4" t="s">
        <v>111</v>
      </c>
      <c r="B105" s="5">
        <v>0.25</v>
      </c>
      <c r="C105" s="13" t="str">
        <f>IF(COUNT(C106:C108)=0,"",AVERAGE(C106:C108))</f>
        <v/>
      </c>
      <c r="D105" s="13" t="str">
        <f>IF(C105="","",B105*C105)</f>
        <v/>
      </c>
      <c r="E105" s="2"/>
      <c r="F105" s="2"/>
    </row>
    <row r="106" spans="1:6" x14ac:dyDescent="0.35">
      <c r="A106" s="8" t="s">
        <v>112</v>
      </c>
      <c r="B106" s="2"/>
      <c r="C106" s="15"/>
      <c r="D106" s="2"/>
      <c r="E106" s="7"/>
      <c r="F106" s="7"/>
    </row>
    <row r="107" spans="1:6" x14ac:dyDescent="0.35">
      <c r="A107" s="6" t="s">
        <v>113</v>
      </c>
      <c r="B107" s="2"/>
      <c r="C107" s="15"/>
      <c r="D107" s="2"/>
      <c r="E107" s="7"/>
      <c r="F107" s="7"/>
    </row>
    <row r="108" spans="1:6" x14ac:dyDescent="0.35">
      <c r="A108" s="6" t="s">
        <v>114</v>
      </c>
      <c r="B108" s="2"/>
      <c r="C108" s="15"/>
      <c r="D108" s="2"/>
      <c r="E108" s="7"/>
      <c r="F108" s="7"/>
    </row>
    <row r="109" spans="1:6" x14ac:dyDescent="0.35">
      <c r="A109" s="4" t="s">
        <v>115</v>
      </c>
      <c r="B109" s="5">
        <v>0.25</v>
      </c>
      <c r="C109" s="13" t="str">
        <f>IF(COUNT(C110:C112)=0,"",AVERAGE(C110:C112))</f>
        <v/>
      </c>
      <c r="D109" s="13" t="str">
        <f>IF(C109="","",B109*C109)</f>
        <v/>
      </c>
      <c r="E109" s="2"/>
      <c r="F109" s="2"/>
    </row>
    <row r="110" spans="1:6" x14ac:dyDescent="0.35">
      <c r="A110" s="8" t="s">
        <v>116</v>
      </c>
      <c r="B110" s="2"/>
      <c r="C110" s="15"/>
      <c r="D110" s="2"/>
      <c r="E110" s="7"/>
      <c r="F110" s="7"/>
    </row>
    <row r="111" spans="1:6" x14ac:dyDescent="0.35">
      <c r="A111" s="8" t="s">
        <v>117</v>
      </c>
      <c r="B111" s="2"/>
      <c r="C111" s="15"/>
      <c r="D111" s="2"/>
      <c r="E111" s="7"/>
      <c r="F111" s="7"/>
    </row>
    <row r="112" spans="1:6" x14ac:dyDescent="0.35">
      <c r="A112" s="6" t="s">
        <v>118</v>
      </c>
      <c r="B112" s="2"/>
      <c r="C112" s="15"/>
      <c r="D112" s="2"/>
      <c r="E112" s="7"/>
      <c r="F112" s="7"/>
    </row>
    <row r="113" spans="1:14" x14ac:dyDescent="0.35">
      <c r="A113" s="4" t="s">
        <v>119</v>
      </c>
      <c r="B113" s="5">
        <v>0.25</v>
      </c>
      <c r="C113" s="13" t="str">
        <f>IF(COUNT(C114:C116)=0,"",AVERAGE(C114:C116))</f>
        <v/>
      </c>
      <c r="D113" s="13" t="str">
        <f>IF(C113="","",B113*C113)</f>
        <v/>
      </c>
      <c r="E113" s="2"/>
      <c r="F113" s="2"/>
    </row>
    <row r="114" spans="1:14" x14ac:dyDescent="0.35">
      <c r="A114" s="6" t="s">
        <v>120</v>
      </c>
      <c r="B114" s="2"/>
      <c r="C114" s="15"/>
      <c r="D114" s="2"/>
      <c r="E114" s="7"/>
      <c r="F114" s="7"/>
    </row>
    <row r="115" spans="1:14" x14ac:dyDescent="0.35">
      <c r="A115" s="6" t="s">
        <v>121</v>
      </c>
      <c r="B115" s="2"/>
      <c r="C115" s="15"/>
      <c r="D115" s="2"/>
      <c r="E115" s="7"/>
      <c r="F115" s="7"/>
    </row>
    <row r="116" spans="1:14" x14ac:dyDescent="0.35">
      <c r="A116" s="6" t="s">
        <v>122</v>
      </c>
      <c r="B116" s="2"/>
      <c r="C116" s="15"/>
      <c r="D116" s="2"/>
      <c r="E116" s="7"/>
      <c r="F116" s="7"/>
    </row>
    <row r="117" spans="1:14" x14ac:dyDescent="0.35">
      <c r="A117" s="9" t="s">
        <v>52</v>
      </c>
      <c r="B117" s="9"/>
      <c r="C117" s="9"/>
      <c r="D117" s="10">
        <f>IF(COUNTA(C101,C105,C109,C113)=0,"",SUM(D101,D105,D109,D113))</f>
        <v>0</v>
      </c>
      <c r="E117" s="9"/>
      <c r="F117" s="9"/>
    </row>
    <row r="118" spans="1:14" x14ac:dyDescent="0.35">
      <c r="A118" s="2" t="s">
        <v>53</v>
      </c>
      <c r="B118" s="7"/>
      <c r="C118" s="7"/>
      <c r="D118" s="7"/>
      <c r="E118" s="7"/>
      <c r="F118" s="7"/>
    </row>
    <row r="119" spans="1:14" x14ac:dyDescent="0.35">
      <c r="A119" s="2" t="s">
        <v>54</v>
      </c>
      <c r="B119" s="7"/>
      <c r="C119" s="7"/>
      <c r="D119" s="7"/>
      <c r="E119" s="7"/>
      <c r="F119" s="7"/>
    </row>
    <row r="121" spans="1:14" ht="16.5" x14ac:dyDescent="0.35">
      <c r="A121" s="29" t="s">
        <v>123</v>
      </c>
      <c r="B121" s="29"/>
      <c r="C121" s="29"/>
      <c r="D121" s="29"/>
      <c r="E121" s="29"/>
      <c r="F121" s="29"/>
      <c r="H121" s="31" t="s">
        <v>211</v>
      </c>
      <c r="I121" s="32"/>
      <c r="J121" s="32"/>
      <c r="K121" s="32"/>
      <c r="L121" s="32"/>
      <c r="M121" s="32"/>
      <c r="N121" s="32"/>
    </row>
    <row r="122" spans="1:14" x14ac:dyDescent="0.35">
      <c r="A122" s="1" t="s">
        <v>124</v>
      </c>
      <c r="B122" s="1" t="s">
        <v>125</v>
      </c>
      <c r="C122" s="1" t="s">
        <v>31</v>
      </c>
      <c r="D122" s="1" t="s">
        <v>33</v>
      </c>
      <c r="E122" s="1"/>
      <c r="F122" s="1"/>
      <c r="H122" s="21" t="s">
        <v>212</v>
      </c>
      <c r="I122" s="21" t="s">
        <v>213</v>
      </c>
      <c r="J122" s="21" t="s">
        <v>214</v>
      </c>
      <c r="K122" s="21" t="s">
        <v>215</v>
      </c>
      <c r="L122" s="21" t="s">
        <v>216</v>
      </c>
      <c r="M122" s="21" t="s">
        <v>8</v>
      </c>
      <c r="N122" s="21"/>
    </row>
    <row r="123" spans="1:14" x14ac:dyDescent="0.35">
      <c r="A123" s="2" t="s">
        <v>126</v>
      </c>
      <c r="B123" s="11">
        <f>IF(D29="","",D29)</f>
        <v>0</v>
      </c>
      <c r="C123" s="5">
        <v>0.25</v>
      </c>
      <c r="D123" s="14">
        <f>IF(B123="","",B123*C123)</f>
        <v>0</v>
      </c>
      <c r="E123" s="2"/>
      <c r="F123" s="2"/>
      <c r="H123" s="20" t="s">
        <v>184</v>
      </c>
      <c r="I123" s="22">
        <f>ScoringSummary!D8</f>
        <v>4</v>
      </c>
      <c r="J123" s="23">
        <f>ScoringSummary!D10</f>
        <v>0.8</v>
      </c>
      <c r="K123" s="24">
        <f>ScoringSummary!D9</f>
        <v>320</v>
      </c>
      <c r="L123" s="24">
        <f>ScoringSummary!D11</f>
        <v>1</v>
      </c>
      <c r="M123" s="20" t="s">
        <v>217</v>
      </c>
      <c r="N123" s="20"/>
    </row>
    <row r="124" spans="1:14" x14ac:dyDescent="0.35">
      <c r="A124" s="2" t="s">
        <v>127</v>
      </c>
      <c r="B124" s="11">
        <f>IF(D51="","",D51)</f>
        <v>0</v>
      </c>
      <c r="C124" s="5">
        <v>0.2</v>
      </c>
      <c r="D124" s="14">
        <f>IF(B124="","",B124*C124)</f>
        <v>0</v>
      </c>
      <c r="E124" s="2"/>
      <c r="F124" s="2"/>
      <c r="H124" s="20" t="s">
        <v>185</v>
      </c>
      <c r="I124" s="22">
        <f>ScoringSummary!E8</f>
        <v>4</v>
      </c>
      <c r="J124" s="23">
        <f>ScoringSummary!E10</f>
        <v>0.8</v>
      </c>
      <c r="K124" s="24">
        <f>ScoringSummary!E9</f>
        <v>320</v>
      </c>
      <c r="L124" s="24">
        <f>ScoringSummary!E11</f>
        <v>1</v>
      </c>
      <c r="M124" s="20"/>
      <c r="N124" s="20"/>
    </row>
    <row r="125" spans="1:14" x14ac:dyDescent="0.35">
      <c r="A125" s="2" t="s">
        <v>128</v>
      </c>
      <c r="B125" s="11">
        <f>IF(D73="","",D73)</f>
        <v>0</v>
      </c>
      <c r="C125" s="5">
        <v>0.2</v>
      </c>
      <c r="D125" s="14">
        <f>IF(B125="","",B125*C125)</f>
        <v>0</v>
      </c>
      <c r="E125" s="2"/>
      <c r="F125" s="2"/>
      <c r="H125" s="20" t="s">
        <v>186</v>
      </c>
      <c r="I125" s="22">
        <f>ScoringSummary!F8</f>
        <v>4</v>
      </c>
      <c r="J125" s="23">
        <f>ScoringSummary!F10</f>
        <v>0.8</v>
      </c>
      <c r="K125" s="24">
        <f>ScoringSummary!F9</f>
        <v>320</v>
      </c>
      <c r="L125" s="24">
        <f>ScoringSummary!F11</f>
        <v>1</v>
      </c>
      <c r="M125" s="20"/>
      <c r="N125" s="20"/>
    </row>
    <row r="126" spans="1:14" x14ac:dyDescent="0.35">
      <c r="A126" s="2" t="s">
        <v>129</v>
      </c>
      <c r="B126" s="11">
        <f>IF(D95="","",D95)</f>
        <v>0</v>
      </c>
      <c r="C126" s="5">
        <v>0.2</v>
      </c>
      <c r="D126" s="14">
        <f>IF(B126="","",B126*C126)</f>
        <v>0</v>
      </c>
      <c r="E126" s="2"/>
      <c r="F126" s="2"/>
      <c r="H126" s="20"/>
      <c r="I126" s="20"/>
      <c r="J126" s="20"/>
      <c r="K126" s="20"/>
      <c r="L126" s="20"/>
      <c r="M126" s="20"/>
      <c r="N126" s="20"/>
    </row>
    <row r="127" spans="1:14" x14ac:dyDescent="0.35">
      <c r="A127" s="2" t="s">
        <v>130</v>
      </c>
      <c r="B127" s="11">
        <f>IF(D117="","",D117)</f>
        <v>0</v>
      </c>
      <c r="C127" s="5">
        <v>0.15</v>
      </c>
      <c r="D127" s="14">
        <f>IF(B127="","",B127*C127)</f>
        <v>0</v>
      </c>
      <c r="E127" s="2"/>
      <c r="F127" s="2"/>
      <c r="H127" s="20"/>
      <c r="I127" s="20"/>
      <c r="J127" s="20"/>
      <c r="K127" s="20"/>
      <c r="L127" s="20"/>
      <c r="M127" s="20"/>
      <c r="N127" s="20"/>
    </row>
    <row r="128" spans="1:14" x14ac:dyDescent="0.35">
      <c r="A128" s="9" t="s">
        <v>131</v>
      </c>
      <c r="B128" s="9"/>
      <c r="C128" s="12">
        <f>SUM(C123:C127)</f>
        <v>1</v>
      </c>
      <c r="D128" s="10">
        <f>IF(COUNTA(B123:B127)=0,"",SUM(D123:D127))</f>
        <v>0</v>
      </c>
      <c r="E128" s="9"/>
      <c r="F128" s="9"/>
      <c r="H128" s="20"/>
      <c r="I128" s="20"/>
      <c r="J128" s="20"/>
      <c r="K128" s="20"/>
      <c r="L128" s="20"/>
      <c r="M128" s="20"/>
      <c r="N128" s="20"/>
    </row>
    <row r="129" spans="1:14" x14ac:dyDescent="0.35">
      <c r="H129" s="20"/>
      <c r="I129" s="20"/>
      <c r="J129" s="20"/>
      <c r="K129" s="20"/>
      <c r="L129" s="20"/>
      <c r="M129" s="20"/>
      <c r="N129" s="20"/>
    </row>
    <row r="130" spans="1:14" x14ac:dyDescent="0.35">
      <c r="A130" s="4" t="s">
        <v>132</v>
      </c>
      <c r="B130" s="4" t="str" cm="1">
        <f t="array" ref="B130">IF(D128="","",_xlfn.IFS(D128&gt;=76,"Excellent",D128&gt;=51,"Good",D128&gt;=26,"Fair",TRUE,"Poor"))</f>
        <v>Poor</v>
      </c>
      <c r="C130" s="4"/>
      <c r="D130" s="4"/>
      <c r="E130" s="4"/>
      <c r="F130" s="4"/>
    </row>
    <row r="131" spans="1:14" ht="39" x14ac:dyDescent="0.35">
      <c r="A131" s="4" t="s">
        <v>133</v>
      </c>
      <c r="B131" s="4" t="str" cm="1">
        <f t="array" ref="B131">IF(D128="","",_xlfn.IFS(D128&gt;=76,"Proceed with migration planning",D128&gt;=51,"Address gaps, then migrate",D128&gt;=26,"Remediate before migration",TRUE,"Re-evaluate migration strategy"))</f>
        <v>Re-evaluate migration strategy</v>
      </c>
      <c r="C131" s="4"/>
      <c r="D131" s="4"/>
      <c r="E131" s="4"/>
      <c r="F131" s="4"/>
    </row>
    <row r="133" spans="1:14" ht="16.5" x14ac:dyDescent="0.35">
      <c r="A133" s="29" t="s">
        <v>134</v>
      </c>
      <c r="B133" s="29"/>
      <c r="C133" s="29"/>
      <c r="D133" s="29"/>
      <c r="E133" s="29"/>
      <c r="F133" s="29"/>
    </row>
    <row r="134" spans="1:14" ht="28" x14ac:dyDescent="0.35">
      <c r="A134" s="1" t="s">
        <v>135</v>
      </c>
      <c r="B134" s="1" t="s">
        <v>124</v>
      </c>
      <c r="C134" s="1" t="s">
        <v>136</v>
      </c>
      <c r="D134" s="1" t="s">
        <v>137</v>
      </c>
      <c r="E134" s="1" t="s">
        <v>138</v>
      </c>
      <c r="F134" s="1" t="s">
        <v>139</v>
      </c>
    </row>
    <row r="135" spans="1:14" x14ac:dyDescent="0.35">
      <c r="A135" s="2">
        <v>1</v>
      </c>
      <c r="B135" s="7"/>
      <c r="C135" s="7"/>
      <c r="D135" s="7"/>
      <c r="E135" s="7"/>
      <c r="F135" s="7"/>
    </row>
    <row r="136" spans="1:14" x14ac:dyDescent="0.35">
      <c r="A136" s="2">
        <v>2</v>
      </c>
      <c r="B136" s="7"/>
      <c r="C136" s="7"/>
      <c r="D136" s="7"/>
      <c r="E136" s="7"/>
      <c r="F136" s="7"/>
    </row>
    <row r="137" spans="1:14" x14ac:dyDescent="0.35">
      <c r="A137" s="2">
        <v>3</v>
      </c>
      <c r="B137" s="7"/>
      <c r="C137" s="7"/>
      <c r="D137" s="7"/>
      <c r="E137" s="7"/>
      <c r="F137" s="7"/>
    </row>
    <row r="138" spans="1:14" x14ac:dyDescent="0.35">
      <c r="A138" s="2">
        <v>4</v>
      </c>
      <c r="B138" s="7"/>
      <c r="C138" s="7"/>
      <c r="D138" s="7"/>
      <c r="E138" s="7"/>
      <c r="F138" s="7"/>
    </row>
    <row r="139" spans="1:14" x14ac:dyDescent="0.35">
      <c r="A139" s="2">
        <v>5</v>
      </c>
      <c r="B139" s="7"/>
      <c r="C139" s="7"/>
      <c r="D139" s="7"/>
      <c r="E139" s="7"/>
      <c r="F139" s="7"/>
    </row>
    <row r="140" spans="1:14" x14ac:dyDescent="0.35">
      <c r="A140" s="2">
        <v>6</v>
      </c>
      <c r="B140" s="7"/>
      <c r="C140" s="7"/>
      <c r="D140" s="7"/>
      <c r="E140" s="7"/>
      <c r="F140" s="7"/>
    </row>
    <row r="141" spans="1:14" x14ac:dyDescent="0.35">
      <c r="A141" s="2">
        <v>7</v>
      </c>
      <c r="B141" s="7"/>
      <c r="C141" s="7"/>
      <c r="D141" s="7"/>
      <c r="E141" s="7"/>
      <c r="F141" s="7"/>
    </row>
    <row r="142" spans="1:14" x14ac:dyDescent="0.35">
      <c r="A142" s="2">
        <v>8</v>
      </c>
      <c r="B142" s="7"/>
      <c r="C142" s="7"/>
      <c r="D142" s="7"/>
      <c r="E142" s="7"/>
      <c r="F142" s="7"/>
    </row>
    <row r="143" spans="1:14" x14ac:dyDescent="0.35">
      <c r="A143" s="2">
        <v>9</v>
      </c>
      <c r="B143" s="7"/>
      <c r="C143" s="7"/>
      <c r="D143" s="7"/>
      <c r="E143" s="7"/>
      <c r="F143" s="7"/>
    </row>
    <row r="144" spans="1:14" x14ac:dyDescent="0.35">
      <c r="A144" s="2">
        <v>10</v>
      </c>
      <c r="B144" s="7"/>
      <c r="C144" s="7"/>
      <c r="D144" s="7"/>
      <c r="E144" s="7"/>
      <c r="F144" s="7"/>
    </row>
    <row r="146" spans="1:6" x14ac:dyDescent="0.35">
      <c r="A146" s="30" t="s">
        <v>140</v>
      </c>
      <c r="B146" s="30"/>
      <c r="C146" s="30"/>
      <c r="D146" s="30"/>
      <c r="E146" s="30"/>
      <c r="F146" s="30"/>
    </row>
  </sheetData>
  <mergeCells count="12">
    <mergeCell ref="A146:F146"/>
    <mergeCell ref="H121:N121"/>
    <mergeCell ref="A55:F55"/>
    <mergeCell ref="A77:F77"/>
    <mergeCell ref="A99:F99"/>
    <mergeCell ref="A121:F121"/>
    <mergeCell ref="A133:F133"/>
    <mergeCell ref="A1:F1"/>
    <mergeCell ref="A2:F2"/>
    <mergeCell ref="A4:F4"/>
    <mergeCell ref="A11:F11"/>
    <mergeCell ref="A33:F33"/>
  </mergeCells>
  <conditionalFormatting sqref="D29">
    <cfRule type="expression" dxfId="23" priority="1">
      <formula>AND($D29&gt;=76,$D29&lt;=100)</formula>
    </cfRule>
    <cfRule type="expression" dxfId="22" priority="2">
      <formula>AND($D29&gt;=51,$D29&lt;=75)</formula>
    </cfRule>
    <cfRule type="expression" dxfId="21" priority="3">
      <formula>AND($D29&gt;=26,$D29&lt;=50)</formula>
    </cfRule>
    <cfRule type="expression" dxfId="20" priority="4">
      <formula>$D29&lt;=25</formula>
    </cfRule>
  </conditionalFormatting>
  <conditionalFormatting sqref="D51">
    <cfRule type="expression" dxfId="19" priority="5">
      <formula>AND($D51&gt;=76,$D51&lt;=100)</formula>
    </cfRule>
    <cfRule type="expression" dxfId="18" priority="6">
      <formula>AND($D51&gt;=51,$D51&lt;=75)</formula>
    </cfRule>
    <cfRule type="expression" dxfId="17" priority="7">
      <formula>AND($D51&gt;=26,$D51&lt;=50)</formula>
    </cfRule>
    <cfRule type="expression" dxfId="16" priority="8">
      <formula>$D51&lt;=25</formula>
    </cfRule>
  </conditionalFormatting>
  <conditionalFormatting sqref="D73">
    <cfRule type="expression" dxfId="15" priority="9">
      <formula>AND($D73&gt;=76,$D73&lt;=100)</formula>
    </cfRule>
    <cfRule type="expression" dxfId="14" priority="10">
      <formula>AND($D73&gt;=51,$D73&lt;=75)</formula>
    </cfRule>
    <cfRule type="expression" dxfId="13" priority="11">
      <formula>AND($D73&gt;=26,$D73&lt;=50)</formula>
    </cfRule>
    <cfRule type="expression" dxfId="12" priority="12">
      <formula>$D73&lt;=25</formula>
    </cfRule>
  </conditionalFormatting>
  <conditionalFormatting sqref="D95">
    <cfRule type="expression" dxfId="11" priority="13">
      <formula>AND($D95&gt;=76,$D95&lt;=100)</formula>
    </cfRule>
    <cfRule type="expression" dxfId="10" priority="14">
      <formula>AND($D95&gt;=51,$D95&lt;=75)</formula>
    </cfRule>
    <cfRule type="expression" dxfId="9" priority="15">
      <formula>AND($D95&gt;=26,$D95&lt;=50)</formula>
    </cfRule>
    <cfRule type="expression" dxfId="8" priority="16">
      <formula>$D95&lt;=25</formula>
    </cfRule>
  </conditionalFormatting>
  <conditionalFormatting sqref="D117">
    <cfRule type="expression" dxfId="7" priority="17">
      <formula>AND($D117&gt;=76,$D117&lt;=100)</formula>
    </cfRule>
    <cfRule type="expression" dxfId="6" priority="18">
      <formula>AND($D117&gt;=51,$D117&lt;=75)</formula>
    </cfRule>
    <cfRule type="expression" dxfId="5" priority="19">
      <formula>AND($D117&gt;=26,$D117&lt;=50)</formula>
    </cfRule>
    <cfRule type="expression" dxfId="4" priority="20">
      <formula>$D117&lt;=25</formula>
    </cfRule>
  </conditionalFormatting>
  <conditionalFormatting sqref="D128">
    <cfRule type="expression" dxfId="3" priority="21">
      <formula>AND($D128&gt;=76,$D128&lt;=100)</formula>
    </cfRule>
    <cfRule type="expression" dxfId="2" priority="22">
      <formula>AND($D128&gt;=51,$D128&lt;=75)</formula>
    </cfRule>
    <cfRule type="expression" dxfId="1" priority="23">
      <formula>AND($D128&gt;=26,$D128&lt;=50)</formula>
    </cfRule>
    <cfRule type="expression" dxfId="0" priority="24">
      <formula>$D128&lt;=25</formula>
    </cfRule>
  </conditionalFormatting>
  <conditionalFormatting sqref="J123:J12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5">
    <dataValidation type="list" allowBlank="1" sqref="B130" xr:uid="{00000000-0002-0000-0000-000014000000}">
      <formula1>"Excellent (76-100),Good (51-75),Fair (26-50),Poor (0-25)"</formula1>
      <formula2>0</formula2>
    </dataValidation>
    <dataValidation type="list" allowBlank="1" sqref="B131" xr:uid="{00000000-0002-0000-0000-000015000000}">
      <formula1>"Migrate Now,Remediate Then Migrate,Significant Remediation,Re-evaluate"</formula1>
      <formula2>0</formula2>
    </dataValidation>
    <dataValidation type="list" allowBlank="1" sqref="B135:B144" xr:uid="{00000000-0002-0000-0000-000016000000}">
      <formula1>"Technical,Operational,Security,Compliance,Business"</formula1>
      <formula2>0</formula2>
    </dataValidation>
    <dataValidation type="list" allowBlank="1" sqref="E135:E144" xr:uid="{00000000-0002-0000-0000-000017000000}">
      <formula1>"Low,Medium,High"</formula1>
      <formula2>0</formula2>
    </dataValidation>
    <dataValidation type="whole" allowBlank="1" showInputMessage="1" showErrorMessage="1" promptTitle="Score 0–100" prompt="Enter an integer score from 0 to 100 for this sub-criterion." sqref="C14:C16 C114:C116 C110:C112 C106:C108 C102:C104 C92:C94 C88:C90 C84:C86 C80:C82 C70:C72 C66:C68 C62:C64 C58:C60 C48:C50 C44:C46 C40:C42 C36:C38 C26:C28 C22:C24 C18:C20" xr:uid="{FE4888F4-4E0C-4C84-B356-49272DD76728}">
      <formula1>0</formula1>
      <formula2>100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C4EA-19B0-4176-92F2-E8B7465BB731}">
  <dimension ref="A1:B6"/>
  <sheetViews>
    <sheetView workbookViewId="0">
      <selection sqref="A1:XFD1048576"/>
    </sheetView>
  </sheetViews>
  <sheetFormatPr defaultRowHeight="14.5" x14ac:dyDescent="0.35"/>
  <cols>
    <col min="1" max="1" width="19.6328125" bestFit="1" customWidth="1"/>
    <col min="2" max="2" width="11.81640625" bestFit="1" customWidth="1"/>
  </cols>
  <sheetData>
    <row r="1" spans="1:2" x14ac:dyDescent="0.35">
      <c r="A1" t="s">
        <v>135</v>
      </c>
      <c r="B1" t="s">
        <v>141</v>
      </c>
    </row>
    <row r="2" spans="1:2" x14ac:dyDescent="0.35">
      <c r="A2" t="s">
        <v>142</v>
      </c>
      <c r="B2">
        <v>1</v>
      </c>
    </row>
    <row r="3" spans="1:2" x14ac:dyDescent="0.35">
      <c r="A3" t="s">
        <v>143</v>
      </c>
      <c r="B3">
        <v>2</v>
      </c>
    </row>
    <row r="4" spans="1:2" x14ac:dyDescent="0.35">
      <c r="A4" t="s">
        <v>144</v>
      </c>
      <c r="B4">
        <v>3</v>
      </c>
    </row>
    <row r="5" spans="1:2" x14ac:dyDescent="0.35">
      <c r="A5" t="s">
        <v>145</v>
      </c>
      <c r="B5">
        <v>4</v>
      </c>
    </row>
    <row r="6" spans="1:2" x14ac:dyDescent="0.35">
      <c r="A6" t="s">
        <v>146</v>
      </c>
      <c r="B6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9D34-048D-433D-805D-A03CF6A80A66}">
  <dimension ref="A1:U30"/>
  <sheetViews>
    <sheetView tabSelected="1" workbookViewId="0">
      <pane xSplit="4" ySplit="2" topLeftCell="L9" activePane="bottomRight" state="frozen"/>
      <selection pane="topRight" activeCell="E1" sqref="E1"/>
      <selection pane="bottomLeft" activeCell="A3" sqref="A3"/>
      <selection pane="bottomRight" activeCell="E13" sqref="E13"/>
    </sheetView>
  </sheetViews>
  <sheetFormatPr defaultRowHeight="14.5" x14ac:dyDescent="0.35"/>
  <cols>
    <col min="1" max="1" width="15.08984375" bestFit="1" customWidth="1"/>
    <col min="2" max="2" width="7.7265625" bestFit="1" customWidth="1"/>
    <col min="3" max="3" width="27.81640625" bestFit="1" customWidth="1"/>
    <col min="4" max="4" width="45.6328125" bestFit="1" customWidth="1"/>
    <col min="5" max="5" width="19.6328125" bestFit="1" customWidth="1"/>
    <col min="6" max="6" width="16.7265625" bestFit="1" customWidth="1"/>
    <col min="7" max="7" width="6.90625" bestFit="1" customWidth="1"/>
    <col min="8" max="8" width="12.36328125" bestFit="1" customWidth="1"/>
    <col min="9" max="9" width="22.7265625" bestFit="1" customWidth="1"/>
    <col min="10" max="10" width="13.1796875" bestFit="1" customWidth="1"/>
    <col min="11" max="11" width="23.54296875" bestFit="1" customWidth="1"/>
    <col min="12" max="12" width="11.81640625" bestFit="1" customWidth="1"/>
    <col min="13" max="13" width="22.08984375" bestFit="1" customWidth="1"/>
    <col min="14" max="14" width="18.08984375" bestFit="1" customWidth="1"/>
    <col min="15" max="15" width="19.08984375" bestFit="1" customWidth="1"/>
    <col min="16" max="16" width="17.54296875" bestFit="1" customWidth="1"/>
    <col min="18" max="18" width="15.08984375" bestFit="1" customWidth="1"/>
    <col min="19" max="19" width="9.81640625" bestFit="1" customWidth="1"/>
    <col min="20" max="20" width="19.6328125" bestFit="1" customWidth="1"/>
    <col min="21" max="21" width="22.36328125" bestFit="1" customWidth="1"/>
  </cols>
  <sheetData>
    <row r="1" spans="1:21" ht="28" customHeight="1" x14ac:dyDescent="0.35">
      <c r="A1" s="34" t="s">
        <v>225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R1" s="33" t="s">
        <v>231</v>
      </c>
      <c r="S1" s="33"/>
      <c r="T1" s="33"/>
      <c r="U1" s="33"/>
    </row>
    <row r="2" spans="1:21" x14ac:dyDescent="0.35">
      <c r="A2" s="25" t="s">
        <v>226</v>
      </c>
      <c r="R2" s="19" t="s">
        <v>125</v>
      </c>
      <c r="S2" s="19" t="s">
        <v>4</v>
      </c>
      <c r="T2" s="19" t="s">
        <v>232</v>
      </c>
      <c r="U2" s="19" t="s">
        <v>233</v>
      </c>
    </row>
    <row r="3" spans="1:21" x14ac:dyDescent="0.35">
      <c r="A3" s="35" t="s">
        <v>227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R3">
        <v>1</v>
      </c>
      <c r="S3" t="s">
        <v>25</v>
      </c>
      <c r="T3" t="s">
        <v>234</v>
      </c>
      <c r="U3" t="s">
        <v>235</v>
      </c>
    </row>
    <row r="4" spans="1:21" x14ac:dyDescent="0.35">
      <c r="A4" s="35" t="s">
        <v>228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R4">
        <v>2</v>
      </c>
      <c r="S4" t="s">
        <v>20</v>
      </c>
      <c r="T4" t="s">
        <v>236</v>
      </c>
      <c r="U4" t="s">
        <v>237</v>
      </c>
    </row>
    <row r="5" spans="1:21" x14ac:dyDescent="0.35">
      <c r="A5" s="36" t="s">
        <v>229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R5">
        <v>3</v>
      </c>
      <c r="S5" t="s">
        <v>15</v>
      </c>
      <c r="T5" t="s">
        <v>238</v>
      </c>
      <c r="U5" t="s">
        <v>239</v>
      </c>
    </row>
    <row r="6" spans="1:21" x14ac:dyDescent="0.35">
      <c r="R6">
        <v>4</v>
      </c>
      <c r="S6" t="s">
        <v>240</v>
      </c>
      <c r="T6" t="s">
        <v>241</v>
      </c>
      <c r="U6" t="s">
        <v>242</v>
      </c>
    </row>
    <row r="7" spans="1:21" x14ac:dyDescent="0.35">
      <c r="A7" s="37" t="s">
        <v>230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R7">
        <v>5</v>
      </c>
      <c r="S7" t="s">
        <v>10</v>
      </c>
      <c r="T7" t="s">
        <v>243</v>
      </c>
      <c r="U7" t="s">
        <v>244</v>
      </c>
    </row>
    <row r="8" spans="1:21" x14ac:dyDescent="0.3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21" x14ac:dyDescent="0.35">
      <c r="A9" t="s">
        <v>147</v>
      </c>
      <c r="B9" t="s">
        <v>148</v>
      </c>
      <c r="C9" t="s">
        <v>149</v>
      </c>
      <c r="D9" t="s">
        <v>150</v>
      </c>
      <c r="E9" t="s">
        <v>218</v>
      </c>
      <c r="F9" t="s">
        <v>219</v>
      </c>
      <c r="G9" t="s">
        <v>151</v>
      </c>
      <c r="H9" t="s">
        <v>152</v>
      </c>
      <c r="I9" t="s">
        <v>220</v>
      </c>
      <c r="J9" t="s">
        <v>153</v>
      </c>
      <c r="K9" t="s">
        <v>221</v>
      </c>
      <c r="L9" t="s">
        <v>154</v>
      </c>
      <c r="M9" t="s">
        <v>222</v>
      </c>
      <c r="N9" t="s">
        <v>155</v>
      </c>
      <c r="O9" t="s">
        <v>156</v>
      </c>
      <c r="P9" t="s">
        <v>157</v>
      </c>
      <c r="R9" s="33" t="s">
        <v>246</v>
      </c>
      <c r="S9" s="33"/>
      <c r="T9" s="33"/>
      <c r="U9" s="33"/>
    </row>
    <row r="10" spans="1:21" x14ac:dyDescent="0.35">
      <c r="A10" t="s">
        <v>126</v>
      </c>
      <c r="B10" t="s">
        <v>158</v>
      </c>
      <c r="C10" t="s">
        <v>36</v>
      </c>
      <c r="D10" t="s">
        <v>159</v>
      </c>
      <c r="E10" t="s">
        <v>145</v>
      </c>
      <c r="F10" s="18">
        <f>IFERROR(VLOOKUP(SelCriteria[[#This Row],[customer Weighting]],LookupTable[[#All],[Priority]:[Multiplier]],2,FALSE),0)</f>
        <v>4</v>
      </c>
      <c r="G10" s="18">
        <f>SelCriteria[[#This Row],[customer Multiplier]]*5</f>
        <v>20</v>
      </c>
      <c r="H10" s="18">
        <v>4</v>
      </c>
      <c r="I10" s="17">
        <f>SelCriteria[[#This Row],[AWS Score]]*SelCriteria[[#This Row],[customer Multiplier]]</f>
        <v>16</v>
      </c>
      <c r="J10" s="18">
        <v>4</v>
      </c>
      <c r="K10" s="17">
        <f>SelCriteria[[#This Row],[Azure Score]]*SelCriteria[[#This Row],[customer Multiplier]]</f>
        <v>16</v>
      </c>
      <c r="L10" s="18">
        <v>4</v>
      </c>
      <c r="M10" s="17">
        <f>SelCriteria[[#This Row],[GCP Score]]*SelCriteria[[#This Row],[customer Multiplier]]</f>
        <v>16</v>
      </c>
      <c r="N10" t="s">
        <v>160</v>
      </c>
      <c r="O10" t="s">
        <v>160</v>
      </c>
      <c r="P10" t="s">
        <v>160</v>
      </c>
      <c r="R10" s="19" t="s">
        <v>247</v>
      </c>
      <c r="S10" s="19" t="s">
        <v>184</v>
      </c>
      <c r="T10" s="19" t="s">
        <v>185</v>
      </c>
      <c r="U10" s="19" t="s">
        <v>186</v>
      </c>
    </row>
    <row r="11" spans="1:21" x14ac:dyDescent="0.35">
      <c r="A11" t="s">
        <v>126</v>
      </c>
      <c r="B11" t="s">
        <v>161</v>
      </c>
      <c r="C11" t="s">
        <v>40</v>
      </c>
      <c r="D11" t="s">
        <v>162</v>
      </c>
      <c r="E11" t="s">
        <v>145</v>
      </c>
      <c r="F11" s="18">
        <f>IFERROR(VLOOKUP(SelCriteria[[#This Row],[customer Weighting]],LookupTable[[#All],[Priority]:[Multiplier]],2,FALSE),0)</f>
        <v>4</v>
      </c>
      <c r="G11" s="18">
        <f>SelCriteria[[#This Row],[customer Multiplier]]*5</f>
        <v>20</v>
      </c>
      <c r="H11" s="18">
        <v>4</v>
      </c>
      <c r="I11" s="17">
        <f>SelCriteria[[#This Row],[AWS Score]]*SelCriteria[[#This Row],[customer Multiplier]]</f>
        <v>16</v>
      </c>
      <c r="J11" s="18">
        <v>4</v>
      </c>
      <c r="K11" s="17">
        <f>SelCriteria[[#This Row],[Azure Score]]*SelCriteria[[#This Row],[customer Multiplier]]</f>
        <v>16</v>
      </c>
      <c r="L11" s="18">
        <v>4</v>
      </c>
      <c r="M11" s="17">
        <f>SelCriteria[[#This Row],[GCP Score]]*SelCriteria[[#This Row],[customer Multiplier]]</f>
        <v>16</v>
      </c>
      <c r="N11" t="s">
        <v>160</v>
      </c>
      <c r="O11" t="s">
        <v>160</v>
      </c>
      <c r="P11" t="s">
        <v>160</v>
      </c>
      <c r="R11" t="s">
        <v>248</v>
      </c>
      <c r="S11">
        <f>SUBTOTAL(109,SelCriteria[AWS Weighted (customer)])</f>
        <v>320</v>
      </c>
      <c r="T11">
        <f>SUBTOTAL(109,SelCriteria[Azure Weighted (customer)])</f>
        <v>320</v>
      </c>
      <c r="U11">
        <f>SUBTOTAL(109,SelCriteria[GCP Weighted (customer)])</f>
        <v>320</v>
      </c>
    </row>
    <row r="12" spans="1:21" x14ac:dyDescent="0.35">
      <c r="A12" t="s">
        <v>126</v>
      </c>
      <c r="B12" t="s">
        <v>163</v>
      </c>
      <c r="C12" t="s">
        <v>44</v>
      </c>
      <c r="D12" t="s">
        <v>164</v>
      </c>
      <c r="E12" t="s">
        <v>145</v>
      </c>
      <c r="F12" s="18">
        <f>IFERROR(VLOOKUP(SelCriteria[[#This Row],[customer Weighting]],LookupTable[[#All],[Priority]:[Multiplier]],2,FALSE),0)</f>
        <v>4</v>
      </c>
      <c r="G12" s="18">
        <f>SelCriteria[[#This Row],[customer Multiplier]]*5</f>
        <v>20</v>
      </c>
      <c r="H12" s="18">
        <v>4</v>
      </c>
      <c r="I12" s="17">
        <f>SelCriteria[[#This Row],[AWS Score]]*SelCriteria[[#This Row],[customer Multiplier]]</f>
        <v>16</v>
      </c>
      <c r="J12" s="18">
        <v>4</v>
      </c>
      <c r="K12" s="17">
        <f>SelCriteria[[#This Row],[Azure Score]]*SelCriteria[[#This Row],[customer Multiplier]]</f>
        <v>16</v>
      </c>
      <c r="L12" s="18">
        <v>4</v>
      </c>
      <c r="M12" s="17">
        <f>SelCriteria[[#This Row],[GCP Score]]*SelCriteria[[#This Row],[customer Multiplier]]</f>
        <v>16</v>
      </c>
      <c r="N12" t="s">
        <v>160</v>
      </c>
      <c r="O12" t="s">
        <v>160</v>
      </c>
      <c r="P12" t="s">
        <v>160</v>
      </c>
      <c r="R12" t="s">
        <v>249</v>
      </c>
      <c r="S12">
        <f>SUBTOTAL(109,SelCriteria[Max])</f>
        <v>400</v>
      </c>
      <c r="T12">
        <f>SUBTOTAL(109,SelCriteria[Max])</f>
        <v>400</v>
      </c>
      <c r="U12">
        <f>SUBTOTAL(109,SelCriteria[Max])</f>
        <v>400</v>
      </c>
    </row>
    <row r="13" spans="1:21" x14ac:dyDescent="0.35">
      <c r="A13" t="s">
        <v>126</v>
      </c>
      <c r="B13" t="s">
        <v>165</v>
      </c>
      <c r="C13" t="s">
        <v>48</v>
      </c>
      <c r="D13" t="s">
        <v>166</v>
      </c>
      <c r="E13" t="s">
        <v>145</v>
      </c>
      <c r="F13" s="18">
        <f>IFERROR(VLOOKUP(SelCriteria[[#This Row],[customer Weighting]],LookupTable[[#All],[Priority]:[Multiplier]],2,FALSE),0)</f>
        <v>4</v>
      </c>
      <c r="G13" s="18">
        <f>SelCriteria[[#This Row],[customer Multiplier]]*5</f>
        <v>20</v>
      </c>
      <c r="H13" s="18">
        <v>4</v>
      </c>
      <c r="I13" s="17">
        <f>SelCriteria[[#This Row],[AWS Score]]*SelCriteria[[#This Row],[customer Multiplier]]</f>
        <v>16</v>
      </c>
      <c r="J13" s="18">
        <v>4</v>
      </c>
      <c r="K13" s="17">
        <f>SelCriteria[[#This Row],[Azure Score]]*SelCriteria[[#This Row],[customer Multiplier]]</f>
        <v>16</v>
      </c>
      <c r="L13" s="18">
        <v>4</v>
      </c>
      <c r="M13" s="17">
        <f>SelCriteria[[#This Row],[GCP Score]]*SelCriteria[[#This Row],[customer Multiplier]]</f>
        <v>16</v>
      </c>
      <c r="N13" t="s">
        <v>160</v>
      </c>
      <c r="O13" t="s">
        <v>160</v>
      </c>
      <c r="P13" t="s">
        <v>160</v>
      </c>
      <c r="R13" t="s">
        <v>250</v>
      </c>
      <c r="S13" s="16">
        <f>IFERROR(S11/S12,0)</f>
        <v>0.8</v>
      </c>
      <c r="T13" s="16">
        <f>IFERROR(T11/T12,0)</f>
        <v>0.8</v>
      </c>
      <c r="U13" s="16">
        <f>IFERROR(U11/U12,0)</f>
        <v>0.8</v>
      </c>
    </row>
    <row r="14" spans="1:21" x14ac:dyDescent="0.35">
      <c r="A14" t="s">
        <v>127</v>
      </c>
      <c r="B14" t="s">
        <v>195</v>
      </c>
      <c r="C14" t="s">
        <v>56</v>
      </c>
      <c r="D14" t="s">
        <v>167</v>
      </c>
      <c r="E14" t="s">
        <v>145</v>
      </c>
      <c r="F14" s="18">
        <f>IFERROR(VLOOKUP(SelCriteria[[#This Row],[customer Weighting]],LookupTable[[#All],[Priority]:[Multiplier]],2,FALSE),0)</f>
        <v>4</v>
      </c>
      <c r="G14" s="18">
        <f>SelCriteria[[#This Row],[customer Multiplier]]*5</f>
        <v>20</v>
      </c>
      <c r="H14" s="18">
        <v>4</v>
      </c>
      <c r="I14" s="17">
        <f>SelCriteria[[#This Row],[AWS Score]]*SelCriteria[[#This Row],[customer Multiplier]]</f>
        <v>16</v>
      </c>
      <c r="J14" s="18">
        <v>4</v>
      </c>
      <c r="K14" s="17">
        <f>SelCriteria[[#This Row],[Azure Score]]*SelCriteria[[#This Row],[customer Multiplier]]</f>
        <v>16</v>
      </c>
      <c r="L14" s="18">
        <v>4</v>
      </c>
      <c r="M14" s="17">
        <f>SelCriteria[[#This Row],[GCP Score]]*SelCriteria[[#This Row],[customer Multiplier]]</f>
        <v>16</v>
      </c>
      <c r="N14" t="s">
        <v>160</v>
      </c>
      <c r="O14" t="s">
        <v>160</v>
      </c>
      <c r="P14" t="s">
        <v>160</v>
      </c>
      <c r="R14" t="s">
        <v>251</v>
      </c>
      <c r="S14">
        <f>_xlfn.RANK.EQ(S11,$S$11:$U$11,0)</f>
        <v>1</v>
      </c>
      <c r="T14">
        <f>_xlfn.RANK.EQ(T11,$S$11:$U$11,0)</f>
        <v>1</v>
      </c>
      <c r="U14">
        <f>_xlfn.RANK.EQ(U11,$S$11:$U$11,0)</f>
        <v>1</v>
      </c>
    </row>
    <row r="15" spans="1:21" x14ac:dyDescent="0.35">
      <c r="A15" t="s">
        <v>127</v>
      </c>
      <c r="B15" t="s">
        <v>196</v>
      </c>
      <c r="C15" t="s">
        <v>60</v>
      </c>
      <c r="D15" t="s">
        <v>168</v>
      </c>
      <c r="E15" t="s">
        <v>145</v>
      </c>
      <c r="F15" s="18">
        <f>IFERROR(VLOOKUP(SelCriteria[[#This Row],[customer Weighting]],LookupTable[[#All],[Priority]:[Multiplier]],2,FALSE),0)</f>
        <v>4</v>
      </c>
      <c r="G15" s="18">
        <f>SelCriteria[[#This Row],[customer Multiplier]]*5</f>
        <v>20</v>
      </c>
      <c r="H15" s="18">
        <v>4</v>
      </c>
      <c r="I15" s="17">
        <f>SelCriteria[[#This Row],[AWS Score]]*SelCriteria[[#This Row],[customer Multiplier]]</f>
        <v>16</v>
      </c>
      <c r="J15" s="18">
        <v>4</v>
      </c>
      <c r="K15" s="17">
        <f>SelCriteria[[#This Row],[Azure Score]]*SelCriteria[[#This Row],[customer Multiplier]]</f>
        <v>16</v>
      </c>
      <c r="L15" s="18">
        <v>4</v>
      </c>
      <c r="M15" s="17">
        <f>SelCriteria[[#This Row],[GCP Score]]*SelCriteria[[#This Row],[customer Multiplier]]</f>
        <v>16</v>
      </c>
      <c r="N15" t="s">
        <v>160</v>
      </c>
      <c r="O15" t="s">
        <v>160</v>
      </c>
      <c r="P15" t="s">
        <v>160</v>
      </c>
    </row>
    <row r="16" spans="1:21" x14ac:dyDescent="0.35">
      <c r="A16" t="s">
        <v>127</v>
      </c>
      <c r="B16" t="s">
        <v>197</v>
      </c>
      <c r="C16" t="s">
        <v>64</v>
      </c>
      <c r="D16" t="s">
        <v>169</v>
      </c>
      <c r="E16" t="s">
        <v>145</v>
      </c>
      <c r="F16" s="18">
        <f>IFERROR(VLOOKUP(SelCriteria[[#This Row],[customer Weighting]],LookupTable[[#All],[Priority]:[Multiplier]],2,FALSE),0)</f>
        <v>4</v>
      </c>
      <c r="G16" s="18">
        <f>SelCriteria[[#This Row],[customer Multiplier]]*5</f>
        <v>20</v>
      </c>
      <c r="H16" s="18">
        <v>4</v>
      </c>
      <c r="I16" s="17">
        <f>SelCriteria[[#This Row],[AWS Score]]*SelCriteria[[#This Row],[customer Multiplier]]</f>
        <v>16</v>
      </c>
      <c r="J16" s="18">
        <v>4</v>
      </c>
      <c r="K16" s="17">
        <f>SelCriteria[[#This Row],[Azure Score]]*SelCriteria[[#This Row],[customer Multiplier]]</f>
        <v>16</v>
      </c>
      <c r="L16" s="18">
        <v>4</v>
      </c>
      <c r="M16" s="17">
        <f>SelCriteria[[#This Row],[GCP Score]]*SelCriteria[[#This Row],[customer Multiplier]]</f>
        <v>16</v>
      </c>
      <c r="N16" t="s">
        <v>160</v>
      </c>
      <c r="O16" t="s">
        <v>160</v>
      </c>
      <c r="P16" t="s">
        <v>160</v>
      </c>
    </row>
    <row r="17" spans="1:16" x14ac:dyDescent="0.35">
      <c r="A17" t="s">
        <v>127</v>
      </c>
      <c r="B17" t="s">
        <v>198</v>
      </c>
      <c r="C17" t="s">
        <v>68</v>
      </c>
      <c r="D17" t="s">
        <v>170</v>
      </c>
      <c r="E17" t="s">
        <v>145</v>
      </c>
      <c r="F17" s="18">
        <f>IFERROR(VLOOKUP(SelCriteria[[#This Row],[customer Weighting]],LookupTable[[#All],[Priority]:[Multiplier]],2,FALSE),0)</f>
        <v>4</v>
      </c>
      <c r="G17" s="18">
        <f>SelCriteria[[#This Row],[customer Multiplier]]*5</f>
        <v>20</v>
      </c>
      <c r="H17" s="18">
        <v>4</v>
      </c>
      <c r="I17" s="17">
        <f>SelCriteria[[#This Row],[AWS Score]]*SelCriteria[[#This Row],[customer Multiplier]]</f>
        <v>16</v>
      </c>
      <c r="J17" s="18">
        <v>4</v>
      </c>
      <c r="K17" s="17">
        <f>SelCriteria[[#This Row],[Azure Score]]*SelCriteria[[#This Row],[customer Multiplier]]</f>
        <v>16</v>
      </c>
      <c r="L17" s="18">
        <v>4</v>
      </c>
      <c r="M17" s="17">
        <f>SelCriteria[[#This Row],[GCP Score]]*SelCriteria[[#This Row],[customer Multiplier]]</f>
        <v>16</v>
      </c>
      <c r="N17" t="s">
        <v>160</v>
      </c>
      <c r="O17" t="s">
        <v>160</v>
      </c>
      <c r="P17" t="s">
        <v>160</v>
      </c>
    </row>
    <row r="18" spans="1:16" x14ac:dyDescent="0.35">
      <c r="A18" t="s">
        <v>128</v>
      </c>
      <c r="B18" t="s">
        <v>199</v>
      </c>
      <c r="C18" t="s">
        <v>73</v>
      </c>
      <c r="D18" t="s">
        <v>171</v>
      </c>
      <c r="E18" t="s">
        <v>145</v>
      </c>
      <c r="F18" s="18">
        <f>IFERROR(VLOOKUP(SelCriteria[[#This Row],[customer Weighting]],LookupTable[[#All],[Priority]:[Multiplier]],2,FALSE),0)</f>
        <v>4</v>
      </c>
      <c r="G18" s="18">
        <f>SelCriteria[[#This Row],[customer Multiplier]]*5</f>
        <v>20</v>
      </c>
      <c r="H18" s="18">
        <v>4</v>
      </c>
      <c r="I18" s="17">
        <f>SelCriteria[[#This Row],[AWS Score]]*SelCriteria[[#This Row],[customer Multiplier]]</f>
        <v>16</v>
      </c>
      <c r="J18" s="18">
        <v>4</v>
      </c>
      <c r="K18" s="17">
        <f>SelCriteria[[#This Row],[Azure Score]]*SelCriteria[[#This Row],[customer Multiplier]]</f>
        <v>16</v>
      </c>
      <c r="L18" s="18">
        <v>4</v>
      </c>
      <c r="M18" s="17">
        <f>SelCriteria[[#This Row],[GCP Score]]*SelCriteria[[#This Row],[customer Multiplier]]</f>
        <v>16</v>
      </c>
      <c r="N18" t="s">
        <v>160</v>
      </c>
      <c r="O18" t="s">
        <v>160</v>
      </c>
      <c r="P18" t="s">
        <v>160</v>
      </c>
    </row>
    <row r="19" spans="1:16" x14ac:dyDescent="0.35">
      <c r="A19" t="s">
        <v>128</v>
      </c>
      <c r="B19" t="s">
        <v>200</v>
      </c>
      <c r="C19" t="s">
        <v>77</v>
      </c>
      <c r="D19" t="s">
        <v>172</v>
      </c>
      <c r="E19" t="s">
        <v>145</v>
      </c>
      <c r="F19" s="18">
        <f>IFERROR(VLOOKUP(SelCriteria[[#This Row],[customer Weighting]],LookupTable[[#All],[Priority]:[Multiplier]],2,FALSE),0)</f>
        <v>4</v>
      </c>
      <c r="G19" s="18">
        <f>SelCriteria[[#This Row],[customer Multiplier]]*5</f>
        <v>20</v>
      </c>
      <c r="H19" s="18">
        <v>4</v>
      </c>
      <c r="I19" s="17">
        <f>SelCriteria[[#This Row],[AWS Score]]*SelCriteria[[#This Row],[customer Multiplier]]</f>
        <v>16</v>
      </c>
      <c r="J19" s="18">
        <v>4</v>
      </c>
      <c r="K19" s="17">
        <f>SelCriteria[[#This Row],[Azure Score]]*SelCriteria[[#This Row],[customer Multiplier]]</f>
        <v>16</v>
      </c>
      <c r="L19" s="18">
        <v>4</v>
      </c>
      <c r="M19" s="17">
        <f>SelCriteria[[#This Row],[GCP Score]]*SelCriteria[[#This Row],[customer Multiplier]]</f>
        <v>16</v>
      </c>
      <c r="N19" t="s">
        <v>160</v>
      </c>
      <c r="O19" t="s">
        <v>160</v>
      </c>
      <c r="P19" t="s">
        <v>160</v>
      </c>
    </row>
    <row r="20" spans="1:16" x14ac:dyDescent="0.35">
      <c r="A20" t="s">
        <v>128</v>
      </c>
      <c r="B20" t="s">
        <v>201</v>
      </c>
      <c r="C20" t="s">
        <v>81</v>
      </c>
      <c r="D20" t="s">
        <v>173</v>
      </c>
      <c r="E20" t="s">
        <v>145</v>
      </c>
      <c r="F20" s="18">
        <f>IFERROR(VLOOKUP(SelCriteria[[#This Row],[customer Weighting]],LookupTable[[#All],[Priority]:[Multiplier]],2,FALSE),0)</f>
        <v>4</v>
      </c>
      <c r="G20" s="18">
        <f>SelCriteria[[#This Row],[customer Multiplier]]*5</f>
        <v>20</v>
      </c>
      <c r="H20" s="18">
        <v>4</v>
      </c>
      <c r="I20" s="17">
        <f>SelCriteria[[#This Row],[AWS Score]]*SelCriteria[[#This Row],[customer Multiplier]]</f>
        <v>16</v>
      </c>
      <c r="J20" s="18">
        <v>4</v>
      </c>
      <c r="K20" s="17">
        <f>SelCriteria[[#This Row],[Azure Score]]*SelCriteria[[#This Row],[customer Multiplier]]</f>
        <v>16</v>
      </c>
      <c r="L20" s="18">
        <v>4</v>
      </c>
      <c r="M20" s="17">
        <f>SelCriteria[[#This Row],[GCP Score]]*SelCriteria[[#This Row],[customer Multiplier]]</f>
        <v>16</v>
      </c>
      <c r="N20" t="s">
        <v>160</v>
      </c>
      <c r="O20" t="s">
        <v>160</v>
      </c>
      <c r="P20" t="s">
        <v>160</v>
      </c>
    </row>
    <row r="21" spans="1:16" x14ac:dyDescent="0.35">
      <c r="A21" t="s">
        <v>128</v>
      </c>
      <c r="B21" t="s">
        <v>202</v>
      </c>
      <c r="C21" t="s">
        <v>85</v>
      </c>
      <c r="D21" t="s">
        <v>174</v>
      </c>
      <c r="E21" t="s">
        <v>145</v>
      </c>
      <c r="F21" s="18">
        <f>IFERROR(VLOOKUP(SelCriteria[[#This Row],[customer Weighting]],LookupTable[[#All],[Priority]:[Multiplier]],2,FALSE),0)</f>
        <v>4</v>
      </c>
      <c r="G21" s="18">
        <f>SelCriteria[[#This Row],[customer Multiplier]]*5</f>
        <v>20</v>
      </c>
      <c r="H21" s="18">
        <v>4</v>
      </c>
      <c r="I21" s="17">
        <f>SelCriteria[[#This Row],[AWS Score]]*SelCriteria[[#This Row],[customer Multiplier]]</f>
        <v>16</v>
      </c>
      <c r="J21" s="18">
        <v>4</v>
      </c>
      <c r="K21" s="17">
        <f>SelCriteria[[#This Row],[Azure Score]]*SelCriteria[[#This Row],[customer Multiplier]]</f>
        <v>16</v>
      </c>
      <c r="L21" s="18">
        <v>4</v>
      </c>
      <c r="M21" s="17">
        <f>SelCriteria[[#This Row],[GCP Score]]*SelCriteria[[#This Row],[customer Multiplier]]</f>
        <v>16</v>
      </c>
      <c r="N21" t="s">
        <v>160</v>
      </c>
      <c r="O21" t="s">
        <v>160</v>
      </c>
      <c r="P21" t="s">
        <v>160</v>
      </c>
    </row>
    <row r="22" spans="1:16" x14ac:dyDescent="0.35">
      <c r="A22" t="s">
        <v>129</v>
      </c>
      <c r="B22" t="s">
        <v>203</v>
      </c>
      <c r="C22" t="s">
        <v>90</v>
      </c>
      <c r="D22" t="s">
        <v>175</v>
      </c>
      <c r="E22" t="s">
        <v>146</v>
      </c>
      <c r="F22" s="18">
        <f>IFERROR(VLOOKUP(SelCriteria[[#This Row],[customer Weighting]],LookupTable[[#All],[Priority]:[Multiplier]],2,FALSE),0)</f>
        <v>5</v>
      </c>
      <c r="G22" s="18">
        <f>SelCriteria[[#This Row],[customer Multiplier]]*5</f>
        <v>25</v>
      </c>
      <c r="H22" s="18">
        <v>4</v>
      </c>
      <c r="I22" s="17">
        <f>SelCriteria[[#This Row],[AWS Score]]*SelCriteria[[#This Row],[customer Multiplier]]</f>
        <v>20</v>
      </c>
      <c r="J22" s="18">
        <v>4</v>
      </c>
      <c r="K22" s="17">
        <f>SelCriteria[[#This Row],[Azure Score]]*SelCriteria[[#This Row],[customer Multiplier]]</f>
        <v>20</v>
      </c>
      <c r="L22" s="18">
        <v>4</v>
      </c>
      <c r="M22" s="17">
        <f>SelCriteria[[#This Row],[GCP Score]]*SelCriteria[[#This Row],[customer Multiplier]]</f>
        <v>20</v>
      </c>
      <c r="N22" t="s">
        <v>160</v>
      </c>
      <c r="O22" t="s">
        <v>160</v>
      </c>
      <c r="P22" t="s">
        <v>160</v>
      </c>
    </row>
    <row r="23" spans="1:16" x14ac:dyDescent="0.35">
      <c r="A23" t="s">
        <v>129</v>
      </c>
      <c r="B23" t="s">
        <v>204</v>
      </c>
      <c r="C23" t="s">
        <v>94</v>
      </c>
      <c r="D23" t="s">
        <v>176</v>
      </c>
      <c r="E23" t="s">
        <v>144</v>
      </c>
      <c r="F23" s="18">
        <f>IFERROR(VLOOKUP(SelCriteria[[#This Row],[customer Weighting]],LookupTable[[#All],[Priority]:[Multiplier]],2,FALSE),0)</f>
        <v>3</v>
      </c>
      <c r="G23" s="18">
        <f>SelCriteria[[#This Row],[customer Multiplier]]*5</f>
        <v>15</v>
      </c>
      <c r="H23" s="18">
        <v>4</v>
      </c>
      <c r="I23" s="17">
        <f>SelCriteria[[#This Row],[AWS Score]]*SelCriteria[[#This Row],[customer Multiplier]]</f>
        <v>12</v>
      </c>
      <c r="J23" s="18">
        <v>4</v>
      </c>
      <c r="K23" s="17">
        <f>SelCriteria[[#This Row],[Azure Score]]*SelCriteria[[#This Row],[customer Multiplier]]</f>
        <v>12</v>
      </c>
      <c r="L23" s="18">
        <v>4</v>
      </c>
      <c r="M23" s="17">
        <f>SelCriteria[[#This Row],[GCP Score]]*SelCriteria[[#This Row],[customer Multiplier]]</f>
        <v>12</v>
      </c>
      <c r="N23" t="s">
        <v>160</v>
      </c>
      <c r="O23" t="s">
        <v>160</v>
      </c>
      <c r="P23" t="s">
        <v>160</v>
      </c>
    </row>
    <row r="24" spans="1:16" x14ac:dyDescent="0.35">
      <c r="A24" t="s">
        <v>129</v>
      </c>
      <c r="B24" t="s">
        <v>205</v>
      </c>
      <c r="C24" t="s">
        <v>98</v>
      </c>
      <c r="D24" t="s">
        <v>177</v>
      </c>
      <c r="E24" t="s">
        <v>146</v>
      </c>
      <c r="F24" s="18">
        <f>IFERROR(VLOOKUP(SelCriteria[[#This Row],[customer Weighting]],LookupTable[[#All],[Priority]:[Multiplier]],2,FALSE),0)</f>
        <v>5</v>
      </c>
      <c r="G24" s="18">
        <f>SelCriteria[[#This Row],[customer Multiplier]]*5</f>
        <v>25</v>
      </c>
      <c r="H24" s="18">
        <v>4</v>
      </c>
      <c r="I24" s="17">
        <f>SelCriteria[[#This Row],[AWS Score]]*SelCriteria[[#This Row],[customer Multiplier]]</f>
        <v>20</v>
      </c>
      <c r="J24" s="18">
        <v>4</v>
      </c>
      <c r="K24" s="17">
        <f>SelCriteria[[#This Row],[Azure Score]]*SelCriteria[[#This Row],[customer Multiplier]]</f>
        <v>20</v>
      </c>
      <c r="L24" s="18">
        <v>4</v>
      </c>
      <c r="M24" s="17">
        <f>SelCriteria[[#This Row],[GCP Score]]*SelCriteria[[#This Row],[customer Multiplier]]</f>
        <v>20</v>
      </c>
      <c r="N24" t="s">
        <v>160</v>
      </c>
      <c r="O24" t="s">
        <v>160</v>
      </c>
      <c r="P24" t="s">
        <v>160</v>
      </c>
    </row>
    <row r="25" spans="1:16" x14ac:dyDescent="0.35">
      <c r="A25" t="s">
        <v>129</v>
      </c>
      <c r="B25" t="s">
        <v>206</v>
      </c>
      <c r="C25" t="s">
        <v>102</v>
      </c>
      <c r="D25" t="s">
        <v>178</v>
      </c>
      <c r="E25" t="s">
        <v>144</v>
      </c>
      <c r="F25" s="18">
        <f>IFERROR(VLOOKUP(SelCriteria[[#This Row],[customer Weighting]],LookupTable[[#All],[Priority]:[Multiplier]],2,FALSE),0)</f>
        <v>3</v>
      </c>
      <c r="G25" s="18">
        <f>SelCriteria[[#This Row],[customer Multiplier]]*5</f>
        <v>15</v>
      </c>
      <c r="H25" s="18">
        <v>4</v>
      </c>
      <c r="I25" s="17">
        <f>SelCriteria[[#This Row],[AWS Score]]*SelCriteria[[#This Row],[customer Multiplier]]</f>
        <v>12</v>
      </c>
      <c r="J25" s="18">
        <v>4</v>
      </c>
      <c r="K25" s="17">
        <f>SelCriteria[[#This Row],[Azure Score]]*SelCriteria[[#This Row],[customer Multiplier]]</f>
        <v>12</v>
      </c>
      <c r="L25" s="18">
        <v>4</v>
      </c>
      <c r="M25" s="17">
        <f>SelCriteria[[#This Row],[GCP Score]]*SelCriteria[[#This Row],[customer Multiplier]]</f>
        <v>12</v>
      </c>
      <c r="N25" t="s">
        <v>160</v>
      </c>
      <c r="O25" t="s">
        <v>160</v>
      </c>
      <c r="P25" t="s">
        <v>160</v>
      </c>
    </row>
    <row r="26" spans="1:16" x14ac:dyDescent="0.35">
      <c r="A26" t="s">
        <v>130</v>
      </c>
      <c r="B26" t="s">
        <v>207</v>
      </c>
      <c r="C26" t="s">
        <v>107</v>
      </c>
      <c r="D26" t="s">
        <v>179</v>
      </c>
      <c r="E26" t="s">
        <v>145</v>
      </c>
      <c r="F26" s="18">
        <f>IFERROR(VLOOKUP(SelCriteria[[#This Row],[customer Weighting]],LookupTable[[#All],[Priority]:[Multiplier]],2,FALSE),0)</f>
        <v>4</v>
      </c>
      <c r="G26" s="18">
        <f>SelCriteria[[#This Row],[customer Multiplier]]*5</f>
        <v>20</v>
      </c>
      <c r="H26" s="18">
        <v>4</v>
      </c>
      <c r="I26" s="17">
        <f>SelCriteria[[#This Row],[AWS Score]]*SelCriteria[[#This Row],[customer Multiplier]]</f>
        <v>16</v>
      </c>
      <c r="J26" s="18">
        <v>4</v>
      </c>
      <c r="K26" s="17">
        <f>SelCriteria[[#This Row],[Azure Score]]*SelCriteria[[#This Row],[customer Multiplier]]</f>
        <v>16</v>
      </c>
      <c r="L26" s="18">
        <v>4</v>
      </c>
      <c r="M26" s="17">
        <f>SelCriteria[[#This Row],[GCP Score]]*SelCriteria[[#This Row],[customer Multiplier]]</f>
        <v>16</v>
      </c>
      <c r="N26" t="s">
        <v>160</v>
      </c>
      <c r="O26" t="s">
        <v>160</v>
      </c>
      <c r="P26" t="s">
        <v>160</v>
      </c>
    </row>
    <row r="27" spans="1:16" x14ac:dyDescent="0.35">
      <c r="A27" t="s">
        <v>130</v>
      </c>
      <c r="B27" t="s">
        <v>208</v>
      </c>
      <c r="C27" t="s">
        <v>111</v>
      </c>
      <c r="D27" t="s">
        <v>180</v>
      </c>
      <c r="E27" t="s">
        <v>145</v>
      </c>
      <c r="F27" s="18">
        <f>IFERROR(VLOOKUP(SelCriteria[[#This Row],[customer Weighting]],LookupTable[[#All],[Priority]:[Multiplier]],2,FALSE),0)</f>
        <v>4</v>
      </c>
      <c r="G27" s="18">
        <f>SelCriteria[[#This Row],[customer Multiplier]]*5</f>
        <v>20</v>
      </c>
      <c r="H27" s="18">
        <v>4</v>
      </c>
      <c r="I27" s="17">
        <f>SelCriteria[[#This Row],[AWS Score]]*SelCriteria[[#This Row],[customer Multiplier]]</f>
        <v>16</v>
      </c>
      <c r="J27" s="18">
        <v>4</v>
      </c>
      <c r="K27" s="17">
        <f>SelCriteria[[#This Row],[Azure Score]]*SelCriteria[[#This Row],[customer Multiplier]]</f>
        <v>16</v>
      </c>
      <c r="L27" s="18">
        <v>4</v>
      </c>
      <c r="M27" s="17">
        <f>SelCriteria[[#This Row],[GCP Score]]*SelCriteria[[#This Row],[customer Multiplier]]</f>
        <v>16</v>
      </c>
      <c r="N27" t="s">
        <v>160</v>
      </c>
      <c r="O27" t="s">
        <v>160</v>
      </c>
      <c r="P27" t="s">
        <v>160</v>
      </c>
    </row>
    <row r="28" spans="1:16" x14ac:dyDescent="0.35">
      <c r="A28" t="s">
        <v>130</v>
      </c>
      <c r="B28" t="s">
        <v>209</v>
      </c>
      <c r="C28" t="s">
        <v>115</v>
      </c>
      <c r="D28" t="s">
        <v>181</v>
      </c>
      <c r="E28" t="s">
        <v>145</v>
      </c>
      <c r="F28" s="18">
        <f>IFERROR(VLOOKUP(SelCriteria[[#This Row],[customer Weighting]],LookupTable[[#All],[Priority]:[Multiplier]],2,FALSE),0)</f>
        <v>4</v>
      </c>
      <c r="G28" s="18">
        <f>SelCriteria[[#This Row],[customer Multiplier]]*5</f>
        <v>20</v>
      </c>
      <c r="H28" s="18">
        <v>4</v>
      </c>
      <c r="I28" s="17">
        <f>SelCriteria[[#This Row],[AWS Score]]*SelCriteria[[#This Row],[customer Multiplier]]</f>
        <v>16</v>
      </c>
      <c r="J28" s="18">
        <v>4</v>
      </c>
      <c r="K28" s="17">
        <f>SelCriteria[[#This Row],[Azure Score]]*SelCriteria[[#This Row],[customer Multiplier]]</f>
        <v>16</v>
      </c>
      <c r="L28" s="18">
        <v>4</v>
      </c>
      <c r="M28" s="17">
        <f>SelCriteria[[#This Row],[GCP Score]]*SelCriteria[[#This Row],[customer Multiplier]]</f>
        <v>16</v>
      </c>
      <c r="N28" t="s">
        <v>160</v>
      </c>
      <c r="O28" t="s">
        <v>160</v>
      </c>
      <c r="P28" t="s">
        <v>160</v>
      </c>
    </row>
    <row r="29" spans="1:16" x14ac:dyDescent="0.35">
      <c r="A29" t="s">
        <v>130</v>
      </c>
      <c r="B29" t="s">
        <v>210</v>
      </c>
      <c r="C29" t="s">
        <v>119</v>
      </c>
      <c r="D29" t="s">
        <v>182</v>
      </c>
      <c r="E29" t="s">
        <v>145</v>
      </c>
      <c r="F29" s="18">
        <f>IFERROR(VLOOKUP(SelCriteria[[#This Row],[customer Weighting]],LookupTable[[#All],[Priority]:[Multiplier]],2,FALSE),0)</f>
        <v>4</v>
      </c>
      <c r="G29" s="18">
        <f>SelCriteria[[#This Row],[customer Multiplier]]*5</f>
        <v>20</v>
      </c>
      <c r="H29" s="18">
        <v>4</v>
      </c>
      <c r="I29" s="17">
        <f>SelCriteria[[#This Row],[AWS Score]]*SelCriteria[[#This Row],[customer Multiplier]]</f>
        <v>16</v>
      </c>
      <c r="J29" s="18">
        <v>4</v>
      </c>
      <c r="K29" s="17">
        <f>SelCriteria[[#This Row],[Azure Score]]*SelCriteria[[#This Row],[customer Multiplier]]</f>
        <v>16</v>
      </c>
      <c r="L29" s="18">
        <v>4</v>
      </c>
      <c r="M29" s="17">
        <f>SelCriteria[[#This Row],[GCP Score]]*SelCriteria[[#This Row],[customer Multiplier]]</f>
        <v>16</v>
      </c>
      <c r="N29" t="s">
        <v>160</v>
      </c>
      <c r="O29" t="s">
        <v>160</v>
      </c>
      <c r="P29" t="s">
        <v>160</v>
      </c>
    </row>
    <row r="30" spans="1:16" x14ac:dyDescent="0.35">
      <c r="A30" t="s">
        <v>245</v>
      </c>
      <c r="G30">
        <f>SUBTOTAL(109,SelCriteria[Max])</f>
        <v>400</v>
      </c>
      <c r="I30">
        <f>SUBTOTAL(109,SelCriteria[AWS Weighted (customer)])</f>
        <v>320</v>
      </c>
      <c r="K30">
        <f>SUBTOTAL(109,SelCriteria[Azure Weighted (customer)])</f>
        <v>320</v>
      </c>
      <c r="M30">
        <f>SUBTOTAL(109,SelCriteria[GCP Weighted (customer)])</f>
        <v>320</v>
      </c>
      <c r="P30">
        <f>SUBTOTAL(103,SelCriteria[GCP Justification])</f>
        <v>20</v>
      </c>
    </row>
  </sheetData>
  <mergeCells count="7">
    <mergeCell ref="R9:U9"/>
    <mergeCell ref="A1:P1"/>
    <mergeCell ref="A3:P3"/>
    <mergeCell ref="A4:P4"/>
    <mergeCell ref="A5:P5"/>
    <mergeCell ref="A7:P7"/>
    <mergeCell ref="R1:U1"/>
  </mergeCells>
  <conditionalFormatting sqref="H10:H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:J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0:L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3:U13">
    <cfRule type="colorScale" priority="4">
      <colorScale>
        <cfvo type="num" val="0"/>
        <cfvo type="num" val="0.7"/>
        <cfvo type="num" val="0.9"/>
        <color rgb="FFF8696B"/>
        <color rgb="FFFFEB84"/>
        <color rgb="FF63BE7B"/>
      </colorScale>
    </cfRule>
  </conditionalFormatting>
  <dataValidations count="2">
    <dataValidation type="list" allowBlank="1" showInputMessage="1" showErrorMessage="1" promptTitle="Select importance" prompt="Choose one of the 5 importance levels (drives multiplier)." sqref="E10:E29" xr:uid="{96104854-A0D2-486B-AB1D-37A541C1E016}">
      <formula1>"""Very Low Importance,Low Importance,Moderate Importance,High Importance,Very High Importance"""</formula1>
    </dataValidation>
    <dataValidation type="whole" allowBlank="1" showInputMessage="1" showErrorMessage="1" promptTitle="Score 1-5" prompt="Enter an integer score from 1 (worst) to 5 (best)." sqref="H10:H29 L10:L29 J10:J29" xr:uid="{DC7F41B4-25EA-430C-86F7-C3FF6FDC587E}">
      <formula1>1</formula1>
      <formula2>5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75BC-35A2-45DE-B45E-109F0B2F5C56}">
  <dimension ref="A1:I12"/>
  <sheetViews>
    <sheetView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43.36328125" bestFit="1" customWidth="1"/>
    <col min="2" max="2" width="15.54296875" bestFit="1" customWidth="1"/>
    <col min="3" max="3" width="14.26953125" bestFit="1" customWidth="1"/>
    <col min="4" max="4" width="7.36328125" bestFit="1" customWidth="1"/>
    <col min="5" max="5" width="8.1796875" bestFit="1" customWidth="1"/>
    <col min="6" max="6" width="6.81640625" bestFit="1" customWidth="1"/>
    <col min="7" max="7" width="9.90625" bestFit="1" customWidth="1"/>
    <col min="8" max="8" width="10.7265625" bestFit="1" customWidth="1"/>
    <col min="9" max="9" width="9.36328125" bestFit="1" customWidth="1"/>
  </cols>
  <sheetData>
    <row r="1" spans="1:9" x14ac:dyDescent="0.35">
      <c r="A1" t="s">
        <v>147</v>
      </c>
      <c r="B1" t="s">
        <v>183</v>
      </c>
      <c r="C1" t="s">
        <v>223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</row>
    <row r="2" spans="1:9" x14ac:dyDescent="0.35">
      <c r="A2" t="s">
        <v>126</v>
      </c>
      <c r="B2">
        <v>4</v>
      </c>
      <c r="C2" t="s">
        <v>224</v>
      </c>
      <c r="D2">
        <v>4</v>
      </c>
      <c r="E2">
        <v>4</v>
      </c>
      <c r="F2">
        <v>4</v>
      </c>
      <c r="G2" s="16">
        <v>0.8</v>
      </c>
      <c r="H2" s="16">
        <v>0.8</v>
      </c>
      <c r="I2" s="16">
        <v>0.8</v>
      </c>
    </row>
    <row r="3" spans="1:9" x14ac:dyDescent="0.35">
      <c r="A3" t="s">
        <v>127</v>
      </c>
      <c r="B3">
        <v>4</v>
      </c>
      <c r="C3" t="s">
        <v>224</v>
      </c>
      <c r="D3">
        <v>4</v>
      </c>
      <c r="E3">
        <v>4</v>
      </c>
      <c r="F3">
        <v>4</v>
      </c>
      <c r="G3" s="16">
        <v>0.8</v>
      </c>
      <c r="H3" s="16">
        <v>0.8</v>
      </c>
      <c r="I3" s="16">
        <v>0.8</v>
      </c>
    </row>
    <row r="4" spans="1:9" x14ac:dyDescent="0.35">
      <c r="A4" t="s">
        <v>128</v>
      </c>
      <c r="B4">
        <v>4</v>
      </c>
      <c r="C4" t="s">
        <v>224</v>
      </c>
      <c r="D4">
        <v>4</v>
      </c>
      <c r="E4">
        <v>4</v>
      </c>
      <c r="F4">
        <v>4</v>
      </c>
      <c r="G4" s="16">
        <v>0.8</v>
      </c>
      <c r="H4" s="16">
        <v>0.8</v>
      </c>
      <c r="I4" s="16">
        <v>0.8</v>
      </c>
    </row>
    <row r="5" spans="1:9" x14ac:dyDescent="0.35">
      <c r="A5" t="s">
        <v>129</v>
      </c>
      <c r="B5">
        <v>4</v>
      </c>
      <c r="C5" t="s">
        <v>224</v>
      </c>
      <c r="D5">
        <v>4</v>
      </c>
      <c r="E5">
        <v>4</v>
      </c>
      <c r="F5">
        <v>4</v>
      </c>
      <c r="G5" s="16">
        <v>0.8</v>
      </c>
      <c r="H5" s="16">
        <v>0.8</v>
      </c>
      <c r="I5" s="16">
        <v>0.8</v>
      </c>
    </row>
    <row r="6" spans="1:9" x14ac:dyDescent="0.35">
      <c r="A6" t="s">
        <v>130</v>
      </c>
      <c r="B6">
        <v>4</v>
      </c>
      <c r="C6" t="s">
        <v>224</v>
      </c>
      <c r="D6">
        <v>4</v>
      </c>
      <c r="E6">
        <v>4</v>
      </c>
      <c r="F6">
        <v>4</v>
      </c>
      <c r="G6" s="16">
        <v>0.8</v>
      </c>
      <c r="H6" s="16">
        <v>0.8</v>
      </c>
      <c r="I6" s="16">
        <v>0.8</v>
      </c>
    </row>
    <row r="7" spans="1:9" x14ac:dyDescent="0.35">
      <c r="G7" s="16"/>
      <c r="H7" s="16"/>
      <c r="I7" s="16"/>
    </row>
    <row r="8" spans="1:9" x14ac:dyDescent="0.35">
      <c r="A8" t="s">
        <v>190</v>
      </c>
      <c r="D8">
        <v>4</v>
      </c>
      <c r="E8">
        <v>4</v>
      </c>
      <c r="F8">
        <v>4</v>
      </c>
      <c r="G8" s="16"/>
      <c r="H8" s="16"/>
      <c r="I8" s="16"/>
    </row>
    <row r="9" spans="1:9" x14ac:dyDescent="0.35">
      <c r="A9" t="s">
        <v>191</v>
      </c>
      <c r="D9">
        <v>320</v>
      </c>
      <c r="E9">
        <v>320</v>
      </c>
      <c r="F9">
        <v>320</v>
      </c>
      <c r="G9" s="16"/>
      <c r="H9" s="16"/>
      <c r="I9" s="16"/>
    </row>
    <row r="10" spans="1:9" x14ac:dyDescent="0.35">
      <c r="A10" t="s">
        <v>192</v>
      </c>
      <c r="D10">
        <v>0.8</v>
      </c>
      <c r="E10">
        <v>0.8</v>
      </c>
      <c r="F10">
        <v>0.8</v>
      </c>
      <c r="G10" s="16"/>
      <c r="H10" s="16"/>
      <c r="I10" s="16"/>
    </row>
    <row r="11" spans="1:9" x14ac:dyDescent="0.35">
      <c r="A11" t="s">
        <v>193</v>
      </c>
      <c r="D11">
        <v>1</v>
      </c>
      <c r="E11">
        <v>1</v>
      </c>
      <c r="F11">
        <v>1</v>
      </c>
      <c r="G11" s="16"/>
      <c r="H11" s="16"/>
      <c r="I11" s="16"/>
    </row>
    <row r="12" spans="1:9" x14ac:dyDescent="0.35">
      <c r="A12" t="s">
        <v>194</v>
      </c>
      <c r="G12" s="16"/>
      <c r="H12" s="16"/>
      <c r="I12" s="16"/>
    </row>
  </sheetData>
  <conditionalFormatting sqref="G2:G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7f09a8f-df31-4464-b100-d09a5dbff5c8}" enabled="1" method="Standard" siteId="{570057f4-73ef-41c8-bcbb-08db2fc15c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Readiness Scoring</vt:lpstr>
      <vt:lpstr>Lookup</vt:lpstr>
      <vt:lpstr>Selection Criteria</vt:lpstr>
      <vt:lpstr>ScoringSummary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Upendra Kumar</cp:lastModifiedBy>
  <cp:revision>0</cp:revision>
  <dcterms:created xsi:type="dcterms:W3CDTF">2026-04-25T12:28:30Z</dcterms:created>
  <dcterms:modified xsi:type="dcterms:W3CDTF">2026-04-30T18:28:00Z</dcterms:modified>
  <dc:language>en-US</dc:language>
</cp:coreProperties>
</file>