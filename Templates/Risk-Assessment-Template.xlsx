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Assess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<sst xmlns="http://schemas.openxmlformats.org/spreadsheetml/2006/main" count="206" uniqueCount="174">
  <si>
    <t xml:space="preserve">Risk &amp; Compliance Assessment</t>
  </si>
  <si>
    <t xml:space="preserve">Version 1.0 | Phase: Evaluation | Tasks 6.1, 6.2, 6.3 | Requirements 6.1-6.9</t>
  </si>
  <si>
    <t xml:space="preserve">Section 1 — Risk Assessment Matrix (5 × 5)</t>
  </si>
  <si>
    <t xml:space="preserve">Likelihood Scale</t>
  </si>
  <si>
    <t xml:space="preserve">Level</t>
  </si>
  <si>
    <t xml:space="preserve">Rating</t>
  </si>
  <si>
    <t xml:space="preserve">Description</t>
  </si>
  <si>
    <t xml:space="preserve">Almost Certain</t>
  </si>
  <si>
    <t xml:space="preserve">&gt;90% probability, expected to occur</t>
  </si>
  <si>
    <t xml:space="preserve">Likely</t>
  </si>
  <si>
    <t xml:space="preserve">60-90% probability, will probably occur</t>
  </si>
  <si>
    <t xml:space="preserve">Possible</t>
  </si>
  <si>
    <t xml:space="preserve">30-60% probability, might occur</t>
  </si>
  <si>
    <t xml:space="preserve">Unlikely</t>
  </si>
  <si>
    <t xml:space="preserve">10-30% probability, could occur</t>
  </si>
  <si>
    <t xml:space="preserve">Rare</t>
  </si>
  <si>
    <t xml:space="preserve">&lt;10% probability, exceptional circumstances</t>
  </si>
  <si>
    <t xml:space="preserve">Impact Scale</t>
  </si>
  <si>
    <t xml:space="preserve">Critical</t>
  </si>
  <si>
    <t xml:space="preserve">Business-critical failure, regulatory breach, &gt;£1M loss</t>
  </si>
  <si>
    <t xml:space="preserve">Major</t>
  </si>
  <si>
    <t xml:space="preserve">Significant disruption, major financial impact, £500K-£1M</t>
  </si>
  <si>
    <t xml:space="preserve">Moderate</t>
  </si>
  <si>
    <t xml:space="preserve">Noticeable impact, manageable disruption, £100K-£500K</t>
  </si>
  <si>
    <t xml:space="preserve">Minor</t>
  </si>
  <si>
    <t xml:space="preserve">Limited impact, minor inconvenience, £10K-£100K</t>
  </si>
  <si>
    <t xml:space="preserve">Negligible</t>
  </si>
  <si>
    <t xml:space="preserve">Minimal impact, easily absorbed, &lt;£10K</t>
  </si>
  <si>
    <t xml:space="preserve">Risk Heat-map (Score = Likelihood × Impact)</t>
  </si>
  <si>
    <t xml:space="preserve">Impact 1 (Negligible)</t>
  </si>
  <si>
    <t xml:space="preserve">Impact 2 (Minor)</t>
  </si>
  <si>
    <t xml:space="preserve">Impact 3 (Moderate)</t>
  </si>
  <si>
    <t xml:space="preserve">Impact 4 (Major)</t>
  </si>
  <si>
    <t xml:space="preserve">Impact 5 (Critical)</t>
  </si>
  <si>
    <t xml:space="preserve">Likelihood 5 (Almost Certain)</t>
  </si>
  <si>
    <t xml:space="preserve">Likelihood 4 (Likely)</t>
  </si>
  <si>
    <t xml:space="preserve">Likelihood 3 (Possible)</t>
  </si>
  <si>
    <t xml:space="preserve">Likelihood 2 (Unlikely)</t>
  </si>
  <si>
    <t xml:space="preserve">Likelihood 1 (Rare)</t>
  </si>
  <si>
    <t xml:space="preserve">Section 2 — Security Risk Register</t>
  </si>
  <si>
    <t xml:space="preserve">ID</t>
  </si>
  <si>
    <t xml:space="preserve">Risk Description</t>
  </si>
  <si>
    <t xml:space="preserve">Category</t>
  </si>
  <si>
    <t xml:space="preserve">Likelihood (1-5)</t>
  </si>
  <si>
    <t xml:space="preserve">Impact (1-5)</t>
  </si>
  <si>
    <t xml:space="preserve">Score</t>
  </si>
  <si>
    <t xml:space="preserve">Mitigation Strategy</t>
  </si>
  <si>
    <t xml:space="preserve">Residual Risk</t>
  </si>
  <si>
    <t xml:space="preserve">Owner</t>
  </si>
  <si>
    <t xml:space="preserve">SR-001</t>
  </si>
  <si>
    <t xml:space="preserve">Data exposure during migration</t>
  </si>
  <si>
    <t xml:space="preserve">Data Security</t>
  </si>
  <si>
    <t xml:space="preserve">SR-002</t>
  </si>
  <si>
    <t xml:space="preserve">Unauthorized access to cloud resources</t>
  </si>
  <si>
    <t xml:space="preserve">Access Control</t>
  </si>
  <si>
    <t xml:space="preserve">SR-003</t>
  </si>
  <si>
    <t xml:space="preserve">Encryption gaps in transit/at rest</t>
  </si>
  <si>
    <t xml:space="preserve">Encryption</t>
  </si>
  <si>
    <t xml:space="preserve">SR-004</t>
  </si>
  <si>
    <t xml:space="preserve">Identity management misconfiguration</t>
  </si>
  <si>
    <t xml:space="preserve">IAM</t>
  </si>
  <si>
    <t xml:space="preserve">SR-005</t>
  </si>
  <si>
    <t xml:space="preserve">Vulnerability in cloud configuration</t>
  </si>
  <si>
    <t xml:space="preserve">Configuration</t>
  </si>
  <si>
    <t xml:space="preserve">SR-006</t>
  </si>
  <si>
    <t xml:space="preserve">Insider threat during migration</t>
  </si>
  <si>
    <t xml:space="preserve">Personnel</t>
  </si>
  <si>
    <t xml:space="preserve">SR-007</t>
  </si>
  <si>
    <t xml:space="preserve">DDoS attack on cloud endpoints</t>
  </si>
  <si>
    <t xml:space="preserve">Network</t>
  </si>
  <si>
    <t xml:space="preserve">SR-008</t>
  </si>
  <si>
    <t xml:space="preserve">Key management failure</t>
  </si>
  <si>
    <t xml:space="preserve">Cryptography</t>
  </si>
  <si>
    <t xml:space="preserve">SR-009</t>
  </si>
  <si>
    <t xml:space="preserve">SR-010</t>
  </si>
  <si>
    <t xml:space="preserve">SR-011</t>
  </si>
  <si>
    <t xml:space="preserve">Section 3 — Operational Risk Register</t>
  </si>
  <si>
    <t xml:space="preserve">OR-001</t>
  </si>
  <si>
    <t xml:space="preserve">Service availability degradation</t>
  </si>
  <si>
    <t xml:space="preserve">Availability</t>
  </si>
  <si>
    <t xml:space="preserve">OR-002</t>
  </si>
  <si>
    <t xml:space="preserve">Performance degradation post-migration</t>
  </si>
  <si>
    <t xml:space="preserve">Performance</t>
  </si>
  <si>
    <t xml:space="preserve">OR-003</t>
  </si>
  <si>
    <t xml:space="preserve">Increased operational complexity</t>
  </si>
  <si>
    <t xml:space="preserve">Operations</t>
  </si>
  <si>
    <t xml:space="preserve">OR-004</t>
  </si>
  <si>
    <t xml:space="preserve">Skills gap in cloud operations</t>
  </si>
  <si>
    <t xml:space="preserve">OR-005</t>
  </si>
  <si>
    <t xml:space="preserve">Vendor lock-in risk</t>
  </si>
  <si>
    <t xml:space="preserve">Strategic</t>
  </si>
  <si>
    <t xml:space="preserve">OR-006</t>
  </si>
  <si>
    <t xml:space="preserve">Cost overrun during migration</t>
  </si>
  <si>
    <t xml:space="preserve">Financial</t>
  </si>
  <si>
    <t xml:space="preserve">OR-007</t>
  </si>
  <si>
    <t xml:space="preserve">Extended downtime during cutover</t>
  </si>
  <si>
    <t xml:space="preserve">Migration</t>
  </si>
  <si>
    <t xml:space="preserve">OR-008</t>
  </si>
  <si>
    <t xml:space="preserve">Rollback failure</t>
  </si>
  <si>
    <t xml:space="preserve">OR-009</t>
  </si>
  <si>
    <t xml:space="preserve">OR-010</t>
  </si>
  <si>
    <t xml:space="preserve">OR-011</t>
  </si>
  <si>
    <t xml:space="preserve">Section 4 — Compliance Risk Register</t>
  </si>
  <si>
    <t xml:space="preserve">Framework</t>
  </si>
  <si>
    <t xml:space="preserve">CR-001</t>
  </si>
  <si>
    <t xml:space="preserve">GDPR data residency violation</t>
  </si>
  <si>
    <t xml:space="preserve">GDPR</t>
  </si>
  <si>
    <t xml:space="preserve">CR-002</t>
  </si>
  <si>
    <t xml:space="preserve">PCI-DSS scope expansion</t>
  </si>
  <si>
    <t xml:space="preserve">PCI-DSS</t>
  </si>
  <si>
    <t xml:space="preserve">CR-003</t>
  </si>
  <si>
    <t xml:space="preserve">Audit trail gaps in cloud</t>
  </si>
  <si>
    <t xml:space="preserve">SOC2</t>
  </si>
  <si>
    <t xml:space="preserve">CR-004</t>
  </si>
  <si>
    <t xml:space="preserve">Data sovereignty breach</t>
  </si>
  <si>
    <t xml:space="preserve">Local Regs</t>
  </si>
  <si>
    <t xml:space="preserve">CR-005</t>
  </si>
  <si>
    <t xml:space="preserve">Compliance certification gap</t>
  </si>
  <si>
    <t xml:space="preserve">ISO 27001</t>
  </si>
  <si>
    <t xml:space="preserve">CR-006</t>
  </si>
  <si>
    <t xml:space="preserve">Third-party data processing risk</t>
  </si>
  <si>
    <t xml:space="preserve">CR-007</t>
  </si>
  <si>
    <t xml:space="preserve">CR-008</t>
  </si>
  <si>
    <t xml:space="preserve">CR-009</t>
  </si>
  <si>
    <t xml:space="preserve">Section 5 — Compliance Requirements Matrix</t>
  </si>
  <si>
    <t xml:space="preserve">Requirement</t>
  </si>
  <si>
    <t xml:space="preserve">Applicable</t>
  </si>
  <si>
    <t xml:space="preserve">Current Status</t>
  </si>
  <si>
    <t xml:space="preserve">Cloud Gap</t>
  </si>
  <si>
    <t xml:space="preserve">AWS Coverage</t>
  </si>
  <si>
    <t xml:space="preserve">Azure Coverage</t>
  </si>
  <si>
    <t xml:space="preserve">GCP Coverage</t>
  </si>
  <si>
    <t xml:space="preserve">Remediation</t>
  </si>
  <si>
    <t xml:space="preserve">HIPAA</t>
  </si>
  <si>
    <t xml:space="preserve">SOC 2</t>
  </si>
  <si>
    <t xml:space="preserve">UK DPA 2018</t>
  </si>
  <si>
    <t xml:space="preserve">Section 6 — Data Residency &amp; Sovereignty</t>
  </si>
  <si>
    <t xml:space="preserve">Data Category</t>
  </si>
  <si>
    <t xml:space="preserve">Classification</t>
  </si>
  <si>
    <t xml:space="preserve">Current Location</t>
  </si>
  <si>
    <t xml:space="preserve">Required Location</t>
  </si>
  <si>
    <t xml:space="preserve">Cloud Region</t>
  </si>
  <si>
    <t xml:space="preserve">Compliant</t>
  </si>
  <si>
    <t xml:space="preserve">Cross-Border</t>
  </si>
  <si>
    <t xml:space="preserve">Notes</t>
  </si>
  <si>
    <t xml:space="preserve">Cross-Border Transfer Requirements</t>
  </si>
  <si>
    <t xml:space="preserve">Data Processing Agreements Required</t>
  </si>
  <si>
    <t xml:space="preserve">Standard Contractual Clauses Required</t>
  </si>
  <si>
    <t xml:space="preserve">Section 7 — Security Controls Assessment</t>
  </si>
  <si>
    <t xml:space="preserve">Control Area</t>
  </si>
  <si>
    <t xml:space="preserve">Current State</t>
  </si>
  <si>
    <t xml:space="preserve">Cloud Target</t>
  </si>
  <si>
    <t xml:space="preserve">Gap</t>
  </si>
  <si>
    <t xml:space="preserve">Priority</t>
  </si>
  <si>
    <t xml:space="preserve">Identity &amp; Access Management</t>
  </si>
  <si>
    <t xml:space="preserve">Encryption (at rest)</t>
  </si>
  <si>
    <t xml:space="preserve">Encryption (in transit)</t>
  </si>
  <si>
    <t xml:space="preserve">Network Security</t>
  </si>
  <si>
    <t xml:space="preserve">Vulnerability Management</t>
  </si>
  <si>
    <t xml:space="preserve">Logging &amp; Monitoring</t>
  </si>
  <si>
    <t xml:space="preserve">Incident Response</t>
  </si>
  <si>
    <t xml:space="preserve">Backup &amp; Recovery</t>
  </si>
  <si>
    <t xml:space="preserve">Section 8 — Risk Summary</t>
  </si>
  <si>
    <t xml:space="preserve">Total Risks</t>
  </si>
  <si>
    <t xml:space="preserve">High</t>
  </si>
  <si>
    <t xml:space="preserve">Medium</t>
  </si>
  <si>
    <t xml:space="preserve">Low</t>
  </si>
  <si>
    <t xml:space="preserve">Security</t>
  </si>
  <si>
    <t xml:space="preserve">Operational</t>
  </si>
  <si>
    <t xml:space="preserve">Compliance</t>
  </si>
  <si>
    <t xml:space="preserve">Total</t>
  </si>
  <si>
    <t xml:space="preserve">Overall Risk Rating</t>
  </si>
  <si>
    <t xml:space="preserve">Recommendation</t>
  </si>
  <si>
    <t xml:space="preserve">Template Version 1.0 — Cloud Readiness Accelerator Framework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</si>
</sst>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;\(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70AD47"/>
        <bgColor rgb="FF99CC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595959"/>
      <rgbColor rgb="FFA6A6A6"/>
      <rgbColor rgb="FF1F3864"/>
      <rgbColor rgb="FF70AD47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9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</row>
    <row r="6" customFormat="false" ht="30" hidden="false" customHeight="true" outlineLevel="0" collapsed="false">
      <c r="A6" s="5" t="s">
        <v>4</v>
      </c>
      <c r="B6" s="5" t="s">
        <v>5</v>
      </c>
      <c r="C6" s="5" t="s">
        <v>6</v>
      </c>
      <c r="D6" s="5"/>
      <c r="E6" s="5"/>
      <c r="F6" s="5"/>
      <c r="G6" s="5"/>
      <c r="H6" s="5"/>
      <c r="I6" s="5"/>
    </row>
    <row r="7" customFormat="false" ht="23.85" hidden="false" customHeight="false" outlineLevel="0" collapsed="false">
      <c r="A7" s="6" t="n">
        <v>5</v>
      </c>
      <c r="B7" s="6" t="s">
        <v>7</v>
      </c>
      <c r="C7" s="7" t="s">
        <v>8</v>
      </c>
      <c r="D7" s="6"/>
      <c r="E7" s="6"/>
      <c r="F7" s="6"/>
      <c r="G7" s="6"/>
      <c r="H7" s="6"/>
      <c r="I7" s="6"/>
    </row>
    <row r="8" customFormat="false" ht="23.85" hidden="false" customHeight="false" outlineLevel="0" collapsed="false">
      <c r="A8" s="6" t="n">
        <v>4</v>
      </c>
      <c r="B8" s="6" t="s">
        <v>9</v>
      </c>
      <c r="C8" s="7" t="s">
        <v>10</v>
      </c>
      <c r="D8" s="6"/>
      <c r="E8" s="6"/>
      <c r="F8" s="6"/>
      <c r="G8" s="6"/>
      <c r="H8" s="6"/>
      <c r="I8" s="6"/>
    </row>
    <row r="9" customFormat="false" ht="23.85" hidden="false" customHeight="false" outlineLevel="0" collapsed="false">
      <c r="A9" s="6" t="n">
        <v>3</v>
      </c>
      <c r="B9" s="6" t="s">
        <v>11</v>
      </c>
      <c r="C9" s="7" t="s">
        <v>12</v>
      </c>
      <c r="D9" s="6"/>
      <c r="E9" s="6"/>
      <c r="F9" s="6"/>
      <c r="G9" s="6"/>
      <c r="H9" s="6"/>
      <c r="I9" s="6"/>
    </row>
    <row r="10" customFormat="false" ht="23.85" hidden="false" customHeight="false" outlineLevel="0" collapsed="false">
      <c r="A10" s="6" t="n">
        <v>2</v>
      </c>
      <c r="B10" s="6" t="s">
        <v>13</v>
      </c>
      <c r="C10" s="7" t="s">
        <v>14</v>
      </c>
      <c r="D10" s="6"/>
      <c r="E10" s="6"/>
      <c r="F10" s="6"/>
      <c r="G10" s="6"/>
      <c r="H10" s="6"/>
      <c r="I10" s="6"/>
    </row>
    <row r="11" customFormat="false" ht="35.05" hidden="false" customHeight="false" outlineLevel="0" collapsed="false">
      <c r="A11" s="6" t="n">
        <v>1</v>
      </c>
      <c r="B11" s="6" t="s">
        <v>15</v>
      </c>
      <c r="C11" s="7" t="s">
        <v>16</v>
      </c>
      <c r="D11" s="6"/>
      <c r="E11" s="6"/>
      <c r="F11" s="6"/>
      <c r="G11" s="6"/>
      <c r="H11" s="6"/>
      <c r="I11" s="6"/>
    </row>
    <row r="13" customFormat="false" ht="19.5" hidden="false" customHeight="true" outlineLevel="0" collapsed="false">
      <c r="A13" s="4" t="s">
        <v>17</v>
      </c>
      <c r="B13" s="4"/>
      <c r="C13" s="4"/>
      <c r="D13" s="4"/>
      <c r="E13" s="4"/>
      <c r="F13" s="4"/>
      <c r="G13" s="4"/>
      <c r="H13" s="4"/>
      <c r="I13" s="4"/>
    </row>
    <row r="14" customFormat="false" ht="30" hidden="false" customHeight="true" outlineLevel="0" collapsed="false">
      <c r="A14" s="5" t="s">
        <v>4</v>
      </c>
      <c r="B14" s="5" t="s">
        <v>5</v>
      </c>
      <c r="C14" s="5" t="s">
        <v>6</v>
      </c>
      <c r="D14" s="5"/>
      <c r="E14" s="5"/>
      <c r="F14" s="5"/>
      <c r="G14" s="5"/>
      <c r="H14" s="5"/>
      <c r="I14" s="5"/>
    </row>
    <row r="15" customFormat="false" ht="35.05" hidden="false" customHeight="false" outlineLevel="0" collapsed="false">
      <c r="A15" s="6" t="n">
        <v>5</v>
      </c>
      <c r="B15" s="6" t="s">
        <v>18</v>
      </c>
      <c r="C15" s="7" t="s">
        <v>19</v>
      </c>
      <c r="D15" s="6"/>
      <c r="E15" s="6"/>
      <c r="F15" s="6"/>
      <c r="G15" s="6"/>
      <c r="H15" s="6"/>
      <c r="I15" s="6"/>
    </row>
    <row r="16" customFormat="false" ht="35.05" hidden="false" customHeight="false" outlineLevel="0" collapsed="false">
      <c r="A16" s="6" t="n">
        <v>4</v>
      </c>
      <c r="B16" s="6" t="s">
        <v>20</v>
      </c>
      <c r="C16" s="7" t="s">
        <v>21</v>
      </c>
      <c r="D16" s="6"/>
      <c r="E16" s="6"/>
      <c r="F16" s="6"/>
      <c r="G16" s="6"/>
      <c r="H16" s="6"/>
      <c r="I16" s="6"/>
    </row>
    <row r="17" customFormat="false" ht="46.25" hidden="false" customHeight="false" outlineLevel="0" collapsed="false">
      <c r="A17" s="6" t="n">
        <v>3</v>
      </c>
      <c r="B17" s="6" t="s">
        <v>22</v>
      </c>
      <c r="C17" s="7" t="s">
        <v>23</v>
      </c>
      <c r="D17" s="6"/>
      <c r="E17" s="6"/>
      <c r="F17" s="6"/>
      <c r="G17" s="6"/>
      <c r="H17" s="6"/>
      <c r="I17" s="6"/>
    </row>
    <row r="18" customFormat="false" ht="35.05" hidden="false" customHeight="false" outlineLevel="0" collapsed="false">
      <c r="A18" s="6" t="n">
        <v>2</v>
      </c>
      <c r="B18" s="6" t="s">
        <v>24</v>
      </c>
      <c r="C18" s="7" t="s">
        <v>25</v>
      </c>
      <c r="D18" s="6"/>
      <c r="E18" s="6"/>
      <c r="F18" s="6"/>
      <c r="G18" s="6"/>
      <c r="H18" s="6"/>
      <c r="I18" s="6"/>
    </row>
    <row r="19" customFormat="false" ht="35.05" hidden="false" customHeight="false" outlineLevel="0" collapsed="false">
      <c r="A19" s="6" t="n">
        <v>1</v>
      </c>
      <c r="B19" s="6" t="s">
        <v>26</v>
      </c>
      <c r="C19" s="7" t="s">
        <v>27</v>
      </c>
      <c r="D19" s="6"/>
      <c r="E19" s="6"/>
      <c r="F19" s="6"/>
      <c r="G19" s="6"/>
      <c r="H19" s="6"/>
      <c r="I19" s="6"/>
    </row>
    <row r="21" customFormat="false" ht="19.5" hidden="false" customHeight="true" outlineLevel="0" collapsed="false">
      <c r="A21" s="4" t="s">
        <v>28</v>
      </c>
      <c r="B21" s="4"/>
      <c r="C21" s="4"/>
      <c r="D21" s="4"/>
      <c r="E21" s="4"/>
      <c r="F21" s="4"/>
      <c r="G21" s="4"/>
      <c r="H21" s="4"/>
      <c r="I21" s="4"/>
    </row>
    <row r="22" customFormat="false" ht="30" hidden="false" customHeight="true" outlineLevel="0" collapsed="false">
      <c r="A22" s="5"/>
      <c r="B22" s="5" t="s">
        <v>29</v>
      </c>
      <c r="C22" s="5" t="s">
        <v>30</v>
      </c>
      <c r="D22" s="5" t="s">
        <v>31</v>
      </c>
      <c r="E22" s="5" t="s">
        <v>32</v>
      </c>
      <c r="F22" s="5" t="s">
        <v>33</v>
      </c>
      <c r="G22" s="5"/>
      <c r="H22" s="5"/>
      <c r="I22" s="5"/>
    </row>
    <row r="23" customFormat="false" ht="35.05" hidden="false" customHeight="false" outlineLevel="0" collapsed="false">
      <c r="A23" s="6" t="s">
        <v>34</v>
      </c>
      <c r="B23" s="8" t="n">
        <v>5</v>
      </c>
      <c r="C23" s="9" t="n">
        <v>10</v>
      </c>
      <c r="D23" s="10" t="n">
        <v>15</v>
      </c>
      <c r="E23" s="10" t="n">
        <v>20</v>
      </c>
      <c r="F23" s="10" t="n">
        <v>25</v>
      </c>
      <c r="G23" s="6"/>
      <c r="H23" s="6"/>
      <c r="I23" s="6"/>
    </row>
    <row r="24" customFormat="false" ht="23.85" hidden="false" customHeight="false" outlineLevel="0" collapsed="false">
      <c r="A24" s="6" t="s">
        <v>35</v>
      </c>
      <c r="B24" s="11" t="n">
        <v>4</v>
      </c>
      <c r="C24" s="9" t="n">
        <v>8</v>
      </c>
      <c r="D24" s="9" t="n">
        <v>12</v>
      </c>
      <c r="E24" s="10" t="n">
        <v>16</v>
      </c>
      <c r="F24" s="10" t="n">
        <v>20</v>
      </c>
      <c r="G24" s="6"/>
      <c r="H24" s="6"/>
      <c r="I24" s="6"/>
    </row>
    <row r="25" customFormat="false" ht="35.05" hidden="false" customHeight="false" outlineLevel="0" collapsed="false">
      <c r="A25" s="6" t="s">
        <v>36</v>
      </c>
      <c r="B25" s="11" t="n">
        <v>3</v>
      </c>
      <c r="C25" s="8" t="n">
        <v>6</v>
      </c>
      <c r="D25" s="9" t="n">
        <v>9</v>
      </c>
      <c r="E25" s="9" t="n">
        <v>12</v>
      </c>
      <c r="F25" s="10" t="n">
        <v>15</v>
      </c>
      <c r="G25" s="6"/>
      <c r="H25" s="6"/>
      <c r="I25" s="6"/>
    </row>
    <row r="26" customFormat="false" ht="23.85" hidden="false" customHeight="false" outlineLevel="0" collapsed="false">
      <c r="A26" s="6" t="s">
        <v>37</v>
      </c>
      <c r="B26" s="11" t="n">
        <v>2</v>
      </c>
      <c r="C26" s="11" t="n">
        <v>4</v>
      </c>
      <c r="D26" s="8" t="n">
        <v>6</v>
      </c>
      <c r="E26" s="9" t="n">
        <v>8</v>
      </c>
      <c r="F26" s="9" t="n">
        <v>10</v>
      </c>
      <c r="G26" s="6"/>
      <c r="H26" s="6"/>
      <c r="I26" s="6"/>
    </row>
    <row r="27" customFormat="false" ht="23.85" hidden="false" customHeight="false" outlineLevel="0" collapsed="false">
      <c r="A27" s="6" t="s">
        <v>38</v>
      </c>
      <c r="B27" s="11" t="n">
        <v>1</v>
      </c>
      <c r="C27" s="11" t="n">
        <v>2</v>
      </c>
      <c r="D27" s="11" t="n">
        <v>3</v>
      </c>
      <c r="E27" s="11" t="n">
        <v>4</v>
      </c>
      <c r="F27" s="8" t="n">
        <v>5</v>
      </c>
      <c r="G27" s="6"/>
      <c r="H27" s="6"/>
      <c r="I27" s="6"/>
    </row>
    <row r="29" customFormat="false" ht="24" hidden="false" customHeight="true" outlineLevel="0" collapsed="false">
      <c r="A29" s="3" t="s">
        <v>39</v>
      </c>
      <c r="B29" s="3"/>
      <c r="C29" s="3"/>
      <c r="D29" s="3"/>
      <c r="E29" s="3"/>
      <c r="F29" s="3"/>
      <c r="G29" s="3"/>
      <c r="H29" s="3"/>
      <c r="I29" s="3"/>
    </row>
    <row r="30" customFormat="false" ht="30" hidden="false" customHeight="true" outlineLevel="0" collapsed="false">
      <c r="A30" s="5" t="s">
        <v>40</v>
      </c>
      <c r="B30" s="5" t="s">
        <v>41</v>
      </c>
      <c r="C30" s="5" t="s">
        <v>42</v>
      </c>
      <c r="D30" s="5" t="s">
        <v>43</v>
      </c>
      <c r="E30" s="5" t="s">
        <v>44</v>
      </c>
      <c r="F30" s="5" t="s">
        <v>45</v>
      </c>
      <c r="G30" s="5" t="s">
        <v>46</v>
      </c>
      <c r="H30" s="5" t="s">
        <v>47</v>
      </c>
      <c r="I30" s="5" t="s">
        <v>48</v>
      </c>
    </row>
    <row r="31" customFormat="false" ht="15" hidden="false" customHeight="false" outlineLevel="0" collapsed="false">
      <c r="A31" s="6" t="s">
        <v>49</v>
      </c>
      <c r="B31" s="6" t="s">
        <v>50</v>
      </c>
      <c r="C31" s="6" t="s">
        <v>51</v>
      </c>
      <c r="D31" s="12"/>
      <c r="E31" s="12"/>
      <c r="F31" s="13" t="n">
        <f aca="false">IFERROR(D31*E31,0)</f>
        <v>0</v>
      </c>
      <c r="G31" s="12"/>
      <c r="H31" s="12"/>
      <c r="I31" s="12"/>
    </row>
    <row r="32" customFormat="false" ht="23.85" hidden="false" customHeight="false" outlineLevel="0" collapsed="false">
      <c r="A32" s="6" t="s">
        <v>52</v>
      </c>
      <c r="B32" s="7" t="s">
        <v>53</v>
      </c>
      <c r="C32" s="6" t="s">
        <v>54</v>
      </c>
      <c r="D32" s="12"/>
      <c r="E32" s="12"/>
      <c r="F32" s="13" t="n">
        <f aca="false">IFERROR(D32*E32,0)</f>
        <v>0</v>
      </c>
      <c r="G32" s="12"/>
      <c r="H32" s="12"/>
      <c r="I32" s="12"/>
    </row>
    <row r="33" customFormat="false" ht="15" hidden="false" customHeight="false" outlineLevel="0" collapsed="false">
      <c r="A33" s="6" t="s">
        <v>55</v>
      </c>
      <c r="B33" s="7" t="s">
        <v>56</v>
      </c>
      <c r="C33" s="6" t="s">
        <v>57</v>
      </c>
      <c r="D33" s="12"/>
      <c r="E33" s="12"/>
      <c r="F33" s="13" t="n">
        <f aca="false">IFERROR(D33*E33,0)</f>
        <v>0</v>
      </c>
      <c r="G33" s="12"/>
      <c r="H33" s="12"/>
      <c r="I33" s="12"/>
    </row>
    <row r="34" customFormat="false" ht="15" hidden="false" customHeight="false" outlineLevel="0" collapsed="false">
      <c r="A34" s="6" t="s">
        <v>58</v>
      </c>
      <c r="B34" s="7" t="s">
        <v>59</v>
      </c>
      <c r="C34" s="6" t="s">
        <v>60</v>
      </c>
      <c r="D34" s="12"/>
      <c r="E34" s="12"/>
      <c r="F34" s="13" t="n">
        <f aca="false">IFERROR(D34*E34,0)</f>
        <v>0</v>
      </c>
      <c r="G34" s="12"/>
      <c r="H34" s="12"/>
      <c r="I34" s="12"/>
    </row>
    <row r="35" customFormat="false" ht="15" hidden="false" customHeight="false" outlineLevel="0" collapsed="false">
      <c r="A35" s="6" t="s">
        <v>61</v>
      </c>
      <c r="B35" s="7" t="s">
        <v>62</v>
      </c>
      <c r="C35" s="6" t="s">
        <v>63</v>
      </c>
      <c r="D35" s="12"/>
      <c r="E35" s="12"/>
      <c r="F35" s="13" t="n">
        <f aca="false">IFERROR(D35*E35,0)</f>
        <v>0</v>
      </c>
      <c r="G35" s="12"/>
      <c r="H35" s="12"/>
      <c r="I35" s="12"/>
    </row>
    <row r="36" customFormat="false" ht="15" hidden="false" customHeight="false" outlineLevel="0" collapsed="false">
      <c r="A36" s="6" t="s">
        <v>64</v>
      </c>
      <c r="B36" s="7" t="s">
        <v>65</v>
      </c>
      <c r="C36" s="6" t="s">
        <v>66</v>
      </c>
      <c r="D36" s="12"/>
      <c r="E36" s="12"/>
      <c r="F36" s="13" t="n">
        <f aca="false">IFERROR(D36*E36,0)</f>
        <v>0</v>
      </c>
      <c r="G36" s="12"/>
      <c r="H36" s="12"/>
      <c r="I36" s="12"/>
    </row>
    <row r="37" customFormat="false" ht="15" hidden="false" customHeight="false" outlineLevel="0" collapsed="false">
      <c r="A37" s="6" t="s">
        <v>67</v>
      </c>
      <c r="B37" s="6" t="s">
        <v>68</v>
      </c>
      <c r="C37" s="6" t="s">
        <v>69</v>
      </c>
      <c r="D37" s="12"/>
      <c r="E37" s="12"/>
      <c r="F37" s="13" t="n">
        <f aca="false">IFERROR(D37*E37,0)</f>
        <v>0</v>
      </c>
      <c r="G37" s="12"/>
      <c r="H37" s="12"/>
      <c r="I37" s="12"/>
    </row>
    <row r="38" customFormat="false" ht="15" hidden="false" customHeight="false" outlineLevel="0" collapsed="false">
      <c r="A38" s="6" t="s">
        <v>70</v>
      </c>
      <c r="B38" s="6" t="s">
        <v>71</v>
      </c>
      <c r="C38" s="6" t="s">
        <v>72</v>
      </c>
      <c r="D38" s="12"/>
      <c r="E38" s="12"/>
      <c r="F38" s="13" t="n">
        <f aca="false">IFERROR(D38*E38,0)</f>
        <v>0</v>
      </c>
      <c r="G38" s="12"/>
      <c r="H38" s="12"/>
      <c r="I38" s="12"/>
    </row>
    <row r="39" customFormat="false" ht="15" hidden="false" customHeight="false" outlineLevel="0" collapsed="false">
      <c r="A39" s="6" t="s">
        <v>73</v>
      </c>
      <c r="B39" s="12"/>
      <c r="C39" s="12"/>
      <c r="D39" s="12"/>
      <c r="E39" s="12"/>
      <c r="F39" s="13" t="n">
        <f aca="false">IFERROR(D39*E39,0)</f>
        <v>0</v>
      </c>
      <c r="G39" s="12"/>
      <c r="H39" s="12"/>
      <c r="I39" s="12"/>
    </row>
    <row r="40" customFormat="false" ht="15" hidden="false" customHeight="false" outlineLevel="0" collapsed="false">
      <c r="A40" s="6" t="s">
        <v>74</v>
      </c>
      <c r="B40" s="12"/>
      <c r="C40" s="12"/>
      <c r="D40" s="12"/>
      <c r="E40" s="12"/>
      <c r="F40" s="13" t="n">
        <f aca="false">IFERROR(D40*E40,0)</f>
        <v>0</v>
      </c>
      <c r="G40" s="12"/>
      <c r="H40" s="12"/>
      <c r="I40" s="12"/>
    </row>
    <row r="41" customFormat="false" ht="15" hidden="false" customHeight="false" outlineLevel="0" collapsed="false">
      <c r="A41" s="6" t="s">
        <v>75</v>
      </c>
      <c r="B41" s="12"/>
      <c r="C41" s="12"/>
      <c r="D41" s="12"/>
      <c r="E41" s="12"/>
      <c r="F41" s="13" t="n">
        <f aca="false">IFERROR(D41*E41,0)</f>
        <v>0</v>
      </c>
      <c r="G41" s="12"/>
      <c r="H41" s="12"/>
      <c r="I41" s="12"/>
    </row>
    <row r="43" customFormat="false" ht="24" hidden="false" customHeight="true" outlineLevel="0" collapsed="false">
      <c r="A43" s="3" t="s">
        <v>76</v>
      </c>
      <c r="B43" s="3"/>
      <c r="C43" s="3"/>
      <c r="D43" s="3"/>
      <c r="E43" s="3"/>
      <c r="F43" s="3"/>
      <c r="G43" s="3"/>
      <c r="H43" s="3"/>
      <c r="I43" s="3"/>
    </row>
    <row r="44" customFormat="false" ht="30" hidden="false" customHeight="true" outlineLevel="0" collapsed="false">
      <c r="A44" s="5" t="s">
        <v>40</v>
      </c>
      <c r="B44" s="5" t="s">
        <v>41</v>
      </c>
      <c r="C44" s="5" t="s">
        <v>42</v>
      </c>
      <c r="D44" s="5" t="s">
        <v>43</v>
      </c>
      <c r="E44" s="5" t="s">
        <v>44</v>
      </c>
      <c r="F44" s="5" t="s">
        <v>45</v>
      </c>
      <c r="G44" s="5" t="s">
        <v>46</v>
      </c>
      <c r="H44" s="5" t="s">
        <v>47</v>
      </c>
      <c r="I44" s="5" t="s">
        <v>48</v>
      </c>
    </row>
    <row r="45" customFormat="false" ht="15" hidden="false" customHeight="false" outlineLevel="0" collapsed="false">
      <c r="A45" s="6" t="s">
        <v>77</v>
      </c>
      <c r="B45" s="7" t="s">
        <v>78</v>
      </c>
      <c r="C45" s="6" t="s">
        <v>79</v>
      </c>
      <c r="D45" s="12"/>
      <c r="E45" s="12"/>
      <c r="F45" s="13" t="n">
        <f aca="false">IFERROR(D45*E45,0)</f>
        <v>0</v>
      </c>
      <c r="G45" s="12"/>
      <c r="H45" s="12"/>
      <c r="I45" s="12"/>
    </row>
    <row r="46" customFormat="false" ht="23.85" hidden="false" customHeight="false" outlineLevel="0" collapsed="false">
      <c r="A46" s="6" t="s">
        <v>80</v>
      </c>
      <c r="B46" s="7" t="s">
        <v>81</v>
      </c>
      <c r="C46" s="6" t="s">
        <v>82</v>
      </c>
      <c r="D46" s="12"/>
      <c r="E46" s="12"/>
      <c r="F46" s="13" t="n">
        <f aca="false">IFERROR(D46*E46,0)</f>
        <v>0</v>
      </c>
      <c r="G46" s="12"/>
      <c r="H46" s="12"/>
      <c r="I46" s="12"/>
    </row>
    <row r="47" customFormat="false" ht="15" hidden="false" customHeight="false" outlineLevel="0" collapsed="false">
      <c r="A47" s="6" t="s">
        <v>83</v>
      </c>
      <c r="B47" s="7" t="s">
        <v>84</v>
      </c>
      <c r="C47" s="6" t="s">
        <v>85</v>
      </c>
      <c r="D47" s="12"/>
      <c r="E47" s="12"/>
      <c r="F47" s="13" t="n">
        <f aca="false">IFERROR(D47*E47,0)</f>
        <v>0</v>
      </c>
      <c r="G47" s="12"/>
      <c r="H47" s="12"/>
      <c r="I47" s="12"/>
    </row>
    <row r="48" customFormat="false" ht="15" hidden="false" customHeight="false" outlineLevel="0" collapsed="false">
      <c r="A48" s="6" t="s">
        <v>86</v>
      </c>
      <c r="B48" s="6" t="s">
        <v>87</v>
      </c>
      <c r="C48" s="6" t="s">
        <v>66</v>
      </c>
      <c r="D48" s="12"/>
      <c r="E48" s="12"/>
      <c r="F48" s="13" t="n">
        <f aca="false">IFERROR(D48*E48,0)</f>
        <v>0</v>
      </c>
      <c r="G48" s="12"/>
      <c r="H48" s="12"/>
      <c r="I48" s="12"/>
    </row>
    <row r="49" customFormat="false" ht="15" hidden="false" customHeight="false" outlineLevel="0" collapsed="false">
      <c r="A49" s="6" t="s">
        <v>88</v>
      </c>
      <c r="B49" s="6" t="s">
        <v>89</v>
      </c>
      <c r="C49" s="6" t="s">
        <v>90</v>
      </c>
      <c r="D49" s="12"/>
      <c r="E49" s="12"/>
      <c r="F49" s="13" t="n">
        <f aca="false">IFERROR(D49*E49,0)</f>
        <v>0</v>
      </c>
      <c r="G49" s="12"/>
      <c r="H49" s="12"/>
      <c r="I49" s="12"/>
    </row>
    <row r="50" customFormat="false" ht="15" hidden="false" customHeight="false" outlineLevel="0" collapsed="false">
      <c r="A50" s="6" t="s">
        <v>91</v>
      </c>
      <c r="B50" s="6" t="s">
        <v>92</v>
      </c>
      <c r="C50" s="6" t="s">
        <v>93</v>
      </c>
      <c r="D50" s="12"/>
      <c r="E50" s="12"/>
      <c r="F50" s="13" t="n">
        <f aca="false">IFERROR(D50*E50,0)</f>
        <v>0</v>
      </c>
      <c r="G50" s="12"/>
      <c r="H50" s="12"/>
      <c r="I50" s="12"/>
    </row>
    <row r="51" customFormat="false" ht="15" hidden="false" customHeight="false" outlineLevel="0" collapsed="false">
      <c r="A51" s="6" t="s">
        <v>94</v>
      </c>
      <c r="B51" s="7" t="s">
        <v>95</v>
      </c>
      <c r="C51" s="6" t="s">
        <v>96</v>
      </c>
      <c r="D51" s="12"/>
      <c r="E51" s="12"/>
      <c r="F51" s="13" t="n">
        <f aca="false">IFERROR(D51*E51,0)</f>
        <v>0</v>
      </c>
      <c r="G51" s="12"/>
      <c r="H51" s="12"/>
      <c r="I51" s="12"/>
    </row>
    <row r="52" customFormat="false" ht="15" hidden="false" customHeight="false" outlineLevel="0" collapsed="false">
      <c r="A52" s="6" t="s">
        <v>97</v>
      </c>
      <c r="B52" s="6" t="s">
        <v>98</v>
      </c>
      <c r="C52" s="6" t="s">
        <v>96</v>
      </c>
      <c r="D52" s="12"/>
      <c r="E52" s="12"/>
      <c r="F52" s="13" t="n">
        <f aca="false">IFERROR(D52*E52,0)</f>
        <v>0</v>
      </c>
      <c r="G52" s="12"/>
      <c r="H52" s="12"/>
      <c r="I52" s="12"/>
    </row>
    <row r="53" customFormat="false" ht="15" hidden="false" customHeight="false" outlineLevel="0" collapsed="false">
      <c r="A53" s="6" t="s">
        <v>99</v>
      </c>
      <c r="B53" s="12"/>
      <c r="C53" s="12"/>
      <c r="D53" s="12"/>
      <c r="E53" s="12"/>
      <c r="F53" s="13" t="n">
        <f aca="false">IFERROR(D53*E53,0)</f>
        <v>0</v>
      </c>
      <c r="G53" s="12"/>
      <c r="H53" s="12"/>
      <c r="I53" s="12"/>
    </row>
    <row r="54" customFormat="false" ht="15" hidden="false" customHeight="false" outlineLevel="0" collapsed="false">
      <c r="A54" s="6" t="s">
        <v>100</v>
      </c>
      <c r="B54" s="12"/>
      <c r="C54" s="12"/>
      <c r="D54" s="12"/>
      <c r="E54" s="12"/>
      <c r="F54" s="13" t="n">
        <f aca="false">IFERROR(D54*E54,0)</f>
        <v>0</v>
      </c>
      <c r="G54" s="12"/>
      <c r="H54" s="12"/>
      <c r="I54" s="12"/>
    </row>
    <row r="55" customFormat="false" ht="15" hidden="false" customHeight="false" outlineLevel="0" collapsed="false">
      <c r="A55" s="6" t="s">
        <v>101</v>
      </c>
      <c r="B55" s="12"/>
      <c r="C55" s="12"/>
      <c r="D55" s="12"/>
      <c r="E55" s="12"/>
      <c r="F55" s="13" t="n">
        <f aca="false">IFERROR(D55*E55,0)</f>
        <v>0</v>
      </c>
      <c r="G55" s="12"/>
      <c r="H55" s="12"/>
      <c r="I55" s="12"/>
    </row>
    <row r="57" customFormat="false" ht="24" hidden="false" customHeight="true" outlineLevel="0" collapsed="false">
      <c r="A57" s="3" t="s">
        <v>102</v>
      </c>
      <c r="B57" s="3"/>
      <c r="C57" s="3"/>
      <c r="D57" s="3"/>
      <c r="E57" s="3"/>
      <c r="F57" s="3"/>
      <c r="G57" s="3"/>
      <c r="H57" s="3"/>
      <c r="I57" s="3"/>
    </row>
    <row r="58" customFormat="false" ht="30" hidden="false" customHeight="true" outlineLevel="0" collapsed="false">
      <c r="A58" s="5" t="s">
        <v>40</v>
      </c>
      <c r="B58" s="5" t="s">
        <v>41</v>
      </c>
      <c r="C58" s="5" t="s">
        <v>103</v>
      </c>
      <c r="D58" s="5" t="s">
        <v>43</v>
      </c>
      <c r="E58" s="5" t="s">
        <v>44</v>
      </c>
      <c r="F58" s="5" t="s">
        <v>45</v>
      </c>
      <c r="G58" s="5" t="s">
        <v>46</v>
      </c>
      <c r="H58" s="5" t="s">
        <v>47</v>
      </c>
      <c r="I58" s="5" t="s">
        <v>48</v>
      </c>
    </row>
    <row r="59" customFormat="false" ht="15" hidden="false" customHeight="false" outlineLevel="0" collapsed="false">
      <c r="A59" s="6" t="s">
        <v>104</v>
      </c>
      <c r="B59" s="6" t="s">
        <v>105</v>
      </c>
      <c r="C59" s="6" t="s">
        <v>106</v>
      </c>
      <c r="D59" s="12"/>
      <c r="E59" s="12"/>
      <c r="F59" s="13" t="n">
        <f aca="false">IFERROR(D59*E59,0)</f>
        <v>0</v>
      </c>
      <c r="G59" s="12"/>
      <c r="H59" s="12"/>
      <c r="I59" s="12"/>
    </row>
    <row r="60" customFormat="false" ht="15" hidden="false" customHeight="false" outlineLevel="0" collapsed="false">
      <c r="A60" s="6" t="s">
        <v>107</v>
      </c>
      <c r="B60" s="6" t="s">
        <v>108</v>
      </c>
      <c r="C60" s="6" t="s">
        <v>109</v>
      </c>
      <c r="D60" s="12"/>
      <c r="E60" s="12"/>
      <c r="F60" s="13" t="n">
        <f aca="false">IFERROR(D60*E60,0)</f>
        <v>0</v>
      </c>
      <c r="G60" s="12"/>
      <c r="H60" s="12"/>
      <c r="I60" s="12"/>
    </row>
    <row r="61" customFormat="false" ht="15" hidden="false" customHeight="false" outlineLevel="0" collapsed="false">
      <c r="A61" s="6" t="s">
        <v>110</v>
      </c>
      <c r="B61" s="6" t="s">
        <v>111</v>
      </c>
      <c r="C61" s="6" t="s">
        <v>112</v>
      </c>
      <c r="D61" s="12"/>
      <c r="E61" s="12"/>
      <c r="F61" s="13" t="n">
        <f aca="false">IFERROR(D61*E61,0)</f>
        <v>0</v>
      </c>
      <c r="G61" s="12"/>
      <c r="H61" s="12"/>
      <c r="I61" s="12"/>
    </row>
    <row r="62" customFormat="false" ht="15" hidden="false" customHeight="false" outlineLevel="0" collapsed="false">
      <c r="A62" s="6" t="s">
        <v>113</v>
      </c>
      <c r="B62" s="6" t="s">
        <v>114</v>
      </c>
      <c r="C62" s="6" t="s">
        <v>115</v>
      </c>
      <c r="D62" s="12"/>
      <c r="E62" s="12"/>
      <c r="F62" s="13" t="n">
        <f aca="false">IFERROR(D62*E62,0)</f>
        <v>0</v>
      </c>
      <c r="G62" s="12"/>
      <c r="H62" s="12"/>
      <c r="I62" s="12"/>
    </row>
    <row r="63" customFormat="false" ht="15" hidden="false" customHeight="false" outlineLevel="0" collapsed="false">
      <c r="A63" s="6" t="s">
        <v>116</v>
      </c>
      <c r="B63" s="6" t="s">
        <v>117</v>
      </c>
      <c r="C63" s="6" t="s">
        <v>118</v>
      </c>
      <c r="D63" s="12"/>
      <c r="E63" s="12"/>
      <c r="F63" s="13" t="n">
        <f aca="false">IFERROR(D63*E63,0)</f>
        <v>0</v>
      </c>
      <c r="G63" s="12"/>
      <c r="H63" s="12"/>
      <c r="I63" s="12"/>
    </row>
    <row r="64" customFormat="false" ht="15" hidden="false" customHeight="false" outlineLevel="0" collapsed="false">
      <c r="A64" s="6" t="s">
        <v>119</v>
      </c>
      <c r="B64" s="7" t="s">
        <v>120</v>
      </c>
      <c r="C64" s="6" t="s">
        <v>106</v>
      </c>
      <c r="D64" s="12"/>
      <c r="E64" s="12"/>
      <c r="F64" s="13" t="n">
        <f aca="false">IFERROR(D64*E64,0)</f>
        <v>0</v>
      </c>
      <c r="G64" s="12"/>
      <c r="H64" s="12"/>
      <c r="I64" s="12"/>
    </row>
    <row r="65" customFormat="false" ht="15" hidden="false" customHeight="false" outlineLevel="0" collapsed="false">
      <c r="A65" s="6" t="s">
        <v>121</v>
      </c>
      <c r="B65" s="12"/>
      <c r="C65" s="12"/>
      <c r="D65" s="12"/>
      <c r="E65" s="12"/>
      <c r="F65" s="13" t="n">
        <f aca="false">IFERROR(D65*E65,0)</f>
        <v>0</v>
      </c>
      <c r="G65" s="12"/>
      <c r="H65" s="12"/>
      <c r="I65" s="12"/>
    </row>
    <row r="66" customFormat="false" ht="15" hidden="false" customHeight="false" outlineLevel="0" collapsed="false">
      <c r="A66" s="6" t="s">
        <v>122</v>
      </c>
      <c r="B66" s="12"/>
      <c r="C66" s="12"/>
      <c r="D66" s="12"/>
      <c r="E66" s="12"/>
      <c r="F66" s="13" t="n">
        <f aca="false">IFERROR(D66*E66,0)</f>
        <v>0</v>
      </c>
      <c r="G66" s="12"/>
      <c r="H66" s="12"/>
      <c r="I66" s="12"/>
    </row>
    <row r="67" customFormat="false" ht="15" hidden="false" customHeight="false" outlineLevel="0" collapsed="false">
      <c r="A67" s="6" t="s">
        <v>123</v>
      </c>
      <c r="B67" s="12"/>
      <c r="C67" s="12"/>
      <c r="D67" s="12"/>
      <c r="E67" s="12"/>
      <c r="F67" s="13" t="n">
        <f aca="false">IFERROR(D67*E67,0)</f>
        <v>0</v>
      </c>
      <c r="G67" s="12"/>
      <c r="H67" s="12"/>
      <c r="I67" s="12"/>
    </row>
    <row r="69" customFormat="false" ht="24" hidden="false" customHeight="true" outlineLevel="0" collapsed="false">
      <c r="A69" s="3" t="s">
        <v>124</v>
      </c>
      <c r="B69" s="3"/>
      <c r="C69" s="3"/>
      <c r="D69" s="3"/>
      <c r="E69" s="3"/>
      <c r="F69" s="3"/>
      <c r="G69" s="3"/>
      <c r="H69" s="3"/>
      <c r="I69" s="3"/>
    </row>
    <row r="70" customFormat="false" ht="30" hidden="false" customHeight="true" outlineLevel="0" collapsed="false">
      <c r="A70" s="5" t="s">
        <v>125</v>
      </c>
      <c r="B70" s="5" t="s">
        <v>126</v>
      </c>
      <c r="C70" s="5" t="s">
        <v>127</v>
      </c>
      <c r="D70" s="5" t="s">
        <v>128</v>
      </c>
      <c r="E70" s="5" t="s">
        <v>129</v>
      </c>
      <c r="F70" s="5" t="s">
        <v>130</v>
      </c>
      <c r="G70" s="5" t="s">
        <v>131</v>
      </c>
      <c r="H70" s="5" t="s">
        <v>132</v>
      </c>
      <c r="I70" s="5" t="s">
        <v>48</v>
      </c>
    </row>
    <row r="71" customFormat="false" ht="15" hidden="false" customHeight="false" outlineLevel="0" collapsed="false">
      <c r="A71" s="6" t="s">
        <v>106</v>
      </c>
      <c r="B71" s="12"/>
      <c r="C71" s="12"/>
      <c r="D71" s="12"/>
      <c r="E71" s="12"/>
      <c r="F71" s="12"/>
      <c r="G71" s="12"/>
      <c r="H71" s="12"/>
      <c r="I71" s="12"/>
    </row>
    <row r="72" customFormat="false" ht="15" hidden="false" customHeight="false" outlineLevel="0" collapsed="false">
      <c r="A72" s="6" t="s">
        <v>109</v>
      </c>
      <c r="B72" s="12"/>
      <c r="C72" s="12"/>
      <c r="D72" s="12"/>
      <c r="E72" s="12"/>
      <c r="F72" s="12"/>
      <c r="G72" s="12"/>
      <c r="H72" s="12"/>
      <c r="I72" s="12"/>
    </row>
    <row r="73" customFormat="false" ht="15" hidden="false" customHeight="false" outlineLevel="0" collapsed="false">
      <c r="A73" s="6" t="s">
        <v>133</v>
      </c>
      <c r="B73" s="12"/>
      <c r="C73" s="12"/>
      <c r="D73" s="12"/>
      <c r="E73" s="12"/>
      <c r="F73" s="12"/>
      <c r="G73" s="12"/>
      <c r="H73" s="12"/>
      <c r="I73" s="12"/>
    </row>
    <row r="74" customFormat="false" ht="15" hidden="false" customHeight="false" outlineLevel="0" collapsed="false">
      <c r="A74" s="6" t="s">
        <v>134</v>
      </c>
      <c r="B74" s="12"/>
      <c r="C74" s="12"/>
      <c r="D74" s="12"/>
      <c r="E74" s="12"/>
      <c r="F74" s="12"/>
      <c r="G74" s="12"/>
      <c r="H74" s="12"/>
      <c r="I74" s="12"/>
    </row>
    <row r="75" customFormat="false" ht="15" hidden="false" customHeight="false" outlineLevel="0" collapsed="false">
      <c r="A75" s="6" t="s">
        <v>118</v>
      </c>
      <c r="B75" s="12"/>
      <c r="C75" s="12"/>
      <c r="D75" s="12"/>
      <c r="E75" s="12"/>
      <c r="F75" s="12"/>
      <c r="G75" s="12"/>
      <c r="H75" s="12"/>
      <c r="I75" s="12"/>
    </row>
    <row r="76" customFormat="false" ht="23.85" hidden="false" customHeight="false" outlineLevel="0" collapsed="false">
      <c r="A76" s="6" t="s">
        <v>135</v>
      </c>
      <c r="B76" s="12"/>
      <c r="C76" s="12"/>
      <c r="D76" s="12"/>
      <c r="E76" s="12"/>
      <c r="F76" s="12"/>
      <c r="G76" s="12"/>
      <c r="H76" s="12"/>
      <c r="I76" s="12"/>
    </row>
    <row r="78" customFormat="false" ht="24" hidden="false" customHeight="true" outlineLevel="0" collapsed="false">
      <c r="A78" s="3" t="s">
        <v>136</v>
      </c>
      <c r="B78" s="3"/>
      <c r="C78" s="3"/>
      <c r="D78" s="3"/>
      <c r="E78" s="3"/>
      <c r="F78" s="3"/>
      <c r="G78" s="3"/>
      <c r="H78" s="3"/>
      <c r="I78" s="3"/>
    </row>
    <row r="79" customFormat="false" ht="30" hidden="false" customHeight="true" outlineLevel="0" collapsed="false">
      <c r="A79" s="5" t="s">
        <v>137</v>
      </c>
      <c r="B79" s="5" t="s">
        <v>138</v>
      </c>
      <c r="C79" s="5" t="s">
        <v>139</v>
      </c>
      <c r="D79" s="5" t="s">
        <v>140</v>
      </c>
      <c r="E79" s="5" t="s">
        <v>141</v>
      </c>
      <c r="F79" s="5" t="s">
        <v>142</v>
      </c>
      <c r="G79" s="5" t="s">
        <v>143</v>
      </c>
      <c r="H79" s="5" t="s">
        <v>144</v>
      </c>
      <c r="I79" s="5" t="s">
        <v>48</v>
      </c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  <c r="I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12"/>
      <c r="I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  <c r="I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12"/>
      <c r="I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  <c r="I87" s="12"/>
    </row>
    <row r="89" customFormat="false" ht="57.45" hidden="false" customHeight="false" outlineLevel="0" collapsed="false">
      <c r="A89" s="7" t="s">
        <v>145</v>
      </c>
      <c r="B89" s="12"/>
      <c r="C89" s="12"/>
      <c r="D89" s="12"/>
      <c r="E89" s="12"/>
      <c r="F89" s="12"/>
      <c r="G89" s="12"/>
      <c r="H89" s="12"/>
      <c r="I89" s="12"/>
    </row>
    <row r="90" customFormat="false" ht="46.25" hidden="false" customHeight="false" outlineLevel="0" collapsed="false">
      <c r="A90" s="7" t="s">
        <v>146</v>
      </c>
      <c r="B90" s="6"/>
      <c r="C90" s="6"/>
      <c r="D90" s="6"/>
      <c r="E90" s="6"/>
      <c r="F90" s="6"/>
      <c r="G90" s="6"/>
      <c r="H90" s="6"/>
      <c r="I90" s="6"/>
    </row>
    <row r="91" customFormat="false" ht="46.25" hidden="false" customHeight="false" outlineLevel="0" collapsed="false">
      <c r="A91" s="7" t="s">
        <v>147</v>
      </c>
      <c r="B91" s="6"/>
      <c r="C91" s="6"/>
      <c r="D91" s="6"/>
      <c r="E91" s="6"/>
      <c r="F91" s="6"/>
      <c r="G91" s="6"/>
      <c r="H91" s="6"/>
      <c r="I91" s="6"/>
    </row>
    <row r="93" customFormat="false" ht="24" hidden="false" customHeight="true" outlineLevel="0" collapsed="false">
      <c r="A93" s="3" t="s">
        <v>148</v>
      </c>
      <c r="B93" s="3"/>
      <c r="C93" s="3"/>
      <c r="D93" s="3"/>
      <c r="E93" s="3"/>
      <c r="F93" s="3"/>
      <c r="G93" s="3"/>
      <c r="H93" s="3"/>
      <c r="I93" s="3"/>
    </row>
    <row r="94" customFormat="false" ht="30" hidden="false" customHeight="true" outlineLevel="0" collapsed="false">
      <c r="A94" s="5" t="s">
        <v>149</v>
      </c>
      <c r="B94" s="5" t="s">
        <v>150</v>
      </c>
      <c r="C94" s="5" t="s">
        <v>151</v>
      </c>
      <c r="D94" s="5" t="s">
        <v>152</v>
      </c>
      <c r="E94" s="5" t="s">
        <v>153</v>
      </c>
      <c r="F94" s="5" t="s">
        <v>48</v>
      </c>
      <c r="G94" s="5" t="s">
        <v>144</v>
      </c>
      <c r="H94" s="5"/>
      <c r="I94" s="5"/>
    </row>
    <row r="95" customFormat="false" ht="46.25" hidden="false" customHeight="false" outlineLevel="0" collapsed="false">
      <c r="A95" s="6" t="s">
        <v>154</v>
      </c>
      <c r="B95" s="12"/>
      <c r="C95" s="12"/>
      <c r="D95" s="12"/>
      <c r="E95" s="6"/>
      <c r="F95" s="12"/>
      <c r="G95" s="12"/>
      <c r="H95" s="6"/>
      <c r="I95" s="6"/>
    </row>
    <row r="96" customFormat="false" ht="23.85" hidden="false" customHeight="false" outlineLevel="0" collapsed="false">
      <c r="A96" s="6" t="s">
        <v>155</v>
      </c>
      <c r="B96" s="12"/>
      <c r="C96" s="12"/>
      <c r="D96" s="12"/>
      <c r="E96" s="6"/>
      <c r="F96" s="12"/>
      <c r="G96" s="12"/>
      <c r="H96" s="6"/>
      <c r="I96" s="6"/>
    </row>
    <row r="97" customFormat="false" ht="23.85" hidden="false" customHeight="false" outlineLevel="0" collapsed="false">
      <c r="A97" s="6" t="s">
        <v>156</v>
      </c>
      <c r="B97" s="12"/>
      <c r="C97" s="12"/>
      <c r="D97" s="12"/>
      <c r="E97" s="6"/>
      <c r="F97" s="12"/>
      <c r="G97" s="12"/>
      <c r="H97" s="6"/>
      <c r="I97" s="6"/>
    </row>
    <row r="98" customFormat="false" ht="23.85" hidden="false" customHeight="false" outlineLevel="0" collapsed="false">
      <c r="A98" s="6" t="s">
        <v>157</v>
      </c>
      <c r="B98" s="12"/>
      <c r="C98" s="12"/>
      <c r="D98" s="12"/>
      <c r="E98" s="6"/>
      <c r="F98" s="12"/>
      <c r="G98" s="12"/>
      <c r="H98" s="6"/>
      <c r="I98" s="6"/>
    </row>
    <row r="99" customFormat="false" ht="46.25" hidden="false" customHeight="false" outlineLevel="0" collapsed="false">
      <c r="A99" s="6" t="s">
        <v>158</v>
      </c>
      <c r="B99" s="12"/>
      <c r="C99" s="12"/>
      <c r="D99" s="12"/>
      <c r="E99" s="6"/>
      <c r="F99" s="12"/>
      <c r="G99" s="12"/>
      <c r="H99" s="6"/>
      <c r="I99" s="6"/>
    </row>
    <row r="100" customFormat="false" ht="23.85" hidden="false" customHeight="false" outlineLevel="0" collapsed="false">
      <c r="A100" s="6" t="s">
        <v>159</v>
      </c>
      <c r="B100" s="12"/>
      <c r="C100" s="12"/>
      <c r="D100" s="12"/>
      <c r="E100" s="6"/>
      <c r="F100" s="12"/>
      <c r="G100" s="12"/>
      <c r="H100" s="6"/>
      <c r="I100" s="6"/>
    </row>
    <row r="101" customFormat="false" ht="23.85" hidden="false" customHeight="false" outlineLevel="0" collapsed="false">
      <c r="A101" s="6" t="s">
        <v>160</v>
      </c>
      <c r="B101" s="12"/>
      <c r="C101" s="12"/>
      <c r="D101" s="12"/>
      <c r="E101" s="6"/>
      <c r="F101" s="12"/>
      <c r="G101" s="12"/>
      <c r="H101" s="6"/>
      <c r="I101" s="6"/>
    </row>
    <row r="102" customFormat="false" ht="23.85" hidden="false" customHeight="false" outlineLevel="0" collapsed="false">
      <c r="A102" s="6" t="s">
        <v>161</v>
      </c>
      <c r="B102" s="12"/>
      <c r="C102" s="12"/>
      <c r="D102" s="12"/>
      <c r="E102" s="6"/>
      <c r="F102" s="12"/>
      <c r="G102" s="12"/>
      <c r="H102" s="6"/>
      <c r="I102" s="6"/>
    </row>
    <row r="104" customFormat="false" ht="24" hidden="false" customHeight="true" outlineLevel="0" collapsed="false">
      <c r="A104" s="3" t="s">
        <v>162</v>
      </c>
      <c r="B104" s="3"/>
      <c r="C104" s="3"/>
      <c r="D104" s="3"/>
      <c r="E104" s="3"/>
      <c r="F104" s="3"/>
      <c r="G104" s="3"/>
      <c r="H104" s="3"/>
      <c r="I104" s="3"/>
    </row>
    <row r="105" customFormat="false" ht="30" hidden="false" customHeight="true" outlineLevel="0" collapsed="false">
      <c r="A105" s="5" t="s">
        <v>42</v>
      </c>
      <c r="B105" s="5" t="s">
        <v>163</v>
      </c>
      <c r="C105" s="5" t="s">
        <v>18</v>
      </c>
      <c r="D105" s="5" t="s">
        <v>164</v>
      </c>
      <c r="E105" s="5" t="s">
        <v>165</v>
      </c>
      <c r="F105" s="5" t="s">
        <v>166</v>
      </c>
      <c r="G105" s="5"/>
      <c r="H105" s="5"/>
      <c r="I105" s="5"/>
    </row>
    <row r="106" customFormat="false" ht="15" hidden="false" customHeight="false" outlineLevel="0" collapsed="false">
      <c r="A106" s="6" t="s">
        <v>167</v>
      </c>
      <c r="B106" s="14" t="n">
        <f aca="false">COUNTIF(F31:F41,"&gt;0")</f>
        <v>0</v>
      </c>
      <c r="C106" s="14" t="n">
        <f aca="false">COUNTIFS(F31:F41,"&gt;=15")</f>
        <v>0</v>
      </c>
      <c r="D106" s="14" t="n">
        <f aca="false">COUNTIFS(F31:F41,"&gt;=8",F31:F41,"&lt;15")</f>
        <v>0</v>
      </c>
      <c r="E106" s="14" t="n">
        <f aca="false">COUNTIFS(F31:F41,"&gt;=5",F31:F41,"&lt;8")</f>
        <v>0</v>
      </c>
      <c r="F106" s="14" t="n">
        <f aca="false">COUNTIFS(F31:F41,"&gt;=1",F31:F41,"&lt;5")</f>
        <v>0</v>
      </c>
      <c r="G106" s="6"/>
      <c r="H106" s="6"/>
      <c r="I106" s="6"/>
    </row>
    <row r="107" customFormat="false" ht="15" hidden="false" customHeight="false" outlineLevel="0" collapsed="false">
      <c r="A107" s="6" t="s">
        <v>168</v>
      </c>
      <c r="B107" s="14" t="n">
        <f aca="false">COUNTIF(F45:F55,"&gt;0")</f>
        <v>0</v>
      </c>
      <c r="C107" s="14" t="n">
        <f aca="false">COUNTIFS(F45:F55,"&gt;=15")</f>
        <v>0</v>
      </c>
      <c r="D107" s="14" t="n">
        <f aca="false">COUNTIFS(F45:F55,"&gt;=8",F45:F55,"&lt;15")</f>
        <v>0</v>
      </c>
      <c r="E107" s="14" t="n">
        <f aca="false">COUNTIFS(F45:F55,"&gt;=5",F45:F55,"&lt;8")</f>
        <v>0</v>
      </c>
      <c r="F107" s="14" t="n">
        <f aca="false">COUNTIFS(F45:F55,"&gt;=1",F45:F55,"&lt;5")</f>
        <v>0</v>
      </c>
      <c r="G107" s="6"/>
      <c r="H107" s="6"/>
      <c r="I107" s="6"/>
    </row>
    <row r="108" customFormat="false" ht="23.85" hidden="false" customHeight="false" outlineLevel="0" collapsed="false">
      <c r="A108" s="6" t="s">
        <v>169</v>
      </c>
      <c r="B108" s="14" t="n">
        <f aca="false">COUNTIF(F59:F67,"&gt;0")</f>
        <v>0</v>
      </c>
      <c r="C108" s="14" t="n">
        <f aca="false">COUNTIFS(F59:F67,"&gt;=15")</f>
        <v>0</v>
      </c>
      <c r="D108" s="14" t="n">
        <f aca="false">COUNTIFS(F59:F67,"&gt;=8",F59:F67,"&lt;15")</f>
        <v>0</v>
      </c>
      <c r="E108" s="14" t="n">
        <f aca="false">COUNTIFS(F59:F67,"&gt;=5",F59:F67,"&lt;8")</f>
        <v>0</v>
      </c>
      <c r="F108" s="14" t="n">
        <f aca="false">COUNTIFS(F59:F67,"&gt;=1",F59:F67,"&lt;5")</f>
        <v>0</v>
      </c>
      <c r="G108" s="6"/>
      <c r="H108" s="6"/>
      <c r="I108" s="6"/>
    </row>
    <row r="109" customFormat="false" ht="15" hidden="false" customHeight="false" outlineLevel="0" collapsed="false">
      <c r="A109" s="15" t="s">
        <v>170</v>
      </c>
      <c r="B109" s="16" t="n">
        <f aca="false">SUM(B106:B108)</f>
        <v>0</v>
      </c>
      <c r="C109" s="16" t="n">
        <f aca="false">SUM(C106:C108)</f>
        <v>0</v>
      </c>
      <c r="D109" s="16" t="n">
        <f aca="false">SUM(D106:D108)</f>
        <v>0</v>
      </c>
      <c r="E109" s="16" t="n">
        <f aca="false">SUM(E106:E108)</f>
        <v>0</v>
      </c>
      <c r="F109" s="16" t="n">
        <f aca="false">SUM(F106:F108)</f>
        <v>0</v>
      </c>
      <c r="G109" s="15"/>
      <c r="H109" s="15"/>
      <c r="I109" s="15"/>
    </row>
    <row r="111" customFormat="false" ht="35.05" hidden="false" customHeight="false" outlineLevel="0" collapsed="false">
      <c r="A111" s="17" t="s">
        <v>171</v>
      </c>
      <c r="B111" s="17"/>
      <c r="C111" s="17"/>
      <c r="D111" s="17"/>
      <c r="E111" s="17"/>
      <c r="F111" s="17"/>
      <c r="G111" s="17"/>
      <c r="H111" s="17"/>
      <c r="I111" s="17"/>
    </row>
    <row r="112" customFormat="false" ht="23.85" hidden="false" customHeight="false" outlineLevel="0" collapsed="false">
      <c r="A112" s="17" t="s">
        <v>172</v>
      </c>
      <c r="B112" s="17"/>
      <c r="C112" s="17"/>
      <c r="D112" s="17"/>
      <c r="E112" s="17"/>
      <c r="F112" s="17"/>
      <c r="G112" s="17"/>
      <c r="H112" s="17"/>
      <c r="I112" s="17"/>
    </row>
    <row r="114" customFormat="false" ht="15" hidden="false" customHeight="false" outlineLevel="0" collapsed="false">
      <c r="A114" s="18" t="s">
        <v>173</v>
      </c>
      <c r="B114" s="18"/>
      <c r="C114" s="18"/>
      <c r="D114" s="18"/>
      <c r="E114" s="18"/>
      <c r="F114" s="18"/>
      <c r="G114" s="18"/>
      <c r="H114" s="18"/>
      <c r="I114" s="18"/>
    </row>
  </sheetData>
  <mergeCells count="14">
    <mergeCell ref="A1:I1"/>
    <mergeCell ref="A2:I2"/>
    <mergeCell ref="A4:I4"/>
    <mergeCell ref="A5:I5"/>
    <mergeCell ref="A13:I13"/>
    <mergeCell ref="A21:I21"/>
    <mergeCell ref="A29:I29"/>
    <mergeCell ref="A43:I43"/>
    <mergeCell ref="A57:I57"/>
    <mergeCell ref="A69:I69"/>
    <mergeCell ref="A78:I78"/>
    <mergeCell ref="A93:I93"/>
    <mergeCell ref="A104:I104"/>
    <mergeCell ref="A114:I114"/>
  </mergeCells>
  <dataValidations count="16">
    <dataValidation allowBlank="true" error="Enter a whole number between 1 and 5" errorStyle="stop" errorTitle="Invalid score" operator="between" showDropDown="false" showErrorMessage="false" showInputMessage="false" sqref="D31:E41" type="whole">
      <formula1>1</formula1>
      <formula2>5</formula2>
    </dataValidation>
    <dataValidation allowBlank="true" errorStyle="stop" operator="between" showDropDown="false" showErrorMessage="false" showInputMessage="false" sqref="H31:H41" type="list">
      <formula1>"Low,Medium,High,Critical"</formula1>
      <formula2>0</formula2>
    </dataValidation>
    <dataValidation allowBlank="true" error="Enter a whole number between 1 and 5" errorStyle="stop" errorTitle="Invalid score" operator="between" showDropDown="false" showErrorMessage="false" showInputMessage="false" sqref="D45:E55" type="whole">
      <formula1>1</formula1>
      <formula2>5</formula2>
    </dataValidation>
    <dataValidation allowBlank="true" errorStyle="stop" operator="between" showDropDown="false" showErrorMessage="false" showInputMessage="false" sqref="H45:H55" type="list">
      <formula1>"Low,Medium,High,Critical"</formula1>
      <formula2>0</formula2>
    </dataValidation>
    <dataValidation allowBlank="true" error="Enter a whole number between 1 and 5" errorStyle="stop" errorTitle="Invalid score" operator="between" showDropDown="false" showErrorMessage="false" showInputMessage="false" sqref="D59:E67" type="whole">
      <formula1>1</formula1>
      <formula2>5</formula2>
    </dataValidation>
    <dataValidation allowBlank="true" errorStyle="stop" operator="between" showDropDown="false" showErrorMessage="false" showInputMessage="false" sqref="H59:H67" type="list">
      <formula1>"Low,Medium,High,Critical"</formula1>
      <formula2>0</formula2>
    </dataValidation>
    <dataValidation allowBlank="true" errorStyle="stop" operator="between" showDropDown="false" showErrorMessage="false" showInputMessage="false" sqref="B71:B76" type="list">
      <formula1>"Yes,No"</formula1>
      <formula2>0</formula2>
    </dataValidation>
    <dataValidation allowBlank="true" errorStyle="stop" operator="between" showDropDown="false" showErrorMessage="false" showInputMessage="false" sqref="C71:C76" type="list">
      <formula1>"Compliant,Partial,Non-compliant"</formula1>
      <formula2>0</formula2>
    </dataValidation>
    <dataValidation allowBlank="true" errorStyle="stop" operator="between" showDropDown="false" showErrorMessage="false" showInputMessage="false" sqref="E71:G76" type="list">
      <formula1>"Yes,No,Partial"</formula1>
      <formula2>0</formula2>
    </dataValidation>
    <dataValidation allowBlank="true" errorStyle="stop" operator="between" showDropDown="false" showErrorMessage="false" showInputMessage="false" sqref="B80:B87" type="list">
      <formula1>"Public,Internal,Confidential,Restricted"</formula1>
      <formula2>0</formula2>
    </dataValidation>
    <dataValidation allowBlank="true" errorStyle="stop" operator="between" showDropDown="false" showErrorMessage="false" showInputMessage="false" sqref="F80:F87" type="list">
      <formula1>"Yes,No"</formula1>
      <formula2>0</formula2>
    </dataValidation>
    <dataValidation allowBlank="true" errorStyle="stop" operator="between" showDropDown="false" showErrorMessage="false" showInputMessage="false" sqref="B90" type="list">
      <formula1>"Yes,No"</formula1>
      <formula2>0</formula2>
    </dataValidation>
    <dataValidation allowBlank="true" errorStyle="stop" operator="between" showDropDown="false" showErrorMessage="false" showInputMessage="false" sqref="B91" type="list">
      <formula1>"Yes,No"</formula1>
      <formula2>0</formula2>
    </dataValidation>
    <dataValidation allowBlank="true" errorStyle="stop" operator="between" showDropDown="false" showErrorMessage="false" showInputMessage="false" sqref="E95:E102" type="list">
      <formula1>"Critical,High,Medium,Low"</formula1>
      <formula2>0</formula2>
    </dataValidation>
    <dataValidation allowBlank="true" errorStyle="stop" operator="between" showDropDown="false" showErrorMessage="false" showInputMessage="false" sqref="B111" type="list">
      <formula1>"Critical,High,Medium,Low"</formula1>
      <formula2>0</formula2>
    </dataValidation>
    <dataValidation allowBlank="true" errorStyle="stop" operator="between" showDropDown="false" showErrorMessage="false" showInputMessage="false" sqref="B112" type="list">
      <formula1>"Proceed,Proceed with mitigations,Defer until mitigated,Do not proceed"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2026-04-25T12:28:31Z</dcterms:created>
  <dc:creator>openpyxl</dc:creator>
  <dc:description/>
  <dc:language>en-US</dc:language>
  <cp:lastModifiedBy/>
  <dcterms:modified xsi:type="dcterms:W3CDTF">2026-04-25T12:28:31Z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