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7500" tabRatio="851" firstSheet="1" activeTab="1" autoFilterDateGrouping="1"/>
  </bookViews>
  <sheets>
    <sheet xmlns:r="http://schemas.openxmlformats.org/officeDocument/2006/relationships" name="Instructions" sheetId="1" state="visible" r:id="rId1"/>
    <sheet xmlns:r="http://schemas.openxmlformats.org/officeDocument/2006/relationships" name="Scoring and Charts" sheetId="2" state="visible" r:id="rId2"/>
    <sheet xmlns:r="http://schemas.openxmlformats.org/officeDocument/2006/relationships" name="Platform" sheetId="3" state="visible" r:id="rId3"/>
    <sheet xmlns:r="http://schemas.openxmlformats.org/officeDocument/2006/relationships" name="Security" sheetId="4" state="visible" r:id="rId4"/>
    <sheet xmlns:r="http://schemas.openxmlformats.org/officeDocument/2006/relationships" name="Ways of Working" sheetId="5" state="visible" r:id="rId5"/>
    <sheet xmlns:r="http://schemas.openxmlformats.org/officeDocument/2006/relationships" name="Operations" sheetId="6" state="visible" r:id="rId6"/>
    <sheet xmlns:r="http://schemas.openxmlformats.org/officeDocument/2006/relationships" name="Cost Management" sheetId="7" state="visible" r:id="rId7"/>
    <sheet xmlns:r="http://schemas.openxmlformats.org/officeDocument/2006/relationships" name="Data Management" sheetId="8" state="visible" r:id="rId8"/>
    <sheet xmlns:r="http://schemas.openxmlformats.org/officeDocument/2006/relationships" name="Gap Register" sheetId="9" state="visible" r:id="rId9"/>
    <sheet xmlns:r="http://schemas.openxmlformats.org/officeDocument/2006/relationships" name="Summary Dashboard" sheetId="10" state="visible" r:id="rId10"/>
    <sheet xmlns:r="http://schemas.openxmlformats.org/officeDocument/2006/relationships" name="CAF-WAF-GAF Alignment" sheetId="11" state="visible" r:id="rId11"/>
  </sheets>
  <definedNames>
    <definedName name="cat1_opt_eval">#REF!</definedName>
    <definedName name="cat1_opt_score">#REF!</definedName>
    <definedName name="cat1_pref_eval">#REF!</definedName>
    <definedName name="cat1_pref_score">#REF!</definedName>
    <definedName name="cat1_req_eval">#REF!</definedName>
    <definedName name="cat1_req_score">#REF!</definedName>
    <definedName name="cat10_opt_eval">#REF!</definedName>
    <definedName name="cat10_opt_score">#REF!</definedName>
    <definedName name="cat10_pref_eval">#REF!</definedName>
    <definedName name="cat10_pref_score">#REF!</definedName>
    <definedName name="cat10_req_eval">#REF!</definedName>
    <definedName name="cat10_req_score">#REF!</definedName>
    <definedName name="cat2_opt_eval">#REF!</definedName>
    <definedName name="cat2_opt_score">#REF!</definedName>
    <definedName name="cat2_pref_eval">#REF!</definedName>
    <definedName name="cat2_pref_score">#REF!</definedName>
    <definedName name="cat2_req_eval">#REF!</definedName>
    <definedName name="cat2_req_score">#REF!</definedName>
    <definedName name="cat3_opt_eval">#REF!</definedName>
    <definedName name="cat3_opt_score">#REF!</definedName>
    <definedName name="cat3_pref_eval">#REF!</definedName>
    <definedName name="cat3_pref_score">#REF!</definedName>
    <definedName name="cat3_req_eval">#REF!</definedName>
    <definedName name="cat3_req_score">#REF!</definedName>
    <definedName name="cat4_opt_eval">#REF!</definedName>
    <definedName name="cat4_opt_score">#REF!</definedName>
    <definedName name="cat4_pref_eval">#REF!</definedName>
    <definedName name="cat4_pref_score">#REF!</definedName>
    <definedName name="cat4_req_eval">#REF!</definedName>
    <definedName name="cat4_req_score">#REF!</definedName>
    <definedName name="cat5_opt_eval">#REF!</definedName>
    <definedName name="cat5_opt_score">#REF!</definedName>
    <definedName name="cat5_pref_eval">#REF!</definedName>
    <definedName name="cat5_pref_score">#REF!</definedName>
    <definedName name="cat5_req_eval">#REF!</definedName>
    <definedName name="cat5_req_score">#REF!</definedName>
    <definedName name="cat6_opt_eval">#REF!</definedName>
    <definedName name="cat6_opt_score">#REF!</definedName>
    <definedName name="cat6_pref_eval">#REF!</definedName>
    <definedName name="cat6_pref_score">#REF!</definedName>
    <definedName name="cat6_req_eval">#REF!</definedName>
    <definedName name="cat6_req_score">#REF!</definedName>
    <definedName name="cat7_opt_eval">#REF!</definedName>
    <definedName name="cat7_opt_score">#REF!</definedName>
    <definedName name="cat7_pref_eval">#REF!</definedName>
    <definedName name="cat7_pref_score">#REF!</definedName>
    <definedName name="cat7_req_eval">#REF!</definedName>
    <definedName name="cat7_req_score">#REF!</definedName>
    <definedName name="cat8_opt_eval">#REF!</definedName>
    <definedName name="cat8_opt_score">#REF!</definedName>
    <definedName name="cat8_pref_eval">#REF!</definedName>
    <definedName name="cat8_pref_score">#REF!</definedName>
    <definedName name="cat8_req_eval">#REF!</definedName>
    <definedName name="cat8_req_score">#REF!</definedName>
    <definedName name="cat9_opt_eval">#REF!</definedName>
    <definedName name="cat9_opt_score">#REF!</definedName>
    <definedName name="cat9_pref_eval">#REF!</definedName>
    <definedName name="cat9_pref_score">#REF!</definedName>
    <definedName name="cat9_req_eval">#REF!</definedName>
    <definedName name="cat9_req_score">#REF!</definedName>
    <definedName name="cat1_opt_eval" localSheetId="2">Platform!#REF!</definedName>
    <definedName name="cat1_opt_score" localSheetId="2">Platform!#REF!</definedName>
    <definedName name="cat1_pref_eval" localSheetId="2">Platform!#REF!</definedName>
    <definedName name="cat1_pref_score" localSheetId="2">Platform!#REF!</definedName>
    <definedName name="cat1_req_eval" localSheetId="2">Platform!#REF!</definedName>
    <definedName name="cat1_req_score" localSheetId="2">Platform!#REF!</definedName>
    <definedName name="cat1_opt_eval" localSheetId="3">Security!#REF!</definedName>
    <definedName name="cat1_opt_score" localSheetId="3">Security!#REF!</definedName>
    <definedName name="cat1_pref_eval" localSheetId="3">Security!#REF!</definedName>
    <definedName name="cat1_pref_score" localSheetId="3">Security!#REF!</definedName>
    <definedName name="cat1_req_eval" localSheetId="3">Security!#REF!</definedName>
    <definedName name="cat1_req_score" localSheetId="3">Security!#REF!</definedName>
    <definedName name="cat1_opt_eval" localSheetId="4">'Ways of Working'!#REF!</definedName>
    <definedName name="cat1_opt_score" localSheetId="4">'Ways of Working'!#REF!</definedName>
    <definedName name="cat1_pref_eval" localSheetId="4">'Ways of Working'!#REF!</definedName>
    <definedName name="cat1_pref_score" localSheetId="4">'Ways of Working'!#REF!</definedName>
    <definedName name="cat1_req_eval" localSheetId="4">'Ways of Working'!#REF!</definedName>
    <definedName name="cat1_req_score" localSheetId="4">'Ways of Working'!#REF!</definedName>
    <definedName name="cat1_opt_eval" localSheetId="5">Operations!#REF!</definedName>
    <definedName name="cat1_opt_score" localSheetId="5">Operations!#REF!</definedName>
    <definedName name="cat1_pref_eval" localSheetId="5">Operations!#REF!</definedName>
    <definedName name="cat1_pref_score" localSheetId="5">Operations!#REF!</definedName>
    <definedName name="cat1_req_eval" localSheetId="5">Operations!#REF!</definedName>
    <definedName name="cat1_req_score" localSheetId="5">Operations!#REF!</definedName>
    <definedName name="cat1_opt_eval" localSheetId="6">'Cost Management'!#REF!</definedName>
    <definedName name="cat1_opt_score" localSheetId="6">'Cost Management'!#REF!</definedName>
    <definedName name="cat1_pref_eval" localSheetId="6">'Cost Management'!#REF!</definedName>
    <definedName name="cat1_pref_score" localSheetId="6">'Cost Management'!#REF!</definedName>
    <definedName name="cat1_req_eval" localSheetId="6">'Cost Management'!#REF!</definedName>
    <definedName name="cat1_req_score" localSheetId="6">'Cost Management'!#REF!</definedName>
    <definedName name="cat1_opt_eval" localSheetId="7">'Data Management'!#REF!</definedName>
    <definedName name="cat1_opt_score" localSheetId="7">'Data Management'!#REF!</definedName>
    <definedName name="cat1_pref_eval" localSheetId="7">'Data Management'!#REF!</definedName>
    <definedName name="cat1_pref_score" localSheetId="7">'Data Management'!#REF!</definedName>
    <definedName name="cat1_req_eval" localSheetId="7">'Data Management'!#REF!</definedName>
    <definedName name="cat1_req_score" localSheetId="7">'Data Management'!#REF!</definedName>
  </definedNames>
  <calcPr calcId="191028" fullCalcOnLoad="1"/>
</workbook>
</file>

<file path=xl/styles.xml><?xml version="1.0" encoding="utf-8"?>
<styleSheet xmlns="http://schemas.openxmlformats.org/spreadsheetml/2006/main">
  <numFmts count="0"/>
  <fonts count="21">
    <font>
      <name val="Arial"/>
      <sz val="10"/>
    </font>
    <font>
      <name val="Arial"/>
      <family val="2"/>
      <sz val="10"/>
    </font>
    <font>
      <name val="Arial"/>
      <family val="2"/>
      <color indexed="8"/>
      <sz val="10"/>
    </font>
    <font>
      <name val="Arial"/>
      <family val="2"/>
      <sz val="12"/>
    </font>
    <font>
      <name val="Arial"/>
      <family val="2"/>
      <b val="1"/>
      <sz val="10"/>
    </font>
    <font>
      <name val="Calibri"/>
      <family val="2"/>
      <color theme="1"/>
      <sz val="11"/>
      <scheme val="minor"/>
    </font>
    <font>
      <name val="Calibri"/>
      <family val="2"/>
      <color theme="10"/>
      <sz val="11"/>
      <u val="single"/>
    </font>
    <font>
      <name val="Arial"/>
      <family val="2"/>
      <color theme="1"/>
      <sz val="12"/>
    </font>
    <font>
      <name val="Arial"/>
      <family val="2"/>
      <b val="1"/>
      <color indexed="9"/>
      <sz val="12"/>
    </font>
    <font>
      <name val="Arial"/>
      <family val="2"/>
      <b val="1"/>
      <color indexed="9"/>
      <sz val="14"/>
    </font>
    <font>
      <name val="Arial"/>
      <family val="2"/>
      <b val="1"/>
      <color indexed="9"/>
      <sz val="11"/>
    </font>
    <font>
      <name val="Arial"/>
      <family val="2"/>
      <b val="1"/>
      <sz val="12"/>
    </font>
    <font>
      <name val="Arial"/>
      <family val="2"/>
      <sz val="20"/>
    </font>
    <font>
      <name val="Arial"/>
      <family val="2"/>
      <b val="1"/>
      <color indexed="9"/>
      <sz val="16"/>
    </font>
    <font>
      <name val="Calibri"/>
      <b val="1"/>
      <color rgb="00FFFFFF"/>
      <sz val="11"/>
    </font>
    <font>
      <name val="Calibri"/>
      <b val="1"/>
      <color rgb="00FFFFFF"/>
      <sz val="10"/>
    </font>
    <font>
      <name val="Calibri"/>
      <sz val="10"/>
    </font>
    <font>
      <name val="Calibri"/>
      <color rgb="00888888"/>
      <sz val="10"/>
    </font>
    <font>
      <name val="Calibri"/>
      <i val="1"/>
      <color rgb="00888888"/>
      <sz val="9"/>
    </font>
    <font>
      <name val="Calibri"/>
      <b val="1"/>
      <sz val="10"/>
    </font>
    <font>
      <name val="Calibri"/>
      <i val="1"/>
      <sz val="10"/>
    </font>
  </fonts>
  <fills count="10">
    <fill>
      <patternFill/>
    </fill>
    <fill>
      <patternFill patternType="gray125"/>
    </fill>
    <fill>
      <patternFill patternType="solid">
        <fgColor theme="4"/>
        <bgColor indexed="64"/>
      </patternFill>
    </fill>
    <fill>
      <patternFill patternType="solid">
        <fgColor theme="4" tint="0.7999816888943144"/>
        <bgColor theme="4" tint="0.7999816888943144"/>
      </patternFill>
    </fill>
    <fill>
      <patternFill patternType="solid">
        <fgColor theme="3" tint="0.7999816888943144"/>
        <bgColor indexed="64"/>
      </patternFill>
    </fill>
    <fill>
      <patternFill patternType="solid">
        <fgColor rgb="001A1F36"/>
      </patternFill>
    </fill>
    <fill>
      <patternFill patternType="solid">
        <fgColor rgb="00E31C3D"/>
      </patternFill>
    </fill>
    <fill>
      <patternFill patternType="solid">
        <fgColor rgb="00F2F2F2"/>
      </patternFill>
    </fill>
    <fill>
      <patternFill patternType="solid">
        <fgColor rgb="00FFF0E0"/>
      </patternFill>
    </fill>
    <fill>
      <patternFill patternType="solid">
        <fgColor rgb="00FFF3CD"/>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5">
    <xf numFmtId="0" fontId="0" fillId="0" borderId="0"/>
    <xf numFmtId="0" fontId="6" fillId="0" borderId="0" applyAlignment="1" applyProtection="1">
      <alignment vertical="top"/>
      <protection locked="0" hidden="0"/>
    </xf>
    <xf numFmtId="0" fontId="2" fillId="0" borderId="0"/>
    <xf numFmtId="0" fontId="1" fillId="0" borderId="0"/>
    <xf numFmtId="0" fontId="5" fillId="0" borderId="0"/>
  </cellStyleXfs>
  <cellXfs count="52">
    <xf numFmtId="0" fontId="0" fillId="0" borderId="0" pivotButton="0" quotePrefix="0" xfId="0"/>
    <xf numFmtId="0" fontId="1" fillId="0" borderId="0" applyAlignment="1" pivotButton="0" quotePrefix="0" xfId="0">
      <alignment vertical="top" wrapText="1"/>
    </xf>
    <xf numFmtId="0" fontId="3" fillId="0" borderId="0" pivotButton="0" quotePrefix="0" xfId="0"/>
    <xf numFmtId="0" fontId="4" fillId="0" borderId="0" applyAlignment="1" pivotButton="0" quotePrefix="0" xfId="0">
      <alignment horizontal="righ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xf>
    <xf numFmtId="0" fontId="9" fillId="2" borderId="1" applyAlignment="1" pivotButton="0" quotePrefix="0" xfId="0">
      <alignment vertical="top"/>
    </xf>
    <xf numFmtId="0" fontId="10" fillId="2" borderId="1" applyAlignment="1" pivotButton="0" quotePrefix="0" xfId="0">
      <alignment horizontal="center" vertical="top"/>
    </xf>
    <xf numFmtId="0" fontId="10" fillId="2" borderId="1" applyAlignment="1" pivotButton="0" quotePrefix="0" xfId="0">
      <alignment horizontal="center" vertical="top" wrapText="1"/>
    </xf>
    <xf numFmtId="0" fontId="10" fillId="2" borderId="1" applyAlignment="1" pivotButton="0" quotePrefix="0" xfId="0">
      <alignment horizontal="right" vertical="top"/>
    </xf>
    <xf numFmtId="0" fontId="1" fillId="0" borderId="0" applyAlignment="1" pivotButton="0" quotePrefix="0" xfId="0">
      <alignment horizontal="right" vertical="top" wrapText="1"/>
    </xf>
    <xf numFmtId="0" fontId="7" fillId="3" borderId="1" applyAlignment="1" pivotButton="0" quotePrefix="0" xfId="0">
      <alignment horizontal="left" vertical="center"/>
    </xf>
    <xf numFmtId="0" fontId="7" fillId="0" borderId="1" applyAlignment="1" pivotButton="0" quotePrefix="0" xfId="0">
      <alignment horizontal="left" vertical="center"/>
    </xf>
    <xf numFmtId="0" fontId="3" fillId="0" borderId="1" applyAlignment="1" pivotButton="0" quotePrefix="0" xfId="0">
      <alignment horizontal="center"/>
    </xf>
    <xf numFmtId="2" fontId="0" fillId="0" borderId="0" applyAlignment="1" pivotButton="0" quotePrefix="0" xfId="0">
      <alignment vertical="top"/>
    </xf>
    <xf numFmtId="0" fontId="8" fillId="2" borderId="2" applyAlignment="1" pivotButton="0" quotePrefix="0" xfId="0">
      <alignment horizontal="center"/>
    </xf>
    <xf numFmtId="2" fontId="7" fillId="0" borderId="1" applyAlignment="1" pivotButton="0" quotePrefix="0" xfId="0">
      <alignment horizontal="center" vertical="center"/>
    </xf>
    <xf numFmtId="2" fontId="7" fillId="3" borderId="1" applyAlignment="1" pivotButton="0" quotePrefix="0" xfId="0">
      <alignment horizontal="center" vertical="center"/>
    </xf>
    <xf numFmtId="0" fontId="3" fillId="0" borderId="0" applyAlignment="1" pivotButton="0" quotePrefix="0" xfId="0">
      <alignment vertical="top" wrapText="1"/>
    </xf>
    <xf numFmtId="0" fontId="11" fillId="4" borderId="0"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wrapText="1"/>
    </xf>
    <xf numFmtId="0" fontId="11" fillId="4" borderId="1" applyAlignment="1" pivotButton="0" quotePrefix="0" xfId="0">
      <alignment vertical="top" wrapText="1"/>
    </xf>
    <xf numFmtId="0" fontId="12" fillId="0" borderId="0" pivotButton="0" quotePrefix="0" xfId="0"/>
    <xf numFmtId="0" fontId="13" fillId="2" borderId="1" applyAlignment="1" pivotButton="0" quotePrefix="0" xfId="0">
      <alignment vertical="top"/>
    </xf>
    <xf numFmtId="0" fontId="0" fillId="0" borderId="0" applyAlignment="1" pivotButton="0" quotePrefix="0" xfId="0">
      <alignment horizontal="left" vertical="top" wrapText="1"/>
    </xf>
    <xf numFmtId="0" fontId="13" fillId="2"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13" fillId="2" borderId="3" applyAlignment="1" pivotButton="0" quotePrefix="0" xfId="0">
      <alignment horizontal="left" vertical="top" wrapText="1"/>
    </xf>
    <xf numFmtId="0" fontId="13" fillId="2" borderId="4" applyAlignment="1" pivotButton="0" quotePrefix="0" xfId="0">
      <alignment horizontal="left" vertical="top"/>
    </xf>
    <xf numFmtId="0" fontId="13" fillId="2" borderId="5" applyAlignment="1" pivotButton="0" quotePrefix="0" xfId="0">
      <alignment horizontal="left" vertical="top"/>
    </xf>
    <xf numFmtId="0" fontId="13" fillId="2" borderId="1" applyAlignment="1" pivotButton="0" quotePrefix="0" xfId="0">
      <alignment vertical="top" wrapText="1"/>
    </xf>
    <xf numFmtId="0" fontId="0" fillId="0" borderId="4" pivotButton="0" quotePrefix="0" xfId="0"/>
    <xf numFmtId="0" fontId="0" fillId="0" borderId="5" pivotButton="0" quotePrefix="0" xfId="0"/>
    <xf numFmtId="0" fontId="13" fillId="2" borderId="1" applyAlignment="1" pivotButton="0" quotePrefix="0" xfId="0">
      <alignment horizontal="left" vertical="top" wrapText="1"/>
    </xf>
    <xf numFmtId="0" fontId="14" fillId="5" borderId="0" applyAlignment="1" pivotButton="0" quotePrefix="0" xfId="0">
      <alignment horizontal="left" vertical="top" wrapText="1"/>
    </xf>
    <xf numFmtId="0" fontId="15" fillId="6" borderId="8" applyAlignment="1" pivotButton="0" quotePrefix="0" xfId="0">
      <alignment horizontal="center" vertical="center" wrapText="1"/>
    </xf>
    <xf numFmtId="0" fontId="16" fillId="0" borderId="8" applyAlignment="1" pivotButton="0" quotePrefix="0" xfId="0">
      <alignment vertical="top" wrapText="1"/>
    </xf>
    <xf numFmtId="0" fontId="15" fillId="6" borderId="8" applyAlignment="1" pivotButton="0" quotePrefix="0" xfId="0">
      <alignment vertical="top" wrapText="1"/>
    </xf>
    <xf numFmtId="0" fontId="16" fillId="7" borderId="8" applyAlignment="1" pivotButton="0" quotePrefix="0" xfId="0">
      <alignment vertical="top" wrapText="1"/>
    </xf>
    <xf numFmtId="0" fontId="16" fillId="8" borderId="8" applyAlignment="1" pivotButton="0" quotePrefix="0" xfId="0">
      <alignment vertical="top" wrapText="1"/>
    </xf>
    <xf numFmtId="0" fontId="16" fillId="0" borderId="8" pivotButton="0" quotePrefix="0" xfId="0"/>
    <xf numFmtId="0" fontId="17" fillId="9" borderId="8" applyAlignment="1" pivotButton="0" quotePrefix="0" xfId="0">
      <alignment horizontal="center" vertical="center" wrapText="1"/>
    </xf>
    <xf numFmtId="0" fontId="17" fillId="0" borderId="8" applyAlignment="1" pivotButton="0" quotePrefix="0" xfId="0">
      <alignment horizontal="center" vertical="center" wrapText="1"/>
    </xf>
    <xf numFmtId="0" fontId="18" fillId="0" borderId="8" pivotButton="0" quotePrefix="0" xfId="0"/>
    <xf numFmtId="0" fontId="16" fillId="7" borderId="8" pivotButton="0" quotePrefix="0" xfId="0"/>
    <xf numFmtId="0" fontId="17" fillId="7" borderId="8" applyAlignment="1" pivotButton="0" quotePrefix="0" xfId="0">
      <alignment horizontal="center" vertical="center" wrapText="1"/>
    </xf>
    <xf numFmtId="0" fontId="18" fillId="7" borderId="8" pivotButton="0" quotePrefix="0" xfId="0"/>
    <xf numFmtId="0" fontId="19" fillId="0" borderId="0" pivotButton="0" quotePrefix="0" xfId="0"/>
    <xf numFmtId="0" fontId="20" fillId="0" borderId="0" applyAlignment="1" pivotButton="0" quotePrefix="0" xfId="0">
      <alignment vertical="top" wrapText="1"/>
    </xf>
  </cellXfs>
  <cellStyles count="5">
    <cellStyle name="Normal" xfId="0" builtinId="0"/>
    <cellStyle name="Hyperlink 2" xfId="1"/>
    <cellStyle name="Normal 2" xfId="2"/>
    <cellStyle name="Normal 3" xfId="3"/>
    <cellStyle name="Normal 4"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lumMod val="65000"/>
                    <a:lumOff val="35000"/>
                  </a:schemeClr>
                </a:solidFill>
                <a:latin typeface="+mn-lt"/>
                <a:ea typeface="+mn-ea"/>
                <a:cs typeface="+mn-cs"/>
              </a:defRPr>
            </a:pPr>
            <a:r>
              <a:rPr lang="en-US" sz="2000" b="1">
                <a:solidFill>
                  <a:srgbClr val="FF0000"/>
                </a:solidFill>
              </a:rPr>
              <a:t>&lt;Client&gt;</a:t>
            </a:r>
          </a:p>
          <a:p xmlns:a="http://schemas.openxmlformats.org/drawingml/2006/main">
            <a:pPr>
              <a:defRPr sz="2000"/>
            </a:pPr>
            <a:r>
              <a:rPr lang="en-US" sz="2000" b="1"/>
              <a:t>Business Prioritiy vs</a:t>
            </a:r>
            <a:r>
              <a:rPr lang="en-US" sz="2000" b="1" baseline="0"/>
              <a:t xml:space="preserve"> Current State Alignment</a:t>
            </a:r>
            <a:endParaRPr lang="en-US" sz="2000" b="1"/>
          </a:p>
        </rich>
      </tx>
      <layout>
        <manualLayout>
          <xMode val="edge"/>
          <yMode val="edge"/>
          <wMode val="factor"/>
          <hMode val="factor"/>
          <x val="0.169771685426538"/>
          <y val="0.02835513582158045"/>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2327944107273124"/>
          <y val="0.1911920397825493"/>
          <w val="0.5626920560431379"/>
          <h val="0.6784214892502769"/>
        </manualLayout>
      </layout>
      <radarChart>
        <radarStyle val="marker"/>
        <varyColors val="0"/>
        <ser>
          <idx val="0"/>
          <order val="0"/>
          <tx>
            <strRef>
              <f>'Scoring and Charts'!$D$4:$D$5</f>
              <strCache>
                <ptCount val="2"/>
                <pt idx="0">
                  <v>Business Priority</v>
                </pt>
                <pt idx="1">
                  <v>Ranking</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2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strRef>
              <f>'Scoring and Charts'!$C$6:$C$11</f>
              <strCache>
                <ptCount val="6"/>
                <pt idx="0">
                  <v>Platform</v>
                </pt>
                <pt idx="1">
                  <v>Security</v>
                </pt>
                <pt idx="2">
                  <v>Ways of Working</v>
                </pt>
                <pt idx="3">
                  <v>Operations</v>
                </pt>
                <pt idx="4">
                  <v>Financial</v>
                </pt>
                <pt idx="5">
                  <v>Data Management</v>
                </pt>
              </strCache>
            </strRef>
          </cat>
          <val>
            <numRef>
              <f>'Scoring and Charts'!$D$6:$D$11</f>
              <numCache>
                <formatCode>0.00</formatCode>
                <ptCount val="6"/>
                <pt idx="0">
                  <v>7.8125</v>
                </pt>
                <pt idx="1">
                  <v>9</v>
                </pt>
                <pt idx="2">
                  <v>8.75</v>
                </pt>
                <pt idx="3">
                  <v>8.928571428571429</v>
                </pt>
                <pt idx="4">
                  <v>8.125</v>
                </pt>
                <pt idx="5">
                  <v>7.5</v>
                </pt>
              </numCache>
            </numRef>
          </val>
        </ser>
        <ser>
          <idx val="1"/>
          <order val="1"/>
          <tx>
            <strRef>
              <f>'Scoring and Charts'!$E$4:$E$5</f>
              <strCache>
                <ptCount val="2"/>
                <pt idx="0">
                  <v>Current State</v>
                </pt>
                <pt idx="1">
                  <v>Value</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2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strRef>
              <f>'Scoring and Charts'!$C$6:$C$11</f>
              <strCache>
                <ptCount val="6"/>
                <pt idx="0">
                  <v>Platform</v>
                </pt>
                <pt idx="1">
                  <v>Security</v>
                </pt>
                <pt idx="2">
                  <v>Ways of Working</v>
                </pt>
                <pt idx="3">
                  <v>Operations</v>
                </pt>
                <pt idx="4">
                  <v>Financial</v>
                </pt>
                <pt idx="5">
                  <v>Data Management</v>
                </pt>
              </strCache>
            </strRef>
          </cat>
          <val>
            <numRef>
              <f>'Scoring and Charts'!$E$6:$E$11</f>
              <numCache>
                <formatCode>0.00</formatCode>
                <ptCount val="6"/>
                <pt idx="0">
                  <v>1.333333333333333</v>
                </pt>
                <pt idx="1">
                  <v>4.615384615384616</v>
                </pt>
                <pt idx="2">
                  <v>1.428571428571428</v>
                </pt>
                <pt idx="3">
                  <v>2.857142857142857</v>
                </pt>
                <pt idx="4">
                  <v>4</v>
                </pt>
                <pt idx="5">
                  <v>3.888888888888889</v>
                </pt>
              </numCache>
            </numRef>
          </val>
        </ser>
        <dLbls>
          <showLegendKey val="0"/>
          <showVal val="0"/>
          <showCatName val="0"/>
          <showSerName val="0"/>
          <showPercent val="0"/>
          <showBubbleSize val="0"/>
        </dLbls>
        <axId val="752735247"/>
        <axId val="752735663"/>
      </radarChart>
      <catAx>
        <axId val="752735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mn-lt"/>
                <a:ea typeface="+mn-ea"/>
                <a:cs typeface="+mn-cs"/>
              </a:defRPr>
            </a:pPr>
            <a:r>
              <a:t/>
            </a:r>
            <a:endParaRPr lang="en-US"/>
          </a:p>
        </txPr>
        <crossAx val="752735663"/>
        <crosses val="autoZero"/>
        <auto val="1"/>
        <lblAlgn val="ctr"/>
        <lblOffset val="100"/>
        <noMultiLvlLbl val="0"/>
      </catAx>
      <valAx>
        <axId val="752735663"/>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crossAx val="752735247"/>
        <crosses val="autoZero"/>
        <crossBetween val="between"/>
      </valAx>
    </plotArea>
    <legend>
      <legendPos val="t"/>
      <legendEntry>
        <idx val="0"/>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mn-lt"/>
                <a:ea typeface="+mn-ea"/>
                <a:cs typeface="+mn-cs"/>
              </a:defRPr>
            </a:pPr>
            <a:r>
              <a:t/>
            </a:r>
            <a:endParaRPr lang="en-US"/>
          </a:p>
        </txPr>
      </legendEntry>
      <layout>
        <manualLayout>
          <xMode val="edge"/>
          <yMode val="edge"/>
          <wMode val="factor"/>
          <hMode val="factor"/>
          <x val="0.624835244462548"/>
          <y val="0.909106834660212"/>
          <w val="0.361582474110507"/>
          <h val="0.0760456832513951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noFill xmlns:a="http://schemas.openxmlformats.org/drawingml/2006/main"/>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lumMod val="65000"/>
                    <a:lumOff val="35000"/>
                  </a:schemeClr>
                </a:solidFill>
                <a:latin typeface="+mn-lt"/>
                <a:ea typeface="+mn-ea"/>
                <a:cs typeface="+mn-cs"/>
              </a:defRPr>
            </a:pPr>
            <a:r>
              <a:rPr lang="en-US" sz="2000"/>
              <a:t>Business Priority vs Current State Alignment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'Scoring and Charts'!$D$4:$D$5</f>
              <strCache>
                <ptCount val="2"/>
                <pt idx="0">
                  <v>Business Priority</v>
                </pt>
                <pt idx="1">
                  <v>Ranking</v>
                </pt>
              </strCache>
            </strRef>
          </tx>
          <spPr>
            <a:solidFill xmlns:a="http://schemas.openxmlformats.org/drawingml/2006/main">
              <a:schemeClr val="accent1"/>
            </a:solidFill>
            <a:ln xmlns:a="http://schemas.openxmlformats.org/drawingml/2006/main">
              <a:noFill/>
              <a:prstDash val="solid"/>
            </a:ln>
          </spPr>
          <invertIfNegative val="0"/>
          <cat>
            <strRef>
              <f>'Scoring and Charts'!$C$6:$C$11</f>
              <strCache>
                <ptCount val="6"/>
                <pt idx="0">
                  <v>Platform</v>
                </pt>
                <pt idx="1">
                  <v>Security</v>
                </pt>
                <pt idx="2">
                  <v>Ways of Working</v>
                </pt>
                <pt idx="3">
                  <v>Operations</v>
                </pt>
                <pt idx="4">
                  <v>Financial</v>
                </pt>
                <pt idx="5">
                  <v>Data Management</v>
                </pt>
              </strCache>
            </strRef>
          </cat>
          <val>
            <numRef>
              <f>'Scoring and Charts'!$D$6:$D$11</f>
              <numCache>
                <formatCode>0.00</formatCode>
                <ptCount val="6"/>
                <pt idx="0">
                  <v>7.8125</v>
                </pt>
                <pt idx="1">
                  <v>9</v>
                </pt>
                <pt idx="2">
                  <v>8.75</v>
                </pt>
                <pt idx="3">
                  <v>8.928571428571429</v>
                </pt>
                <pt idx="4">
                  <v>8.125</v>
                </pt>
                <pt idx="5">
                  <v>7.5</v>
                </pt>
              </numCache>
            </numRef>
          </val>
        </ser>
        <ser>
          <idx val="1"/>
          <order val="1"/>
          <tx>
            <strRef>
              <f>'Scoring and Charts'!$E$4:$E$5</f>
              <strCache>
                <ptCount val="2"/>
                <pt idx="0">
                  <v>Current State</v>
                </pt>
                <pt idx="1">
                  <v>Value</v>
                </pt>
              </strCache>
            </strRef>
          </tx>
          <spPr>
            <a:solidFill xmlns:a="http://schemas.openxmlformats.org/drawingml/2006/main">
              <a:schemeClr val="accent2"/>
            </a:solidFill>
            <a:ln xmlns:a="http://schemas.openxmlformats.org/drawingml/2006/main">
              <a:noFill/>
              <a:prstDash val="solid"/>
            </a:ln>
          </spPr>
          <invertIfNegative val="0"/>
          <cat>
            <strRef>
              <f>'Scoring and Charts'!$C$6:$C$11</f>
              <strCache>
                <ptCount val="6"/>
                <pt idx="0">
                  <v>Platform</v>
                </pt>
                <pt idx="1">
                  <v>Security</v>
                </pt>
                <pt idx="2">
                  <v>Ways of Working</v>
                </pt>
                <pt idx="3">
                  <v>Operations</v>
                </pt>
                <pt idx="4">
                  <v>Financial</v>
                </pt>
                <pt idx="5">
                  <v>Data Management</v>
                </pt>
              </strCache>
            </strRef>
          </cat>
          <val>
            <numRef>
              <f>'Scoring and Charts'!$E$6:$E$11</f>
              <numCache>
                <formatCode>0.00</formatCode>
                <ptCount val="6"/>
                <pt idx="0">
                  <v>1.333333333333333</v>
                </pt>
                <pt idx="1">
                  <v>4.615384615384616</v>
                </pt>
                <pt idx="2">
                  <v>1.428571428571428</v>
                </pt>
                <pt idx="3">
                  <v>2.857142857142857</v>
                </pt>
                <pt idx="4">
                  <v>4</v>
                </pt>
                <pt idx="5">
                  <v>3.888888888888889</v>
                </pt>
              </numCache>
            </numRef>
          </val>
        </ser>
        <dLbls>
          <showLegendKey val="0"/>
          <showVal val="0"/>
          <showCatName val="0"/>
          <showSerName val="0"/>
          <showPercent val="0"/>
          <showBubbleSize val="0"/>
        </dLbls>
        <gapWidth val="219"/>
        <overlap val="-27"/>
        <axId val="377428671"/>
        <axId val="377427423"/>
      </barChart>
      <catAx>
        <axId val="37742867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mn-lt"/>
                <a:ea typeface="+mn-ea"/>
                <a:cs typeface="+mn-cs"/>
              </a:defRPr>
            </a:pPr>
            <a:r>
              <a:t/>
            </a:r>
            <a:endParaRPr lang="en-US"/>
          </a:p>
        </txPr>
        <crossAx val="377427423"/>
        <crosses val="autoZero"/>
        <auto val="1"/>
        <lblAlgn val="ctr"/>
        <lblOffset val="100"/>
        <noMultiLvlLbl val="0"/>
      </catAx>
      <valAx>
        <axId val="377427423"/>
        <scaling>
          <orientation val="minMax"/>
          <max val="1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37742867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8</col>
      <colOff>533400</colOff>
      <row>2</row>
      <rowOff>8819</rowOff>
    </from>
    <to>
      <col>19</col>
      <colOff>476250</colOff>
      <row>32</row>
      <rowOff>190500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0</colOff>
      <row>12</row>
      <rowOff>200024</rowOff>
    </from>
    <to>
      <col>7</col>
      <colOff>590550</colOff>
      <row>32</row>
      <rowOff>190499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F0000"/>
    <outlinePr summaryBelow="1" summaryRight="1"/>
    <pageSetUpPr/>
  </sheetPr>
  <dimension ref="A1:A16"/>
  <sheetViews>
    <sheetView zoomScaleNormal="100" workbookViewId="0">
      <selection activeCell="A7" sqref="A7"/>
    </sheetView>
  </sheetViews>
  <sheetFormatPr baseColWidth="8" defaultColWidth="8.7109375" defaultRowHeight="15.95"/>
  <cols>
    <col width="95.140625" customWidth="1" style="19" min="1" max="1"/>
    <col width="8.7109375" customWidth="1" style="2" min="2" max="16384"/>
  </cols>
  <sheetData>
    <row r="1" ht="17.1" customHeight="1">
      <c r="A1" s="20" t="inlineStr">
        <is>
          <t>Business Priorities - Readiness Alignment Tool</t>
        </is>
      </c>
    </row>
    <row r="3" ht="17.1" customHeight="1">
      <c r="A3" s="23" t="inlineStr">
        <is>
          <t>Purpose:</t>
        </is>
      </c>
    </row>
    <row r="4" ht="68.09999999999999" customHeight="1">
      <c r="A4" s="22" t="inlineStr">
        <is>
          <t>Define Business Case priority objectives and quantify current state alignment with those objectives.  At the conclusion of the Business Case and CRA discovery the information collected quantifies business objectives and provides a comparative of current state people, process, and technology capabilities that support the achievement of the business objectives.</t>
        </is>
      </c>
    </row>
    <row r="6" ht="17.1" customHeight="1">
      <c r="A6" s="23" t="inlineStr">
        <is>
          <t>Overview:</t>
        </is>
      </c>
    </row>
    <row r="7" ht="409.5" customHeight="1">
      <c r="A7" s="22" t="inlineStr">
        <is>
          <t>1. Inputs:
    a. Business Case Priorities Workshop.pptx
    b. Business Case - Current State Business Alignment Workshop.pptx
2. There are two sections in each perspective tab that records the inputs from the workshop PowerPoints; 1) Business Case objectives and priorities and 2) CRA across six business function perspectives. Each worksheet perspective tab has a Business Priority score card and a Current State scorecard.  
2. The Busines Priority uses a 0 - 4 scale and the Current State uses a 0 - 3 scale. Because the number of questions/answers is different across perspectives, the scales are normalized to a base 10 scorecard for comparison. 
3. The formulas in the perspective tabs automatically count the the number of questions/answers, sum the results, and convert the result into a consistent base 10 ranking.
4. The Busines Priority and Current State input are summarized and charted in the Scoring and Charts tab. 
5. Additional questions and answers can easily be added. Insert a new row in the middle of the section and add the text and copy the sum() function down in columns G or F as appropriate. This will assure that the formulas pick up the new row and update - a row added at the top or bottom of the an Excel computational range is not always picked up by the formula. Once the row is inserted you can reoder the questions in the range.</t>
        </is>
      </c>
    </row>
    <row r="9" ht="17.1" customHeight="1">
      <c r="A9" s="21" t="inlineStr">
        <is>
          <t>Version History</t>
        </is>
      </c>
    </row>
    <row r="10" ht="17.1" customHeight="1">
      <c r="A10" s="22" t="inlineStr">
        <is>
          <t>v1 1/13/2023 - Jim Leonard - Initial template draft for review and comment.</t>
        </is>
      </c>
    </row>
    <row r="11">
      <c r="A11" s="22" t="n"/>
    </row>
    <row r="12">
      <c r="A12" s="22" t="n"/>
    </row>
    <row r="13">
      <c r="A13" s="22" t="n"/>
    </row>
    <row r="14">
      <c r="A14" s="22" t="n"/>
    </row>
    <row r="15">
      <c r="A15" s="22" t="n"/>
    </row>
    <row r="16">
      <c r="A16" s="22" t="n"/>
    </row>
  </sheetData>
  <sheetProtection selectLockedCells="1" selectUnlockedCells="1" algorithmName="SHA-512" sheet="1" objects="1" insertRows="1" insertHyperlinks="1" autoFilter="1" scenarios="1" formatColumns="1" deleteColumns="1" insertColumns="1" pivotTables="1" deleteRows="1" formatCells="1" saltValue="2qzD3stYU8SHSEd9wKstAQ==" formatRows="1" sort="1" spinCount="100000" hashValue="98JMMKCzsWvn2AbCCa+/8M5f6QoHlqmamP8ExES8rZRCR0+Xsv/5+Kl04aFRIuqiYhUSTU2FK/fr0t2l1YdaMA=="/>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C1:E11"/>
  <sheetViews>
    <sheetView tabSelected="1" zoomScale="90" zoomScaleNormal="90" workbookViewId="0">
      <selection activeCell="D8" sqref="D8"/>
    </sheetView>
  </sheetViews>
  <sheetFormatPr baseColWidth="8" defaultColWidth="8.7109375" defaultRowHeight="15.95"/>
  <cols>
    <col width="8.7109375" customWidth="1" style="2" min="1" max="2"/>
    <col width="26.85546875" customWidth="1" style="2" min="3" max="3"/>
    <col width="22.7109375" customWidth="1" style="2" min="4" max="4"/>
    <col width="18.28515625" customWidth="1" style="2" min="5" max="5"/>
    <col width="16.140625" customWidth="1" style="2" min="6" max="6"/>
    <col width="8.7109375" customWidth="1" style="2" min="7" max="16384"/>
  </cols>
  <sheetData>
    <row r="1" ht="24.95" customHeight="1">
      <c r="C1" s="24" t="inlineStr">
        <is>
          <t>Business Case - Readiness Alignment</t>
        </is>
      </c>
    </row>
    <row r="4">
      <c r="D4" s="16" t="inlineStr">
        <is>
          <t>Business Priority</t>
        </is>
      </c>
      <c r="E4" s="16" t="inlineStr">
        <is>
          <t>Current State</t>
        </is>
      </c>
    </row>
    <row r="5">
      <c r="D5" s="14" t="inlineStr">
        <is>
          <t>Ranking</t>
        </is>
      </c>
      <c r="E5" s="17" t="inlineStr">
        <is>
          <t>Value</t>
        </is>
      </c>
    </row>
    <row r="6">
      <c r="C6" s="12" t="inlineStr">
        <is>
          <t>Platform</t>
        </is>
      </c>
      <c r="D6" s="18">
        <f>Platform!I11</f>
        <v/>
      </c>
      <c r="E6" s="18">
        <f>Platform!I27</f>
        <v/>
      </c>
    </row>
    <row r="7">
      <c r="C7" s="13" t="inlineStr">
        <is>
          <t>Security</t>
        </is>
      </c>
      <c r="D7" s="17">
        <f>Security!I8</f>
        <v/>
      </c>
      <c r="E7" s="17">
        <f>Security!I26</f>
        <v/>
      </c>
    </row>
    <row r="8">
      <c r="C8" s="12" t="inlineStr">
        <is>
          <t>Ways of Working</t>
        </is>
      </c>
      <c r="D8" s="18">
        <f>'Ways of Working'!I5</f>
        <v/>
      </c>
      <c r="E8" s="18">
        <f>'Ways of Working'!I17</f>
        <v/>
      </c>
    </row>
    <row r="9">
      <c r="C9" s="13" t="inlineStr">
        <is>
          <t>Operations</t>
        </is>
      </c>
      <c r="D9" s="17">
        <f>Operations!I10</f>
        <v/>
      </c>
      <c r="E9" s="17">
        <f>Operations!I29</f>
        <v/>
      </c>
    </row>
    <row r="10">
      <c r="C10" s="12" t="inlineStr">
        <is>
          <t>Financial</t>
        </is>
      </c>
      <c r="D10" s="18">
        <f>'Cost Management'!I7</f>
        <v/>
      </c>
      <c r="E10" s="18">
        <f>'Cost Management'!I17</f>
        <v/>
      </c>
    </row>
    <row r="11">
      <c r="C11" s="13" t="inlineStr">
        <is>
          <t>Data Management</t>
        </is>
      </c>
      <c r="D11" s="17">
        <f>'Data Management'!I9</f>
        <v/>
      </c>
      <c r="E11" s="17">
        <f>'Data Management'!I26</f>
        <v/>
      </c>
    </row>
  </sheetData>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8"/>
  <sheetViews>
    <sheetView zoomScaleNormal="100" workbookViewId="0">
      <selection activeCell="B27" sqref="B27"/>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8.7109375" customWidth="1" style="4" min="9" max="16384"/>
  </cols>
  <sheetData>
    <row r="1" ht="43.5" customHeight="1">
      <c r="A1" s="33" t="inlineStr">
        <is>
          <t>Platform – practices for handling infrastructure and application architecture so that the eco-system maintains its integrity over time. It implements the policies, procedures, techniques, and tools that manage system change.</t>
        </is>
      </c>
      <c r="B1" s="34" t="n"/>
      <c r="C1" s="34" t="n"/>
      <c r="D1" s="34" t="n"/>
      <c r="E1" s="34" t="n"/>
      <c r="F1" s="34" t="n"/>
      <c r="G1" s="35"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14.1" customHeight="1">
      <c r="A3" s="5" t="inlineStr">
        <is>
          <t>Architectural alignment with overall business goals and objectives.</t>
        </is>
      </c>
      <c r="B3" s="5" t="n"/>
      <c r="C3" s="5" t="n"/>
      <c r="D3" s="5" t="n"/>
      <c r="E3" s="5" t="n"/>
      <c r="F3" s="5" t="n">
        <v>4</v>
      </c>
      <c r="G3" s="5">
        <f>SUM(B3:F3)</f>
        <v/>
      </c>
    </row>
    <row r="4" ht="14.1" customHeight="1">
      <c r="A4" s="1" t="inlineStr">
        <is>
          <t>Standards and guidelines for the design and implementation of cloud-based solutions.</t>
        </is>
      </c>
      <c r="B4" s="5" t="n"/>
      <c r="C4" s="5" t="n"/>
      <c r="D4" s="5" t="n"/>
      <c r="E4" s="5" t="n">
        <v>3</v>
      </c>
      <c r="F4" s="5" t="n"/>
      <c r="G4" s="5">
        <f>SUM(B4:F4)</f>
        <v/>
      </c>
    </row>
    <row r="5" ht="14.1" customHeight="1">
      <c r="A5" s="1" t="inlineStr">
        <is>
          <t>Rapid development and time to market of new products and services.</t>
        </is>
      </c>
      <c r="B5" s="5" t="n"/>
      <c r="C5" s="5" t="n"/>
      <c r="D5" s="5" t="n"/>
      <c r="E5" s="5" t="n">
        <v>3</v>
      </c>
      <c r="F5" s="5" t="n"/>
      <c r="G5" s="5">
        <f>SUM(B5:F5)</f>
        <v/>
      </c>
    </row>
    <row r="6" ht="14.1" customHeight="1">
      <c r="A6" s="5" t="inlineStr">
        <is>
          <t>Modernizing applications to take advantage of cloud services.</t>
        </is>
      </c>
      <c r="B6" s="5" t="n"/>
      <c r="C6" s="5" t="n"/>
      <c r="D6" s="5" t="n"/>
      <c r="E6" s="5" t="n"/>
      <c r="F6" s="5" t="n">
        <v>4</v>
      </c>
      <c r="G6" s="5">
        <f>SUM(B6:F6)</f>
        <v/>
      </c>
    </row>
    <row r="7" ht="14.1" customHeight="1">
      <c r="A7" s="5" t="inlineStr">
        <is>
          <t>Tool standardization across the enterprise.</t>
        </is>
      </c>
      <c r="B7" s="5" t="n"/>
      <c r="C7" s="5" t="n"/>
      <c r="D7" s="5" t="n"/>
      <c r="E7" s="5" t="n">
        <v>3</v>
      </c>
      <c r="F7" s="5" t="n"/>
      <c r="G7" s="5">
        <f>SUM(B7:F7)</f>
        <v/>
      </c>
    </row>
    <row r="8" ht="14.1" customHeight="1">
      <c r="A8" s="1" t="inlineStr">
        <is>
          <t>DevOps as an important strategic initiative.</t>
        </is>
      </c>
      <c r="B8" s="5" t="n"/>
      <c r="C8" s="5" t="n"/>
      <c r="D8" s="5" t="n"/>
      <c r="E8" s="5" t="n">
        <v>3</v>
      </c>
      <c r="F8" s="5" t="n"/>
      <c r="G8" s="5">
        <f>SUM(B8:F8)</f>
        <v/>
      </c>
    </row>
    <row r="9" ht="14.1" customHeight="1">
      <c r="A9" s="5" t="inlineStr">
        <is>
          <t>A self-service model using a Service Catalog.</t>
        </is>
      </c>
      <c r="B9" s="5" t="n"/>
      <c r="C9" s="5" t="n"/>
      <c r="D9" s="5" t="n">
        <v>2</v>
      </c>
      <c r="E9" s="5" t="n"/>
      <c r="F9" s="5" t="n"/>
      <c r="G9" s="5">
        <f>SUM(B9:F9)</f>
        <v/>
      </c>
    </row>
    <row r="10" ht="14.1" customHeight="1">
      <c r="A10" s="1" t="inlineStr">
        <is>
          <t>Business data analytics as a strategic enabler.</t>
        </is>
      </c>
      <c r="B10" s="5" t="n"/>
      <c r="C10" s="5" t="n"/>
      <c r="D10" s="5" t="n"/>
      <c r="E10" s="5" t="n">
        <v>3</v>
      </c>
      <c r="F10" s="5" t="n"/>
      <c r="G10" s="5">
        <f>SUM(B10:F10)</f>
        <v/>
      </c>
    </row>
    <row r="11" ht="14.1" customHeight="1">
      <c r="A11" s="10" t="inlineStr">
        <is>
          <t>Business Priority Score:</t>
        </is>
      </c>
      <c r="B11" s="10" t="n"/>
      <c r="C11" s="10" t="n"/>
      <c r="D11" s="10" t="n"/>
      <c r="E11" s="10" t="n"/>
      <c r="F11" s="10" t="n"/>
      <c r="G11" s="10">
        <f>SUM(G3:G10)</f>
        <v/>
      </c>
      <c r="H11" s="4">
        <f>COUNTIF(A3:A10,"*")*4</f>
        <v/>
      </c>
      <c r="I11" s="4">
        <f>G11/H11*10</f>
        <v/>
      </c>
    </row>
    <row r="14">
      <c r="A14" s="3" t="n"/>
      <c r="B14" s="3" t="n"/>
      <c r="C14" s="3" t="n"/>
      <c r="D14" s="3" t="n"/>
      <c r="E14" s="3" t="n"/>
      <c r="F14" s="3" t="n"/>
      <c r="G14" s="3" t="n"/>
    </row>
    <row r="15" ht="30" customHeight="1">
      <c r="A15" s="7" t="inlineStr">
        <is>
          <t>Current State</t>
        </is>
      </c>
      <c r="B15" s="8" t="inlineStr">
        <is>
          <t>Does not exist (0)</t>
        </is>
      </c>
      <c r="C15" s="9" t="inlineStr">
        <is>
          <t>Exists, but 
not formalized (1)</t>
        </is>
      </c>
      <c r="D15" s="9" t="inlineStr">
        <is>
          <t>Formalized, but
needs development (2)</t>
        </is>
      </c>
      <c r="E15" s="9" t="inlineStr">
        <is>
          <t>Formalized and 
performing (3)</t>
        </is>
      </c>
      <c r="F15" s="8" t="inlineStr">
        <is>
          <t>Score</t>
        </is>
      </c>
      <c r="H15" s="6" t="inlineStr">
        <is>
          <t>Max Value</t>
        </is>
      </c>
      <c r="I15" s="6" t="inlineStr">
        <is>
          <t>Max Value</t>
        </is>
      </c>
    </row>
    <row r="16" ht="24.6" customHeight="1">
      <c r="A16" s="1" t="inlineStr">
        <is>
          <t>We have a cross-functional architecture oversight group to review landing zones, account structures, and architecture changes.</t>
        </is>
      </c>
      <c r="B16" s="5" t="n"/>
      <c r="C16" s="4" t="n">
        <v>1</v>
      </c>
      <c r="F16" s="5">
        <f>SUM(B16:E16)</f>
        <v/>
      </c>
    </row>
    <row r="17" ht="17.1" customHeight="1">
      <c r="A17" s="5" t="inlineStr">
        <is>
          <t>There is a standard cloud account creation process.</t>
        </is>
      </c>
      <c r="B17" s="5" t="n"/>
      <c r="D17" s="4" t="n">
        <v>2</v>
      </c>
      <c r="F17" s="5">
        <f>SUM(B17:E17)</f>
        <v/>
      </c>
    </row>
    <row r="18" ht="27.95" customHeight="1">
      <c r="A18" s="1" t="inlineStr">
        <is>
          <t>We have defined processes to manage source code, third party artifacts, images and libraries.</t>
        </is>
      </c>
      <c r="B18" s="5" t="n"/>
      <c r="C18" s="4" t="n">
        <v>1</v>
      </c>
      <c r="F18" s="5">
        <f>SUM(B18:E18)</f>
        <v/>
      </c>
    </row>
    <row r="19" ht="27.95" customHeight="1">
      <c r="A19" s="1" t="inlineStr">
        <is>
          <t>Internal staff are experienced with DevSecOps concepts and implementation techniques.</t>
        </is>
      </c>
      <c r="B19" s="5" t="n">
        <v>0</v>
      </c>
      <c r="F19" s="5">
        <f>SUM(B19:E19)</f>
        <v/>
      </c>
    </row>
    <row r="20" ht="14.1" customHeight="1">
      <c r="A20" s="1" t="inlineStr">
        <is>
          <t>There are defined CI/CD pipelines.</t>
        </is>
      </c>
      <c r="B20" s="5" t="n">
        <v>0</v>
      </c>
      <c r="F20" s="5">
        <f>SUM(B20:E20)</f>
        <v/>
      </c>
    </row>
    <row r="21" ht="17.1" customHeight="1">
      <c r="A21" s="1" t="inlineStr">
        <is>
          <t>There are automated build processes for standard infrastructure components.</t>
        </is>
      </c>
      <c r="B21" s="5" t="n">
        <v>0</v>
      </c>
      <c r="F21" s="5">
        <f>SUM(B21:E21)</f>
        <v/>
      </c>
    </row>
    <row r="22" ht="15" customHeight="1">
      <c r="A22" s="5" t="inlineStr">
        <is>
          <t>We use automated application testing tools.</t>
        </is>
      </c>
      <c r="B22" s="5" t="n">
        <v>0</v>
      </c>
      <c r="F22" s="5">
        <f>SUM(B22:E22)</f>
        <v/>
      </c>
    </row>
    <row r="23" ht="29.1" customHeight="1">
      <c r="A23" s="1" t="inlineStr">
        <is>
          <t>We use metrics to evaluate pipeline efficiency (Frequency, Change Failure Rate, Mean Time to Restore, Lead Time for Changes).</t>
        </is>
      </c>
      <c r="B23" s="5" t="n">
        <v>0</v>
      </c>
      <c r="F23" s="5">
        <f>SUM(B23:E23)</f>
        <v/>
      </c>
    </row>
    <row r="24" ht="27.95" customHeight="1">
      <c r="A24" s="5" t="inlineStr">
        <is>
          <t>We leverage automation tools to ensure resource deployments are scripted and orchestrated.</t>
        </is>
      </c>
      <c r="B24" s="5" t="n">
        <v>0</v>
      </c>
      <c r="F24" s="5">
        <f>SUM(B24:E24)</f>
        <v/>
      </c>
    </row>
    <row r="25" ht="17.1" customHeight="1">
      <c r="A25" s="5" t="inlineStr">
        <is>
          <t>A Service Catalog and on demand self-service has been adopted.</t>
        </is>
      </c>
      <c r="B25" s="5" t="n">
        <v>0</v>
      </c>
      <c r="F25" s="5">
        <f>SUM(B25:E25)</f>
        <v/>
      </c>
    </row>
    <row r="26" ht="17.45" customHeight="1">
      <c r="A26" s="1" t="inlineStr">
        <is>
          <t>Data management and business analytics processes are in place.</t>
        </is>
      </c>
      <c r="B26" s="5" t="n">
        <v>0</v>
      </c>
      <c r="F26" s="5">
        <f>SUM(B26:E26)</f>
        <v/>
      </c>
    </row>
    <row r="27" ht="14.1" customHeight="1">
      <c r="A27" s="10" t="inlineStr">
        <is>
          <t>Current State Value:</t>
        </is>
      </c>
      <c r="B27" s="10" t="n"/>
      <c r="C27" s="10" t="n"/>
      <c r="D27" s="10" t="n"/>
      <c r="E27" s="10" t="n"/>
      <c r="F27" s="10">
        <f>SUM(F16:F26)</f>
        <v/>
      </c>
      <c r="H27" s="11">
        <f>COUNTIF(A17:A26,"*")*3</f>
        <v/>
      </c>
      <c r="I27" s="15">
        <f>(F27/H27)*10</f>
        <v/>
      </c>
    </row>
    <row r="28">
      <c r="A28" s="3" t="n"/>
      <c r="B28" s="3" t="n"/>
      <c r="C28" s="3" t="n"/>
      <c r="D28" s="3" t="n"/>
      <c r="E28" s="3" t="n"/>
      <c r="F28" s="3" t="n"/>
      <c r="G28" s="3" t="n"/>
    </row>
  </sheetData>
  <mergeCells count="1">
    <mergeCell ref="A1:G1"/>
  </mergeCells>
  <dataValidations count="5">
    <dataValidation sqref="E3:E5 E16:E26" showDropDown="0" showInputMessage="1" showErrorMessage="1" allowBlank="1" type="whole" operator="equal">
      <formula1>3</formula1>
    </dataValidation>
    <dataValidation sqref="B3:B10 B16:B26" showDropDown="0" showInputMessage="1" showErrorMessage="1" allowBlank="1" type="whole" operator="equal">
      <formula1>0</formula1>
    </dataValidation>
    <dataValidation sqref="C3:C10 C16:C26" showDropDown="0" showInputMessage="1" showErrorMessage="1" allowBlank="1" type="whole" operator="equal">
      <formula1>1</formula1>
    </dataValidation>
    <dataValidation sqref="D16:D26" showDropDown="0" showInputMessage="1" showErrorMessage="1" allowBlank="1" type="whole" operator="equal">
      <formula1>2</formula1>
    </dataValidation>
    <dataValidation sqref="F3:F10" showDropDown="0" showInputMessage="1" showErrorMessage="1" allowBlank="1" type="whole" operator="equal">
      <formula1>4</formula1>
    </dataValidation>
  </dataValidations>
  <pageMargins left="0.7" right="0.7" top="0.75" bottom="0.75" header="0.3" footer="0.3"/>
  <pageSetup orientation="portrait" horizontalDpi="4294967294"/>
</worksheet>
</file>

<file path=xl/worksheets/sheet4.xml><?xml version="1.0" encoding="utf-8"?>
<worksheet xmlns="http://schemas.openxmlformats.org/spreadsheetml/2006/main">
  <sheetPr>
    <outlinePr summaryBelow="1" summaryRight="1"/>
    <pageSetUpPr/>
  </sheetPr>
  <dimension ref="A1:I27"/>
  <sheetViews>
    <sheetView zoomScale="90" zoomScaleNormal="90" workbookViewId="0">
      <selection activeCell="F28" sqref="F28"/>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8.7109375" customWidth="1" style="4" min="9" max="16384"/>
  </cols>
  <sheetData>
    <row r="1" ht="43.5" customHeight="1">
      <c r="A1" s="33" t="inlineStr">
        <is>
          <t>Security – processes to ensure that security and compliance requirements are consistently applied to cloud environments, especially as requirements mature.</t>
        </is>
      </c>
      <c r="B1" s="34" t="n"/>
      <c r="C1" s="34" t="n"/>
      <c r="D1" s="34" t="n"/>
      <c r="E1" s="34" t="n"/>
      <c r="F1" s="34" t="n"/>
      <c r="G1" s="35"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27.95" customHeight="1">
      <c r="A3" s="1" t="inlineStr">
        <is>
          <t>Preventing exploits by continuously monitoring and applying security recommendations across machines, networks, and services.</t>
        </is>
      </c>
      <c r="F3" s="4" t="n">
        <v>4</v>
      </c>
      <c r="G3" s="4">
        <f>SUM(B3:F3)</f>
        <v/>
      </c>
    </row>
    <row r="4" ht="27.95" customHeight="1">
      <c r="A4" s="5" t="inlineStr">
        <is>
          <t>Preventing loss or leaks of data, including Personally Identifiable information (PII) or other forms of high priority data.</t>
        </is>
      </c>
      <c r="F4" s="4" t="n">
        <v>4</v>
      </c>
      <c r="G4" s="4">
        <f>SUM(B4:F4)</f>
        <v/>
      </c>
    </row>
    <row r="5" ht="27.95" customHeight="1">
      <c r="A5" s="5" t="inlineStr">
        <is>
          <t>Stopping unauthorized traffic or other forms of intrusion that could compromise the network or other IT assets.</t>
        </is>
      </c>
      <c r="F5" s="4" t="n">
        <v>4</v>
      </c>
      <c r="G5" s="4">
        <f>SUM(B5:F5)</f>
        <v/>
      </c>
    </row>
    <row r="6" ht="27.95" customHeight="1">
      <c r="A6" s="26" t="inlineStr">
        <is>
          <t>Conducting regular review of access rights and recurring access recertification configuration for all users in administrator roles.</t>
        </is>
      </c>
      <c r="B6" s="5" t="n"/>
      <c r="C6" s="5" t="n"/>
      <c r="D6" s="5" t="n"/>
      <c r="E6" s="5" t="n">
        <v>3</v>
      </c>
      <c r="F6" s="5" t="n"/>
      <c r="G6" s="4">
        <f>SUM(B6:F6)</f>
        <v/>
      </c>
    </row>
    <row r="7" ht="32.45" customHeight="1">
      <c r="A7" s="5" t="inlineStr">
        <is>
          <t>Enabling just-in-time access, and role change alerting capabilities to provide a comprehensive set of governance controls to help secure company's resources</t>
        </is>
      </c>
      <c r="B7" s="5" t="n"/>
      <c r="C7" s="5" t="n"/>
      <c r="D7" s="5" t="n"/>
      <c r="E7" s="5" t="n">
        <v>3</v>
      </c>
      <c r="F7" s="5" t="n"/>
      <c r="G7" s="4">
        <f>SUM(B7:F7)</f>
        <v/>
      </c>
    </row>
    <row r="8" ht="14.1" customHeight="1">
      <c r="A8" s="10" t="inlineStr">
        <is>
          <t>Business Priority Score:</t>
        </is>
      </c>
      <c r="B8" s="10" t="n"/>
      <c r="C8" s="10" t="n"/>
      <c r="D8" s="10" t="n"/>
      <c r="E8" s="10" t="n"/>
      <c r="F8" s="10" t="n"/>
      <c r="G8" s="10">
        <f>SUM(G3:G7)</f>
        <v/>
      </c>
      <c r="H8" s="4">
        <f>COUNTIF(A3:A7,"*")*4</f>
        <v/>
      </c>
      <c r="I8" s="4">
        <f>G8/H8*10</f>
        <v/>
      </c>
    </row>
    <row r="11">
      <c r="A11" s="3" t="n"/>
      <c r="B11" s="3" t="n"/>
      <c r="C11" s="3" t="n"/>
      <c r="D11" s="3" t="n"/>
      <c r="E11" s="3" t="n"/>
      <c r="F11" s="3" t="n"/>
      <c r="G11" s="3" t="n"/>
    </row>
    <row r="12" ht="30" customHeight="1">
      <c r="A12" s="7" t="inlineStr">
        <is>
          <t>Current State</t>
        </is>
      </c>
      <c r="B12" s="8" t="inlineStr">
        <is>
          <t>Does not exist (0)</t>
        </is>
      </c>
      <c r="C12" s="9" t="inlineStr">
        <is>
          <t>Exists, but 
not formalized (1)</t>
        </is>
      </c>
      <c r="D12" s="9" t="inlineStr">
        <is>
          <t>Formalized, but
needs development (2)</t>
        </is>
      </c>
      <c r="E12" s="9" t="inlineStr">
        <is>
          <t>Formalized and 
performing (3)</t>
        </is>
      </c>
      <c r="F12" s="8" t="inlineStr">
        <is>
          <t>Score</t>
        </is>
      </c>
      <c r="H12" s="6" t="inlineStr">
        <is>
          <t>Max Value</t>
        </is>
      </c>
      <c r="I12" s="6" t="inlineStr">
        <is>
          <t>Max Value</t>
        </is>
      </c>
    </row>
    <row r="13" ht="35.1" customHeight="1">
      <c r="A13" s="5" t="inlineStr">
        <is>
          <t>We have processes in place to ensure production resources have the right security and audit safeguards.</t>
        </is>
      </c>
      <c r="B13" s="5" t="n"/>
      <c r="C13" s="4" t="n">
        <v>1</v>
      </c>
      <c r="F13" s="4">
        <f>SUM(B13:E13)</f>
        <v/>
      </c>
    </row>
    <row r="14" ht="35.1" customHeight="1">
      <c r="A14" s="5" t="inlineStr">
        <is>
          <t>We have implemented a data classification and access policy model, to ensure that only the right individuals have access to high business impact data.</t>
        </is>
      </c>
      <c r="B14" s="5" t="n"/>
      <c r="C14" s="4" t="n">
        <v>1</v>
      </c>
      <c r="F14" s="4">
        <f>SUM(B14:E14)</f>
        <v/>
      </c>
    </row>
    <row r="15" ht="33.6" customHeight="1">
      <c r="A15" s="5" t="inlineStr">
        <is>
          <t>Our data classification aligns with security measures in place to protect sensitive information.</t>
        </is>
      </c>
      <c r="B15" s="5" t="n"/>
      <c r="C15" s="4" t="n">
        <v>1</v>
      </c>
      <c r="F15" s="4">
        <f>SUM(B15:E15)</f>
        <v/>
      </c>
    </row>
    <row r="16" ht="14.1" customHeight="1">
      <c r="A16" s="5" t="inlineStr">
        <is>
          <t>Data is always encrypted at rest.</t>
        </is>
      </c>
      <c r="B16" s="5" t="n"/>
      <c r="D16" s="4" t="n">
        <v>2</v>
      </c>
      <c r="F16" s="4">
        <f>SUM(B16:E16)</f>
        <v/>
      </c>
    </row>
    <row r="17" ht="14.1" customHeight="1">
      <c r="A17" s="5" t="inlineStr">
        <is>
          <t>Data is always encrypted in transit.</t>
        </is>
      </c>
      <c r="B17" s="5" t="n"/>
      <c r="D17" s="4" t="n">
        <v>2</v>
      </c>
      <c r="F17" s="4">
        <f>SUM(B17:E17)</f>
        <v/>
      </c>
    </row>
    <row r="18" ht="14.1" customHeight="1">
      <c r="A18" s="5" t="inlineStr">
        <is>
          <t>We use tools to look for patterns in the data that might indicate malicious activity.</t>
        </is>
      </c>
      <c r="B18" s="5" t="n"/>
      <c r="C18" s="4" t="n">
        <v>1</v>
      </c>
      <c r="F18" s="4">
        <f>SUM(B18:E18)</f>
        <v/>
      </c>
    </row>
    <row r="19" ht="14.1" customHeight="1">
      <c r="A19" s="5" t="inlineStr">
        <is>
          <t>Network intrusion detection is setup to ensure only required ports and routes are open.</t>
        </is>
      </c>
      <c r="B19" s="5" t="n"/>
      <c r="C19" s="4" t="n">
        <v>1</v>
      </c>
      <c r="F19" s="4">
        <f>SUM(B19:E19)</f>
        <v/>
      </c>
    </row>
    <row r="20" ht="42" customHeight="1">
      <c r="A20" s="5" t="inlineStr">
        <is>
          <t>Security for the machines, networks and services are continuously monitored, and we use actionable security recommendations to remediate issues before they can be exploited.</t>
        </is>
      </c>
      <c r="B20" s="5" t="n"/>
      <c r="D20" s="4" t="n">
        <v>2</v>
      </c>
      <c r="F20" s="4">
        <f>SUM(B20:E20)</f>
        <v/>
      </c>
    </row>
    <row r="21" ht="17.1" customHeight="1">
      <c r="A21" s="5" t="inlineStr">
        <is>
          <t>Our identity tools are constantly scanning the environment for malicious actors.</t>
        </is>
      </c>
      <c r="B21" s="5" t="n"/>
      <c r="C21" s="4" t="n">
        <v>1</v>
      </c>
      <c r="F21" s="4">
        <f>SUM(B21:E21)</f>
        <v/>
      </c>
    </row>
    <row r="22" ht="18.6" customHeight="1">
      <c r="A22" s="5" t="inlineStr">
        <is>
          <t>We effectively use RBAC to manage access.</t>
        </is>
      </c>
      <c r="B22" s="5" t="n"/>
      <c r="C22" s="4" t="n">
        <v>1</v>
      </c>
      <c r="F22" s="4">
        <f>SUM(B22:E22)</f>
        <v/>
      </c>
    </row>
    <row r="23" ht="17.1" customHeight="1">
      <c r="A23" s="5" t="inlineStr">
        <is>
          <t>Our Identity Baseline process is setup to ensure least privilege access.</t>
        </is>
      </c>
      <c r="B23" s="5" t="n"/>
      <c r="C23" s="4" t="n">
        <v>1</v>
      </c>
      <c r="F23" s="4">
        <f>SUM(B23:E23)</f>
        <v/>
      </c>
    </row>
    <row r="24" ht="17.1" customHeight="1">
      <c r="A24" s="5" t="inlineStr">
        <is>
          <t>We use a single centralized identity provider for all apps.</t>
        </is>
      </c>
      <c r="B24" s="5" t="n"/>
      <c r="D24" s="4" t="n">
        <v>2</v>
      </c>
      <c r="F24" s="4">
        <f>SUM(B24:E24)</f>
        <v/>
      </c>
    </row>
    <row r="25" ht="20.1" customHeight="1">
      <c r="A25" s="5" t="inlineStr">
        <is>
          <t>We periodically audit our identity policies and privileged accounts.</t>
        </is>
      </c>
      <c r="B25" s="5" t="n"/>
      <c r="D25" s="4" t="n">
        <v>2</v>
      </c>
      <c r="F25" s="4">
        <f>SUM(B25:E25)</f>
        <v/>
      </c>
    </row>
    <row r="26" ht="14.1" customHeight="1">
      <c r="A26" s="10" t="inlineStr">
        <is>
          <t>Current State Value:</t>
        </is>
      </c>
      <c r="B26" s="10" t="n"/>
      <c r="C26" s="10" t="n"/>
      <c r="D26" s="10" t="n"/>
      <c r="E26" s="10" t="n"/>
      <c r="F26" s="10">
        <f>SUM(F13:F25)</f>
        <v/>
      </c>
      <c r="H26" s="11">
        <f>COUNTIF(A13:A25,"*")*3</f>
        <v/>
      </c>
      <c r="I26" s="15">
        <f>(F26/H26)*10</f>
        <v/>
      </c>
    </row>
    <row r="27">
      <c r="A27" s="3" t="n"/>
      <c r="B27" s="3" t="n"/>
      <c r="C27" s="3" t="n"/>
      <c r="D27" s="3" t="n"/>
      <c r="E27" s="3" t="n"/>
      <c r="F27" s="3" t="n"/>
      <c r="G27" s="3" t="n"/>
    </row>
  </sheetData>
  <mergeCells count="1">
    <mergeCell ref="A1:G1"/>
  </mergeCells>
  <dataValidations count="4">
    <dataValidation sqref="E13:E25" showDropDown="0" showInputMessage="1" showErrorMessage="1" allowBlank="1" type="whole" operator="equal">
      <formula1>3</formula1>
    </dataValidation>
    <dataValidation sqref="B13:B25" showDropDown="0" showInputMessage="1" showErrorMessage="1" allowBlank="1" type="whole" operator="equal">
      <formula1>0</formula1>
    </dataValidation>
    <dataValidation sqref="C13:C25" showDropDown="0" showInputMessage="1" showErrorMessage="1" allowBlank="1" type="whole" operator="equal">
      <formula1>1</formula1>
    </dataValidation>
    <dataValidation sqref="D13:D15 D17:D25" showDropDown="0" showInputMessage="1" showErrorMessage="1" allowBlank="1" type="whole" operator="equal">
      <formula1>2</formula1>
    </dataValidation>
  </dataValidations>
  <pageMargins left="0.7" right="0.7" top="0.75" bottom="0.75" header="0.3" footer="0.3"/>
  <pageSetup orientation="portrait" horizontalDpi="4294967294"/>
</worksheet>
</file>

<file path=xl/worksheets/sheet5.xml><?xml version="1.0" encoding="utf-8"?>
<worksheet xmlns="http://schemas.openxmlformats.org/spreadsheetml/2006/main">
  <sheetPr>
    <outlinePr summaryBelow="1" summaryRight="1"/>
    <pageSetUpPr/>
  </sheetPr>
  <dimension ref="A1:I18"/>
  <sheetViews>
    <sheetView zoomScale="95" zoomScaleNormal="95" workbookViewId="0">
      <selection activeCell="I5" sqref="I5"/>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13.140625" bestFit="1" customWidth="1" style="4" min="9" max="9"/>
    <col width="8.7109375" customWidth="1" style="4" min="10" max="16384"/>
  </cols>
  <sheetData>
    <row r="1" ht="43.5" customHeight="1">
      <c r="A1" s="25" t="inlineStr">
        <is>
          <t>Ways of Working – the degree to which your people, roles, skills, and policies support cloud adoption.</t>
        </is>
      </c>
      <c r="B1" s="7" t="n"/>
      <c r="C1" s="7" t="n"/>
      <c r="D1" s="7" t="n"/>
      <c r="E1" s="7" t="n"/>
      <c r="F1" s="7" t="n"/>
      <c r="G1" s="7"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32.45" customHeight="1">
      <c r="A3" s="5" t="inlineStr">
        <is>
          <t>Having executive leadership actively support large change initiatives and help remove barriers.</t>
        </is>
      </c>
      <c r="B3" s="5" t="n"/>
      <c r="C3" s="5" t="n"/>
      <c r="D3" s="5" t="n"/>
      <c r="E3" s="5" t="n"/>
      <c r="F3" s="5" t="n">
        <v>4</v>
      </c>
      <c r="G3" s="5">
        <f>SUM(B3:F3)</f>
        <v/>
      </c>
    </row>
    <row r="4" ht="29.45" customHeight="1">
      <c r="A4" s="5" t="inlineStr">
        <is>
          <t>Establishing a cross-functional organization structure that supports collaborative strategic roadmap development.</t>
        </is>
      </c>
      <c r="B4" s="5" t="n"/>
      <c r="C4" s="5" t="n"/>
      <c r="D4" s="5" t="n"/>
      <c r="E4" s="5" t="n">
        <v>3</v>
      </c>
      <c r="F4" s="5" t="n"/>
      <c r="G4" s="5">
        <f>SUM(B4:F4)</f>
        <v/>
      </c>
    </row>
    <row r="5" ht="14.1" customHeight="1">
      <c r="A5" s="10" t="inlineStr">
        <is>
          <t>Business Priority Score:</t>
        </is>
      </c>
      <c r="B5" s="10" t="n"/>
      <c r="C5" s="10" t="n"/>
      <c r="D5" s="10" t="n"/>
      <c r="E5" s="10" t="n"/>
      <c r="F5" s="10" t="n"/>
      <c r="G5" s="10">
        <f>SUM(G3:G4)</f>
        <v/>
      </c>
      <c r="H5" s="4">
        <f>COUNTIF(A3:A4,"*")*4</f>
        <v/>
      </c>
      <c r="I5" s="4">
        <f>G5/H5*10</f>
        <v/>
      </c>
    </row>
    <row r="8">
      <c r="A8" s="3" t="n"/>
      <c r="B8" s="3" t="n"/>
      <c r="C8" s="3" t="n"/>
      <c r="D8" s="3" t="n"/>
      <c r="E8" s="3" t="n"/>
      <c r="F8" s="3" t="n"/>
      <c r="G8" s="3" t="n"/>
    </row>
    <row r="9" ht="30" customHeight="1">
      <c r="A9" s="7" t="inlineStr">
        <is>
          <t>Current State</t>
        </is>
      </c>
      <c r="B9" s="8" t="inlineStr">
        <is>
          <t>Does not exist (0)</t>
        </is>
      </c>
      <c r="C9" s="9" t="inlineStr">
        <is>
          <t>Exists, but 
not formalized (1)</t>
        </is>
      </c>
      <c r="D9" s="9" t="inlineStr">
        <is>
          <t>Formalized, but
needs development (2)</t>
        </is>
      </c>
      <c r="E9" s="9" t="inlineStr">
        <is>
          <t>Formalized and 
performing (3)</t>
        </is>
      </c>
      <c r="F9" s="8" t="inlineStr">
        <is>
          <t>Score</t>
        </is>
      </c>
      <c r="H9" s="6" t="inlineStr">
        <is>
          <t>Max Value</t>
        </is>
      </c>
      <c r="I9" s="6" t="inlineStr">
        <is>
          <t>Max Value</t>
        </is>
      </c>
    </row>
    <row r="10" ht="30.95" customHeight="1">
      <c r="A10" s="5" t="inlineStr">
        <is>
          <t>We have a dedicated Cloud Strategy team that consists of influencers from Finance, impacted Line of Business units, and Technical Architects.</t>
        </is>
      </c>
      <c r="B10" s="5" t="n">
        <v>0</v>
      </c>
      <c r="F10" s="4">
        <f>SUM(B10:E10)</f>
        <v/>
      </c>
    </row>
    <row r="11" ht="32.45" customHeight="1">
      <c r="A11" s="5" t="inlineStr">
        <is>
          <t>We have an established structure with representation from Business, Finance, and IT to advocate, support and influence across the company.</t>
        </is>
      </c>
      <c r="B11" s="5" t="n">
        <v>0</v>
      </c>
      <c r="F11" s="4">
        <f>SUM(B11:E11)</f>
        <v/>
      </c>
    </row>
    <row r="12" ht="44.45" customHeight="1">
      <c r="A12" s="5" t="inlineStr">
        <is>
          <t>We have a dedicated Cloud Governance team that consists of subject matter experts from Security, IT Ops and Business Decision Makers to assess business risks and tolerance levels.</t>
        </is>
      </c>
      <c r="B12" s="5" t="n">
        <v>0</v>
      </c>
      <c r="F12" s="4">
        <f>SUM(B12:E12)</f>
        <v/>
      </c>
    </row>
    <row r="13" ht="35.1" customHeight="1">
      <c r="A13" s="5" t="inlineStr">
        <is>
          <t>We have a dedicated Cloud Migration team that consists of subject matter experts that have strong awareness of current technical estate.</t>
        </is>
      </c>
      <c r="B13" s="5" t="n">
        <v>0</v>
      </c>
      <c r="F13" s="4">
        <f>SUM(B13:E13)</f>
        <v/>
      </c>
    </row>
    <row r="14" ht="24" customHeight="1">
      <c r="A14" s="5" t="inlineStr">
        <is>
          <t>We have top down support and push to adopt the cloud.</t>
        </is>
      </c>
      <c r="B14" s="5" t="n"/>
      <c r="E14" s="4" t="n">
        <v>3</v>
      </c>
      <c r="F14" s="4">
        <f>SUM(B14:E14)</f>
        <v/>
      </c>
    </row>
    <row r="15" ht="28.5" customHeight="1">
      <c r="A15" s="5" t="inlineStr">
        <is>
          <t>We have adequate training for our developers to ensure they are building safe apps that prevent Common Vulnerabilities &amp; Exposures (CVEs).</t>
        </is>
      </c>
      <c r="B15" s="5" t="n">
        <v>0</v>
      </c>
      <c r="F15" s="4">
        <f>SUM(B15:E15)</f>
        <v/>
      </c>
    </row>
    <row r="16" ht="33.6" customHeight="1">
      <c r="A16" s="5" t="inlineStr">
        <is>
          <t>We have professional development plans to enable team members to maintain and grow their skills.</t>
        </is>
      </c>
      <c r="B16" s="5" t="n">
        <v>0</v>
      </c>
      <c r="F16" s="4">
        <f>SUM(B16:E16)</f>
        <v/>
      </c>
    </row>
    <row r="17" ht="14.1" customHeight="1">
      <c r="A17" s="10" t="inlineStr">
        <is>
          <t>Current State Value:</t>
        </is>
      </c>
      <c r="B17" s="10" t="n"/>
      <c r="C17" s="10" t="n"/>
      <c r="D17" s="10" t="n"/>
      <c r="E17" s="10" t="n"/>
      <c r="F17" s="10">
        <f>SUM(F10:F16)</f>
        <v/>
      </c>
      <c r="H17" s="11">
        <f>COUNTIF(A10:A16,"*")*3</f>
        <v/>
      </c>
      <c r="I17" s="15">
        <f>(F17/H17)*10</f>
        <v/>
      </c>
    </row>
    <row r="18">
      <c r="A18" s="3" t="n"/>
      <c r="B18" s="3" t="n"/>
      <c r="C18" s="3" t="n"/>
      <c r="D18" s="3" t="n"/>
      <c r="E18" s="3" t="n"/>
      <c r="F18" s="3" t="n"/>
      <c r="G18" s="3" t="n"/>
    </row>
  </sheetData>
  <dataValidations count="5">
    <dataValidation sqref="F3:F4" showDropDown="0" showInputMessage="1" showErrorMessage="1" allowBlank="1" type="whole" operator="equal">
      <formula1>4</formula1>
    </dataValidation>
    <dataValidation sqref="D3:D4 D10:D16" showDropDown="0" showInputMessage="1" showErrorMessage="1" allowBlank="1" type="whole" operator="equal">
      <formula1>2</formula1>
    </dataValidation>
    <dataValidation sqref="C3:C4 C10:C16" showDropDown="0" showInputMessage="1" showErrorMessage="1" allowBlank="1" type="whole" operator="equal">
      <formula1>1</formula1>
    </dataValidation>
    <dataValidation sqref="B3:B4 B10:B16" showDropDown="0" showInputMessage="1" showErrorMessage="1" allowBlank="1" type="whole" operator="equal">
      <formula1>0</formula1>
    </dataValidation>
    <dataValidation sqref="E3:E4 E10:E16" showDropDown="0" showInputMessage="1" showErrorMessage="1" allowBlank="1" type="whole" operator="equal">
      <formula1>3</formula1>
    </dataValidation>
  </dataValidations>
  <pageMargins left="0.7" right="0.7" top="0.75" bottom="0.75" header="0.3" footer="0.3"/>
  <pageSetup orientation="portrait" horizontalDpi="4294967294"/>
</worksheet>
</file>

<file path=xl/worksheets/sheet6.xml><?xml version="1.0" encoding="utf-8"?>
<worksheet xmlns="http://schemas.openxmlformats.org/spreadsheetml/2006/main">
  <sheetPr>
    <outlinePr summaryBelow="1" summaryRight="1"/>
    <pageSetUpPr/>
  </sheetPr>
  <dimension ref="A1:I30"/>
  <sheetViews>
    <sheetView zoomScale="90" zoomScaleNormal="90" workbookViewId="0">
      <selection activeCell="I29" sqref="I29"/>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8.7109375" customWidth="1" style="4" min="9" max="16384"/>
  </cols>
  <sheetData>
    <row r="1" ht="43.5" customHeight="1">
      <c r="A1" s="33" t="inlineStr">
        <is>
          <t>Operations - methods to establish policies related to the operational management of an environment, application, or workload. It ensures that resources are consistently configured to be discoverable by IT, included in recovery solutions, and on-boarded into repeatable processes.</t>
        </is>
      </c>
      <c r="B1" s="34" t="n"/>
      <c r="C1" s="34" t="n"/>
      <c r="D1" s="34" t="n"/>
      <c r="E1" s="34" t="n"/>
      <c r="F1" s="34" t="n"/>
      <c r="G1" s="35"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18" customHeight="1">
      <c r="A3" s="5" t="inlineStr">
        <is>
          <t>Knowing and understanding available resource and define resources deployment.</t>
        </is>
      </c>
      <c r="B3" s="5" t="n"/>
      <c r="C3" s="5" t="n"/>
      <c r="D3" s="5" t="n"/>
      <c r="E3" s="5" t="n">
        <v>3</v>
      </c>
      <c r="F3" s="5" t="n"/>
      <c r="G3" s="5">
        <f>SUM(B3:F3)</f>
        <v/>
      </c>
    </row>
    <row r="4" ht="29.45" customHeight="1">
      <c r="A4" s="26" t="inlineStr">
        <is>
          <t>Deploying, managing and monitoring all resources by business unit, solution, workload, or application.</t>
        </is>
      </c>
      <c r="E4" s="4" t="n">
        <v>3</v>
      </c>
      <c r="G4" s="5">
        <f>SUM(B4:F4)</f>
        <v/>
      </c>
    </row>
    <row r="5" ht="29.1" customHeight="1">
      <c r="A5" s="26" t="inlineStr">
        <is>
          <t>Ensuring stability, performance, uptime across applications, workloads, and solutions that support the business.</t>
        </is>
      </c>
      <c r="F5" s="4" t="n">
        <v>4</v>
      </c>
      <c r="G5" s="5">
        <f>SUM(B5:F5)</f>
        <v/>
      </c>
    </row>
    <row r="6" ht="32.45" customHeight="1">
      <c r="A6" s="5" t="inlineStr">
        <is>
          <t>Speed to remediation of performance or uptime for mission critical applications, workloads, or solutions</t>
        </is>
      </c>
      <c r="F6" s="4" t="n">
        <v>4</v>
      </c>
      <c r="G6" s="5">
        <f>SUM(B6:F6)</f>
        <v/>
      </c>
    </row>
    <row r="7" ht="27.95" customHeight="1">
      <c r="A7" s="5" t="inlineStr">
        <is>
          <t>Having a holistic view to manage users across the enterprise with a single identity and sign-on.</t>
        </is>
      </c>
      <c r="B7" s="5" t="n"/>
      <c r="C7" s="5" t="n"/>
      <c r="D7" s="5" t="n"/>
      <c r="E7" s="5" t="n">
        <v>3</v>
      </c>
      <c r="F7" s="5" t="n"/>
      <c r="G7" s="5">
        <f>SUM(B7:F7)</f>
        <v/>
      </c>
    </row>
    <row r="8" ht="29.45" customHeight="1">
      <c r="A8" s="5" t="inlineStr">
        <is>
          <t>Having processes in place to restore applications with no business impact and data loss.</t>
        </is>
      </c>
      <c r="B8" s="5" t="n"/>
      <c r="C8" s="5" t="n"/>
      <c r="D8" s="5" t="n"/>
      <c r="E8" s="5" t="n"/>
      <c r="F8" s="5" t="n">
        <v>4</v>
      </c>
      <c r="G8" s="5">
        <f>SUM(B8:F8)</f>
        <v/>
      </c>
    </row>
    <row r="9" ht="29.45" customHeight="1">
      <c r="A9" s="5" t="inlineStr">
        <is>
          <t>Speed of recovery from a disaster or business continuity event.</t>
        </is>
      </c>
      <c r="B9" s="5" t="n"/>
      <c r="C9" s="5" t="n"/>
      <c r="D9" s="5" t="n"/>
      <c r="E9" s="5" t="n"/>
      <c r="F9" s="5" t="n">
        <v>4</v>
      </c>
      <c r="G9" s="5">
        <f>SUM(B9:F9)</f>
        <v/>
      </c>
    </row>
    <row r="10" ht="14.1" customHeight="1">
      <c r="A10" s="10" t="inlineStr">
        <is>
          <t>Business Priority Score:</t>
        </is>
      </c>
      <c r="B10" s="10" t="n"/>
      <c r="C10" s="10" t="n"/>
      <c r="D10" s="10" t="n"/>
      <c r="E10" s="10" t="n"/>
      <c r="F10" s="10" t="n"/>
      <c r="G10" s="10">
        <f>SUM(G3:G9)</f>
        <v/>
      </c>
      <c r="H10" s="4">
        <f>COUNTIF(A3:A9,"*")*4</f>
        <v/>
      </c>
      <c r="I10" s="4">
        <f>G10/H10*10</f>
        <v/>
      </c>
    </row>
    <row r="13">
      <c r="A13" s="3" t="n"/>
      <c r="B13" s="3" t="n"/>
      <c r="C13" s="3" t="n"/>
      <c r="D13" s="3" t="n"/>
      <c r="E13" s="3" t="n"/>
      <c r="F13" s="3" t="n"/>
      <c r="G13" s="3" t="n"/>
    </row>
    <row r="14" ht="30" customHeight="1">
      <c r="A14" s="7" t="inlineStr">
        <is>
          <t>Current State</t>
        </is>
      </c>
      <c r="B14" s="8" t="inlineStr">
        <is>
          <t>Does not exist (0)</t>
        </is>
      </c>
      <c r="C14" s="9" t="inlineStr">
        <is>
          <t>Exists, but 
not formalized (1)</t>
        </is>
      </c>
      <c r="D14" s="9" t="inlineStr">
        <is>
          <t>Formalized, but
needs development (2)</t>
        </is>
      </c>
      <c r="E14" s="9" t="inlineStr">
        <is>
          <t>Formalized and 
performing (3)</t>
        </is>
      </c>
      <c r="F14" s="8" t="inlineStr">
        <is>
          <t>Score</t>
        </is>
      </c>
      <c r="H14" s="6" t="inlineStr">
        <is>
          <t>Max Value</t>
        </is>
      </c>
      <c r="I14" s="6" t="inlineStr">
        <is>
          <t>Max Value</t>
        </is>
      </c>
    </row>
    <row r="15" ht="19.5" customHeight="1">
      <c r="A15" s="5" t="inlineStr">
        <is>
          <t>All resources related to a single application or single type are managed collectively.</t>
        </is>
      </c>
      <c r="B15" s="5" t="n"/>
      <c r="C15" s="4" t="n">
        <v>1</v>
      </c>
      <c r="F15" s="4">
        <f>SUM(B15:E15)</f>
        <v/>
      </c>
    </row>
    <row r="16" ht="19.5" customHeight="1">
      <c r="A16" s="5" t="inlineStr">
        <is>
          <t>We have a formal process to control and approve changes.</t>
        </is>
      </c>
      <c r="B16" s="5" t="n"/>
      <c r="E16" s="4" t="n">
        <v>3</v>
      </c>
      <c r="F16" s="4">
        <f>SUM(B16:E16)</f>
        <v/>
      </c>
    </row>
    <row r="17" ht="19.5" customHeight="1">
      <c r="A17" s="1" t="inlineStr">
        <is>
          <t>We backup our data and verify the integrity of the restore process.</t>
        </is>
      </c>
      <c r="B17" s="5" t="n"/>
      <c r="C17" s="4" t="n">
        <v>1</v>
      </c>
      <c r="F17" s="4">
        <f>SUM(B17:E17)</f>
        <v/>
      </c>
    </row>
    <row r="18" ht="33" customHeight="1">
      <c r="A18" s="5" t="inlineStr">
        <is>
          <t>System and software changes undergo functional and performance testing prior to Production release.</t>
        </is>
      </c>
      <c r="B18" s="5" t="n">
        <v>0</v>
      </c>
      <c r="F18" s="4">
        <f>SUM(B18:E18)</f>
        <v/>
      </c>
    </row>
    <row r="19" ht="19.5" customHeight="1">
      <c r="A19" s="5" t="inlineStr">
        <is>
          <t>We continually monitor resource and systems performance.</t>
        </is>
      </c>
      <c r="B19" s="5" t="n">
        <v>0</v>
      </c>
      <c r="F19" s="4">
        <f>SUM(B19:E19)</f>
        <v/>
      </c>
    </row>
    <row r="20" ht="30.95" customHeight="1">
      <c r="A20" s="5" t="inlineStr">
        <is>
          <t>Our subscription and tagging strategies align with cloud accounting models, deployment needs, and resource consistency policies.</t>
        </is>
      </c>
      <c r="B20" s="5" t="n"/>
      <c r="D20" s="4" t="n">
        <v>2</v>
      </c>
      <c r="F20" s="4">
        <f>SUM(B20:E20)</f>
        <v/>
      </c>
    </row>
    <row r="21" ht="15.6" customHeight="1">
      <c r="A21" s="5" t="inlineStr">
        <is>
          <t>We have processes in place to identify configuration drift.</t>
        </is>
      </c>
      <c r="B21" s="5" t="n">
        <v>0</v>
      </c>
      <c r="F21" s="4">
        <f>SUM(B21:E21)</f>
        <v/>
      </c>
    </row>
    <row r="22" ht="16.5" customHeight="1">
      <c r="A22" s="5" t="inlineStr">
        <is>
          <t>We have a formal process for managing the hardening of OS images.</t>
        </is>
      </c>
      <c r="B22" s="5" t="n"/>
      <c r="C22" s="4" t="n">
        <v>1</v>
      </c>
      <c r="F22" s="4">
        <f>SUM(B22:E22)</f>
        <v/>
      </c>
    </row>
    <row r="23" ht="27.95" customHeight="1">
      <c r="A23" s="5" t="inlineStr">
        <is>
          <t>We leverage automation tools to ensure resource deployments are scripted and orchestrated.</t>
        </is>
      </c>
      <c r="B23" s="5" t="n">
        <v>0</v>
      </c>
      <c r="F23" s="4">
        <f>SUM(B23:E23)</f>
        <v/>
      </c>
    </row>
    <row r="24" ht="14.1" customHeight="1">
      <c r="A24" s="5" t="inlineStr">
        <is>
          <t>We have a formal process for patch application and vulnerability detection.</t>
        </is>
      </c>
      <c r="B24" s="5" t="n"/>
      <c r="D24" s="4" t="n">
        <v>2</v>
      </c>
      <c r="F24" s="4">
        <f>SUM(B24:E24)</f>
        <v/>
      </c>
    </row>
    <row r="25" ht="32.1" customHeight="1">
      <c r="A25" s="5" t="inlineStr">
        <is>
          <t>We have a clear process to understand Role definitions and Role assignments to manage access to resources.</t>
        </is>
      </c>
      <c r="B25" s="5" t="n"/>
      <c r="D25" s="4" t="n">
        <v>2</v>
      </c>
      <c r="F25" s="4">
        <f>SUM(B25:E25)</f>
        <v/>
      </c>
    </row>
    <row r="26" ht="32.45" customHeight="1">
      <c r="A26" s="5" t="inlineStr">
        <is>
          <t xml:space="preserve">We have worked with the business to document business risk &amp; acceptable recovery times (RTO/RPO). </t>
        </is>
      </c>
      <c r="B26" s="5" t="n">
        <v>0</v>
      </c>
      <c r="F26" s="4">
        <f>SUM(B26:E26)</f>
        <v/>
      </c>
    </row>
    <row r="27" ht="32.45" customHeight="1">
      <c r="A27" s="5" t="inlineStr">
        <is>
          <t xml:space="preserve">We have formal processes in place to restore applications. </t>
        </is>
      </c>
      <c r="B27" s="5" t="n">
        <v>0</v>
      </c>
      <c r="F27" s="4">
        <f>SUM(B27:E27)</f>
        <v/>
      </c>
    </row>
    <row r="28" ht="30.95" customHeight="1">
      <c r="A28" s="5" t="inlineStr">
        <is>
          <t>We have documented Disaster Recovery (DR) plans and periodically test our capabilities.</t>
        </is>
      </c>
      <c r="B28" s="5" t="n">
        <v>0</v>
      </c>
      <c r="F28" s="4">
        <f>SUM(B28:E28)</f>
        <v/>
      </c>
    </row>
    <row r="29" ht="14.1" customHeight="1">
      <c r="A29" s="10" t="inlineStr">
        <is>
          <t>Current State Value:</t>
        </is>
      </c>
      <c r="B29" s="10" t="n"/>
      <c r="C29" s="10" t="n"/>
      <c r="D29" s="10" t="n"/>
      <c r="E29" s="10" t="n"/>
      <c r="F29" s="10">
        <f>SUM(F15:F28)</f>
        <v/>
      </c>
      <c r="H29" s="11">
        <f>COUNTIF(A15:A28,"*")*3</f>
        <v/>
      </c>
      <c r="I29" s="15">
        <f>(F29/H29)*10</f>
        <v/>
      </c>
    </row>
    <row r="30">
      <c r="A30" s="3" t="n"/>
      <c r="B30" s="3" t="n"/>
      <c r="C30" s="3" t="n"/>
      <c r="D30" s="3" t="n"/>
      <c r="E30" s="3" t="n"/>
      <c r="F30" s="3" t="n"/>
      <c r="G30" s="3" t="n"/>
    </row>
  </sheetData>
  <mergeCells count="1">
    <mergeCell ref="A1:G1"/>
  </mergeCells>
  <dataValidations count="5">
    <dataValidation sqref="F3 F7:F9" showDropDown="0" showInputMessage="1" showErrorMessage="1" allowBlank="1" type="whole" operator="equal">
      <formula1>4</formula1>
    </dataValidation>
    <dataValidation sqref="D3 D7:D9 D15:D28" showDropDown="0" showInputMessage="1" showErrorMessage="1" allowBlank="1" type="whole" operator="equal">
      <formula1>2</formula1>
    </dataValidation>
    <dataValidation sqref="C3 C7:C9 C15:C28" showDropDown="0" showInputMessage="1" showErrorMessage="1" allowBlank="1" type="whole" operator="equal">
      <formula1>1</formula1>
    </dataValidation>
    <dataValidation sqref="B3 B7:B9 B15:B28" showDropDown="0" showInputMessage="1" showErrorMessage="1" allowBlank="1" type="whole" operator="equal">
      <formula1>0</formula1>
    </dataValidation>
    <dataValidation sqref="E3 E7:E9 E15:E28" showDropDown="0" showInputMessage="1" showErrorMessage="1" allowBlank="1" type="whole" operator="equal">
      <formula1>3</formula1>
    </dataValidation>
  </dataValidations>
  <pageMargins left="0.7" right="0.7" top="0.75" bottom="0.75" header="0.3" footer="0.3"/>
  <pageSetup orientation="portrait" horizontalDpi="4294967294"/>
</worksheet>
</file>

<file path=xl/worksheets/sheet7.xml><?xml version="1.0" encoding="utf-8"?>
<worksheet xmlns="http://schemas.openxmlformats.org/spreadsheetml/2006/main">
  <sheetPr>
    <outlinePr summaryBelow="1" summaryRight="1"/>
    <pageSetUpPr/>
  </sheetPr>
  <dimension ref="A1:I18"/>
  <sheetViews>
    <sheetView zoomScaleNormal="100" workbookViewId="0">
      <selection activeCell="D23" sqref="D23"/>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8.7109375" customWidth="1" style="4" min="9" max="16384"/>
  </cols>
  <sheetData>
    <row r="1" ht="43.5" customHeight="1">
      <c r="A1" s="36" t="inlineStr">
        <is>
          <t>Cost Management - Process to effectively plan and control costs involved in adopting cloud technologies.
Tasks are normally performed by finance, management, and app development teams.</t>
        </is>
      </c>
      <c r="B1" s="34" t="n"/>
      <c r="C1" s="34" t="n"/>
      <c r="D1" s="34" t="n"/>
      <c r="E1" s="34" t="n"/>
      <c r="F1" s="34" t="n"/>
      <c r="G1" s="35"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48.95" customHeight="1">
      <c r="A3" s="5" t="inlineStr">
        <is>
          <t>Creating comprehensive plans to (a) identify business outcomes enabled by the cloud and (b) identify expected usage/cost patterns from resources supporting those business outcomes.</t>
        </is>
      </c>
      <c r="B3" s="5" t="n"/>
      <c r="C3" s="5" t="n"/>
      <c r="D3" s="5" t="n"/>
      <c r="E3" s="5" t="n">
        <v>3</v>
      </c>
      <c r="F3" s="5" t="n"/>
      <c r="G3" s="5">
        <f>SUM(B3:F3)</f>
        <v/>
      </c>
    </row>
    <row r="4" ht="29.45" customHeight="1">
      <c r="A4" s="5" t="inlineStr">
        <is>
          <t>Helping find underused resources to remove wastage and maximize cost saving opportunities.</t>
        </is>
      </c>
      <c r="E4" s="4" t="n">
        <v>3</v>
      </c>
      <c r="G4" s="5">
        <f>SUM(B4:F4)</f>
        <v/>
      </c>
    </row>
    <row r="5" ht="32.1" customHeight="1">
      <c r="A5" s="5" t="inlineStr">
        <is>
          <t>Organizing resources to maximize insights into cost attribution (and business impact) to have accountability for efficient spending.</t>
        </is>
      </c>
      <c r="E5" s="4" t="n">
        <v>3</v>
      </c>
      <c r="G5" s="5">
        <f>SUM(B5:F5)</f>
        <v/>
      </c>
    </row>
    <row r="6" ht="29.1" customHeight="1">
      <c r="A6" s="5" t="inlineStr">
        <is>
          <t>Leveraging tagging feature to categorize resources for managing and billing to reduce unnecessary costs in subscriptions.</t>
        </is>
      </c>
      <c r="B6" s="5" t="n"/>
      <c r="C6" s="5" t="n"/>
      <c r="D6" s="5" t="n"/>
      <c r="E6" s="5" t="n"/>
      <c r="F6" s="5" t="n">
        <v>4</v>
      </c>
      <c r="G6" s="5">
        <f>SUM(B6:F6)</f>
        <v/>
      </c>
    </row>
    <row r="7" ht="14.1" customHeight="1">
      <c r="A7" s="10" t="inlineStr">
        <is>
          <t>Business Priority Score:</t>
        </is>
      </c>
      <c r="B7" s="10" t="n"/>
      <c r="C7" s="10" t="n"/>
      <c r="D7" s="10" t="n"/>
      <c r="E7" s="10" t="n"/>
      <c r="F7" s="10" t="n"/>
      <c r="G7" s="10">
        <f>SUM(G3:G6)</f>
        <v/>
      </c>
      <c r="H7" s="4">
        <f>COUNTIF(A3:A6,"*")*4</f>
        <v/>
      </c>
      <c r="I7" s="4">
        <f>G7/H7*10</f>
        <v/>
      </c>
    </row>
    <row r="10">
      <c r="A10" s="3" t="n"/>
      <c r="B10" s="3" t="n"/>
      <c r="C10" s="3" t="n"/>
      <c r="D10" s="3" t="n"/>
      <c r="E10" s="3" t="n"/>
      <c r="F10" s="3" t="n"/>
      <c r="G10" s="3" t="n"/>
    </row>
    <row r="11" ht="30" customHeight="1">
      <c r="A11" s="7" t="inlineStr">
        <is>
          <t>Current State</t>
        </is>
      </c>
      <c r="B11" s="8" t="inlineStr">
        <is>
          <t>Does not exist (0)</t>
        </is>
      </c>
      <c r="C11" s="9" t="inlineStr">
        <is>
          <t>Exists, but 
not formalized (1)</t>
        </is>
      </c>
      <c r="D11" s="9" t="inlineStr">
        <is>
          <t>Formalized, but
needs development (2)</t>
        </is>
      </c>
      <c r="E11" s="9" t="inlineStr">
        <is>
          <t>Formalized and 
performing (3)</t>
        </is>
      </c>
      <c r="F11" s="8" t="inlineStr">
        <is>
          <t>Score</t>
        </is>
      </c>
      <c r="H11" s="6" t="inlineStr">
        <is>
          <t>Max Value</t>
        </is>
      </c>
      <c r="I11" s="6" t="inlineStr">
        <is>
          <t>Max Value</t>
        </is>
      </c>
    </row>
    <row r="12" ht="36.95" customHeight="1">
      <c r="A12" s="1" t="inlineStr">
        <is>
          <t>We understand the accounting change from Capital expense (CapEx) to Operating Expense (OpEx) and have a funding process for projects.</t>
        </is>
      </c>
      <c r="B12" s="5" t="n"/>
      <c r="C12" s="4" t="n">
        <v>1</v>
      </c>
      <c r="F12" s="4">
        <f>SUM(B12:E12)</f>
        <v/>
      </c>
    </row>
    <row r="13" ht="29.1" customHeight="1">
      <c r="A13" s="5" t="inlineStr">
        <is>
          <t xml:space="preserve">We have a well-developed cost model, and we can effectively manage plan vs. actual spend. </t>
        </is>
      </c>
      <c r="B13" s="5" t="n"/>
      <c r="C13" s="4" t="n">
        <v>1</v>
      </c>
      <c r="F13" s="4">
        <f>SUM(B13:E13)</f>
        <v/>
      </c>
    </row>
    <row r="14" ht="32.1" customHeight="1">
      <c r="A14" s="1" t="inlineStr">
        <is>
          <t>We have a clear understanding of our current spend trajectory and how to manage spikes.</t>
        </is>
      </c>
      <c r="B14" s="5" t="n">
        <v>0</v>
      </c>
      <c r="F14" s="4">
        <f>SUM(B14:E14)</f>
        <v/>
      </c>
    </row>
    <row r="15" ht="30.95" customHeight="1">
      <c r="A15" s="1" t="inlineStr">
        <is>
          <t>We have a documented and agreed to policy for cost allocation, shared costs across the organization and costs specific to a project.</t>
        </is>
      </c>
      <c r="B15" s="5" t="n"/>
      <c r="D15" s="4" t="n">
        <v>2</v>
      </c>
      <c r="F15" s="4">
        <f>SUM(B15:E15)</f>
        <v/>
      </c>
    </row>
    <row r="16" ht="27.95" customHeight="1">
      <c r="A16" s="1" t="inlineStr">
        <is>
          <t>When architecting solutions, we conduct cost tradeoff analysis of each option and it factors into our decision</t>
        </is>
      </c>
      <c r="B16" s="5" t="n"/>
      <c r="D16" s="4" t="n">
        <v>2</v>
      </c>
      <c r="F16" s="4">
        <f>SUM(B16:E16)</f>
        <v/>
      </c>
    </row>
    <row r="17" ht="14.1" customHeight="1">
      <c r="A17" s="10" t="inlineStr">
        <is>
          <t>Current State Value:</t>
        </is>
      </c>
      <c r="B17" s="10" t="n"/>
      <c r="C17" s="10" t="n"/>
      <c r="D17" s="10" t="n"/>
      <c r="E17" s="10" t="n"/>
      <c r="F17" s="10">
        <f>SUM(F12:F16)</f>
        <v/>
      </c>
      <c r="H17" s="11">
        <f>COUNTIF(A12:A16,"*")*3</f>
        <v/>
      </c>
      <c r="I17" s="15">
        <f>(F17/H17)*10</f>
        <v/>
      </c>
    </row>
    <row r="18">
      <c r="A18" s="3" t="n"/>
      <c r="B18" s="3" t="n"/>
      <c r="C18" s="3" t="n"/>
      <c r="D18" s="3" t="n"/>
      <c r="E18" s="3" t="n"/>
      <c r="F18" s="3" t="n"/>
      <c r="G18" s="3" t="n"/>
    </row>
  </sheetData>
  <mergeCells count="1">
    <mergeCell ref="A1:G1"/>
  </mergeCells>
  <dataValidations count="5">
    <dataValidation sqref="E3 E6 E12:E16" showDropDown="0" showInputMessage="1" showErrorMessage="1" allowBlank="1" type="whole" operator="equal">
      <formula1>3</formula1>
    </dataValidation>
    <dataValidation sqref="B3 B6 B12:B16" showDropDown="0" showInputMessage="1" showErrorMessage="1" allowBlank="1" type="whole" operator="equal">
      <formula1>0</formula1>
    </dataValidation>
    <dataValidation sqref="C3 C6 C12:C16" showDropDown="0" showInputMessage="1" showErrorMessage="1" allowBlank="1" type="whole" operator="equal">
      <formula1>1</formula1>
    </dataValidation>
    <dataValidation sqref="D3 D6 D12:D16" showDropDown="0" showInputMessage="1" showErrorMessage="1" allowBlank="1" type="whole" operator="equal">
      <formula1>2</formula1>
    </dataValidation>
    <dataValidation sqref="F3 F6" showDropDown="0" showInputMessage="1" showErrorMessage="1" allowBlank="1" type="whole" operator="equal">
      <formula1>4</formula1>
    </dataValidation>
  </dataValidations>
  <pageMargins left="0.7" right="0.7" top="0.75" bottom="0.75" header="0.3" footer="0.3"/>
  <pageSetup orientation="portrait" horizontalDpi="4294967294"/>
</worksheet>
</file>

<file path=xl/worksheets/sheet8.xml><?xml version="1.0" encoding="utf-8"?>
<worksheet xmlns="http://schemas.openxmlformats.org/spreadsheetml/2006/main">
  <sheetPr>
    <outlinePr summaryBelow="1" summaryRight="1"/>
    <pageSetUpPr/>
  </sheetPr>
  <dimension ref="A1:I27"/>
  <sheetViews>
    <sheetView zoomScaleNormal="100" workbookViewId="0">
      <selection activeCell="A1" sqref="A1:G1"/>
    </sheetView>
  </sheetViews>
  <sheetFormatPr baseColWidth="8" defaultColWidth="8.7109375" defaultRowHeight="12.95"/>
  <cols>
    <col width="70.42578125" customWidth="1" style="4" min="1" max="1"/>
    <col width="24.85546875" customWidth="1" style="4" min="2" max="2"/>
    <col width="25.85546875" bestFit="1" customWidth="1" style="4" min="3" max="3"/>
    <col width="24.85546875" customWidth="1" style="4" min="4" max="7"/>
    <col width="10.42578125" bestFit="1" customWidth="1" style="4" min="8" max="8"/>
    <col width="8.7109375" customWidth="1" style="4" min="9" max="16384"/>
  </cols>
  <sheetData>
    <row r="1" ht="43.5" customHeight="1">
      <c r="A1" s="36" t="inlineStr">
        <is>
          <t>Data Management - Policies and processes for data life cycle management, access and visibility, and compliance.</t>
        </is>
      </c>
      <c r="B1" s="34" t="n"/>
      <c r="C1" s="34" t="n"/>
      <c r="D1" s="34" t="n"/>
      <c r="E1" s="34" t="n"/>
      <c r="F1" s="34" t="n"/>
      <c r="G1" s="35" t="n"/>
    </row>
    <row r="2" ht="18" customHeight="1">
      <c r="A2" s="7" t="inlineStr">
        <is>
          <t>Business Priority</t>
        </is>
      </c>
      <c r="B2" s="8" t="inlineStr">
        <is>
          <t>Don't know (0)</t>
        </is>
      </c>
      <c r="C2" s="8" t="inlineStr">
        <is>
          <t xml:space="preserve">    Not Important (1)</t>
        </is>
      </c>
      <c r="D2" s="8" t="inlineStr">
        <is>
          <t>Somewhat important (2)</t>
        </is>
      </c>
      <c r="E2" s="8" t="inlineStr">
        <is>
          <t>Very Important (3)</t>
        </is>
      </c>
      <c r="F2" s="8" t="inlineStr">
        <is>
          <t>Critical (4)</t>
        </is>
      </c>
      <c r="G2" s="8" t="inlineStr">
        <is>
          <t>Score</t>
        </is>
      </c>
      <c r="H2" s="6" t="inlineStr">
        <is>
          <t>Max Value</t>
        </is>
      </c>
      <c r="I2" s="6" t="inlineStr">
        <is>
          <t>Adjusted Value</t>
        </is>
      </c>
    </row>
    <row r="3" ht="14.1" customHeight="1">
      <c r="A3" s="1" t="inlineStr">
        <is>
          <t>Data as an asset and competitive advantage.</t>
        </is>
      </c>
      <c r="E3" s="4" t="n">
        <v>3</v>
      </c>
      <c r="G3" s="5">
        <f>SUM(B3:F3)</f>
        <v/>
      </c>
    </row>
    <row r="4" ht="14.1" customHeight="1">
      <c r="A4" s="1" t="inlineStr">
        <is>
          <t>Clear data ownership across the organization.</t>
        </is>
      </c>
      <c r="E4" s="4" t="n">
        <v>3</v>
      </c>
      <c r="G4" s="5">
        <f>SUM(B4:F4)</f>
        <v/>
      </c>
    </row>
    <row r="5" ht="14.1" customHeight="1">
      <c r="A5" s="1" t="inlineStr">
        <is>
          <t>Concern with cybersecurity and data breaches.</t>
        </is>
      </c>
      <c r="F5" s="4" t="n">
        <v>4</v>
      </c>
      <c r="G5" s="5">
        <f>SUM(B5:F5)</f>
        <v/>
      </c>
    </row>
    <row r="6" ht="14.1" customHeight="1">
      <c r="A6" s="1" t="inlineStr">
        <is>
          <t>Driving innovation and new products with data.</t>
        </is>
      </c>
      <c r="E6" s="4" t="n">
        <v>3</v>
      </c>
      <c r="G6" s="5">
        <f>SUM(B6:F6)</f>
        <v/>
      </c>
    </row>
    <row r="7" ht="14.1" customHeight="1">
      <c r="A7" s="1" t="inlineStr">
        <is>
          <t>Adoption of Machine Learning and AI.</t>
        </is>
      </c>
      <c r="B7" s="5" t="n"/>
      <c r="C7" s="5" t="n"/>
      <c r="D7" s="5" t="n">
        <v>2</v>
      </c>
      <c r="E7" s="5" t="n"/>
      <c r="F7" s="5" t="n"/>
      <c r="G7" s="5">
        <f>SUM(B7:F7)</f>
        <v/>
      </c>
    </row>
    <row r="8" ht="27.95" customHeight="1">
      <c r="A8" s="1" t="inlineStr">
        <is>
          <t>A well articulated and holistic data strategy (Pain points of data fragmentation, lack of reusability, manual data quality checks, lack of data products).</t>
        </is>
      </c>
      <c r="B8" s="5" t="n"/>
      <c r="C8" s="5" t="n"/>
      <c r="D8" s="5" t="n"/>
      <c r="E8" s="5" t="n">
        <v>3</v>
      </c>
      <c r="F8" s="5" t="n"/>
      <c r="G8" s="5">
        <f>SUM(B8:F8)</f>
        <v/>
      </c>
    </row>
    <row r="9" ht="14.1" customHeight="1">
      <c r="A9" s="10" t="inlineStr">
        <is>
          <t>Business Priority Score:</t>
        </is>
      </c>
      <c r="B9" s="10" t="n"/>
      <c r="C9" s="10" t="n"/>
      <c r="D9" s="10" t="n"/>
      <c r="E9" s="10" t="n"/>
      <c r="F9" s="10" t="n"/>
      <c r="G9" s="10">
        <f>SUM(G3:G8)</f>
        <v/>
      </c>
      <c r="H9" s="4">
        <f>COUNTIF(A3:A8,"*")*4</f>
        <v/>
      </c>
      <c r="I9" s="4">
        <f>G9/H9*10</f>
        <v/>
      </c>
    </row>
    <row r="12">
      <c r="A12" s="3" t="n"/>
      <c r="B12" s="3" t="n"/>
      <c r="C12" s="3" t="n"/>
      <c r="D12" s="3" t="n"/>
      <c r="E12" s="3" t="n"/>
      <c r="F12" s="3" t="n"/>
      <c r="G12" s="3" t="n"/>
    </row>
    <row r="13" ht="30" customHeight="1">
      <c r="A13" s="7" t="inlineStr">
        <is>
          <t>Current State</t>
        </is>
      </c>
      <c r="B13" s="8" t="inlineStr">
        <is>
          <t>Does not exist (0)</t>
        </is>
      </c>
      <c r="C13" s="9" t="inlineStr">
        <is>
          <t>Exists, but 
not formalized (1)</t>
        </is>
      </c>
      <c r="D13" s="9" t="inlineStr">
        <is>
          <t>Formalized, but
needs development (2)</t>
        </is>
      </c>
      <c r="E13" s="9" t="inlineStr">
        <is>
          <t>Formalized and 
performing (3)</t>
        </is>
      </c>
      <c r="F13" s="8" t="inlineStr">
        <is>
          <t>Score</t>
        </is>
      </c>
      <c r="H13" s="6" t="inlineStr">
        <is>
          <t>Max Value</t>
        </is>
      </c>
      <c r="I13" s="6" t="inlineStr">
        <is>
          <t>Max Value</t>
        </is>
      </c>
    </row>
    <row r="14" ht="14.1" customHeight="1">
      <c r="A14" s="1" t="inlineStr">
        <is>
          <t>We have a data management plan.</t>
        </is>
      </c>
      <c r="B14" s="5" t="n"/>
      <c r="C14" s="4" t="n">
        <v>1</v>
      </c>
      <c r="F14" s="5">
        <f>SUM(B14:E14)</f>
        <v/>
      </c>
    </row>
    <row r="15" ht="14.1" customHeight="1">
      <c r="A15" s="1" t="inlineStr">
        <is>
          <t>A data privacy policy exists.</t>
        </is>
      </c>
      <c r="B15" s="5" t="n"/>
      <c r="C15" s="4" t="n">
        <v>1</v>
      </c>
      <c r="F15" s="5">
        <f>SUM(B15:E15)</f>
        <v/>
      </c>
    </row>
    <row r="16" ht="14.1" customHeight="1">
      <c r="A16" s="1" t="inlineStr">
        <is>
          <t>Data compliance requirements are defined.</t>
        </is>
      </c>
      <c r="B16" s="5" t="n"/>
      <c r="C16" s="4" t="n">
        <v>1</v>
      </c>
      <c r="F16" s="5">
        <f>SUM(B16:E16)</f>
        <v/>
      </c>
    </row>
    <row r="17" ht="29.1" customHeight="1">
      <c r="A17" s="1" t="inlineStr">
        <is>
          <t>Data life cycle policies are in place for data retention, archiving, expiration/disposal/destruction.</t>
        </is>
      </c>
      <c r="B17" s="5" t="n"/>
      <c r="C17" s="4" t="n">
        <v>1</v>
      </c>
      <c r="F17" s="5">
        <f>SUM(B17:E17)</f>
        <v/>
      </c>
    </row>
    <row r="18" ht="14.1" customHeight="1">
      <c r="A18" s="1" t="inlineStr">
        <is>
          <t>Data is classified and tagged (criticality and severity) PII, PCI/DSS, Intellectual Property.</t>
        </is>
      </c>
      <c r="B18" s="5" t="n"/>
      <c r="C18" s="4" t="n">
        <v>1</v>
      </c>
      <c r="F18" s="5">
        <f>SUM(B18:E18)</f>
        <v/>
      </c>
    </row>
    <row r="19" ht="14.1" customHeight="1">
      <c r="A19" s="1" t="inlineStr">
        <is>
          <t>Data owners, roles, and responsibilities are identified.</t>
        </is>
      </c>
      <c r="B19" s="5" t="n"/>
      <c r="C19" s="4" t="n">
        <v>1</v>
      </c>
      <c r="F19" s="5">
        <f>SUM(B19:E19)</f>
        <v/>
      </c>
    </row>
    <row r="20" ht="14.1" customHeight="1">
      <c r="A20" s="1" t="inlineStr">
        <is>
          <t>Application workloads are aligned to data classifications.</t>
        </is>
      </c>
      <c r="B20" s="5" t="n"/>
      <c r="D20" s="4" t="n">
        <v>2</v>
      </c>
      <c r="F20" s="5">
        <f>SUM(B20:E20)</f>
        <v/>
      </c>
    </row>
    <row r="21" ht="27.95" customHeight="1">
      <c r="A21" s="1" t="inlineStr">
        <is>
          <t xml:space="preserve">Data life cycle is automated and storage types leveraged (hot – warm – cold) to save costs. </t>
        </is>
      </c>
      <c r="B21" s="5" t="n">
        <v>0</v>
      </c>
      <c r="F21" s="5">
        <f>SUM(B21:E21)</f>
        <v/>
      </c>
    </row>
    <row r="22" ht="14.1" customHeight="1">
      <c r="A22" s="1" t="inlineStr">
        <is>
          <t>We have a backup/snapshot retention policy,</t>
        </is>
      </c>
      <c r="B22" s="5" t="n"/>
      <c r="C22" s="4" t="n">
        <v>1</v>
      </c>
      <c r="F22" s="5">
        <f>SUM(B22:E22)</f>
        <v/>
      </c>
    </row>
    <row r="23" ht="14.1" customHeight="1">
      <c r="A23" s="1" t="inlineStr">
        <is>
          <t>Organization accounts are structured to segment and isolate data (PII, financial).</t>
        </is>
      </c>
      <c r="B23" s="5" t="n"/>
      <c r="C23" s="4" t="n">
        <v>1</v>
      </c>
      <c r="F23" s="5">
        <f>SUM(B23:E23)</f>
        <v/>
      </c>
    </row>
    <row r="24" ht="14.1" customHeight="1">
      <c r="A24" s="1" t="inlineStr">
        <is>
          <t>User groups and roles are used to control data access.</t>
        </is>
      </c>
      <c r="B24" s="5" t="n"/>
      <c r="D24" s="4" t="n">
        <v>2</v>
      </c>
      <c r="F24" s="5">
        <f>SUM(B24:E24)</f>
        <v/>
      </c>
    </row>
    <row r="25" ht="14.1" customHeight="1">
      <c r="A25" s="1" t="inlineStr">
        <is>
          <t>Data boundaries and DLP policies are in place.</t>
        </is>
      </c>
      <c r="B25" s="5" t="n"/>
      <c r="D25" s="4" t="n">
        <v>2</v>
      </c>
      <c r="F25" s="5">
        <f>SUM(B25:E25)</f>
        <v/>
      </c>
    </row>
    <row r="26" ht="14.1" customHeight="1">
      <c r="A26" s="10" t="inlineStr">
        <is>
          <t>Current State Value:</t>
        </is>
      </c>
      <c r="B26" s="10" t="n"/>
      <c r="C26" s="10" t="n"/>
      <c r="D26" s="10" t="n"/>
      <c r="E26" s="10" t="n"/>
      <c r="F26" s="10">
        <f>SUM(F14:F25)</f>
        <v/>
      </c>
      <c r="H26" s="11">
        <f>COUNTIF(A14:A25,"*")*3</f>
        <v/>
      </c>
      <c r="I26" s="15">
        <f>(F26/H26)*10</f>
        <v/>
      </c>
    </row>
    <row r="27">
      <c r="A27" s="3" t="n"/>
      <c r="B27" s="3" t="n"/>
      <c r="C27" s="3" t="n"/>
      <c r="D27" s="3" t="n"/>
      <c r="E27" s="3" t="n"/>
      <c r="F27" s="3" t="n"/>
      <c r="G27" s="3" t="n"/>
    </row>
  </sheetData>
  <mergeCells count="1">
    <mergeCell ref="A1:G1"/>
  </mergeCells>
  <dataValidations count="5">
    <dataValidation sqref="F7:F8" showDropDown="0" showInputMessage="1" showErrorMessage="1" allowBlank="1" type="whole" operator="equal">
      <formula1>4</formula1>
    </dataValidation>
    <dataValidation sqref="D7:D8 D14:D25" showDropDown="0" showInputMessage="1" showErrorMessage="1" allowBlank="1" type="whole" operator="equal">
      <formula1>2</formula1>
    </dataValidation>
    <dataValidation sqref="C7:C8 C14:C25" showDropDown="0" showInputMessage="1" showErrorMessage="1" allowBlank="1" type="whole" operator="equal">
      <formula1>1</formula1>
    </dataValidation>
    <dataValidation sqref="B7:B8 B14:B25" showDropDown="0" showInputMessage="1" showErrorMessage="1" allowBlank="1" type="whole" operator="equal">
      <formula1>0</formula1>
    </dataValidation>
    <dataValidation sqref="E7:E8 E14:E25" showDropDown="0" showInputMessage="1" showErrorMessage="1" allowBlank="1" type="whole" operator="equal">
      <formula1>3</formula1>
    </dataValidation>
  </dataValidations>
  <pageMargins left="0.7" right="0.7" top="0.75" bottom="0.75" header="0.3" footer="0.3"/>
  <pageSetup orientation="portrait" horizontalDpi="4294967294"/>
</worksheet>
</file>

<file path=xl/worksheets/sheet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40" customWidth="1" min="3" max="3"/>
    <col width="45" customWidth="1" min="4" max="4"/>
    <col width="45" customWidth="1" min="5" max="5"/>
    <col width="12" customWidth="1" min="6" max="6"/>
    <col width="18" customWidth="1" min="7" max="7"/>
  </cols>
  <sheetData>
    <row r="1">
      <c r="A1" s="37" t="inlineStr">
        <is>
          <t>Cloud Governance Gap Register — Gaps to Close Before or During Part 2</t>
        </is>
      </c>
    </row>
    <row r="2">
      <c r="A2" s="38" t="inlineStr">
        <is>
          <t>Gap ID</t>
        </is>
      </c>
      <c r="B2" s="38" t="inlineStr">
        <is>
          <t>Domain</t>
        </is>
      </c>
      <c r="C2" s="38" t="inlineStr">
        <is>
          <t>Gap Description</t>
        </is>
      </c>
      <c r="D2" s="38" t="inlineStr">
        <is>
          <t>Business Risk if Not Closed</t>
        </is>
      </c>
      <c r="E2" s="38" t="inlineStr">
        <is>
          <t>Recommended Action</t>
        </is>
      </c>
      <c r="F2" s="38" t="inlineStr">
        <is>
          <t>Priority</t>
        </is>
      </c>
      <c r="G2" s="38" t="inlineStr">
        <is>
          <t>Part 2 Dependency?</t>
        </is>
      </c>
    </row>
    <row r="3">
      <c r="A3" s="39" t="inlineStr">
        <is>
          <t>G001</t>
        </is>
      </c>
      <c r="B3" s="39" t="inlineStr">
        <is>
          <t>Identity &amp; Access Management</t>
        </is>
      </c>
      <c r="C3" s="39" t="inlineStr">
        <is>
          <t>No RBAC model defined for cloud subscriptions</t>
        </is>
      </c>
      <c r="D3" s="39" t="inlineStr">
        <is>
          <t>Uncontrolled access to cloud resources; audit failure</t>
        </is>
      </c>
      <c r="E3" s="39" t="inlineStr">
        <is>
          <t>Design Azure RBAC / AWS IAM policy framework in Part 2 landing zone</t>
        </is>
      </c>
      <c r="F3" s="40" t="inlineStr">
        <is>
          <t>Critical</t>
        </is>
      </c>
      <c r="G3" s="39" t="inlineStr">
        <is>
          <t>Yes</t>
        </is>
      </c>
    </row>
    <row r="4">
      <c r="A4" s="41" t="inlineStr">
        <is>
          <t>G002</t>
        </is>
      </c>
      <c r="B4" s="41" t="inlineStr">
        <is>
          <t>Cost Management</t>
        </is>
      </c>
      <c r="C4" s="41" t="inlineStr">
        <is>
          <t>No FinOps process — cloud costs will not be allocated by BU</t>
        </is>
      </c>
      <c r="D4" s="41" t="inlineStr">
        <is>
          <t>Cloud cost overrun with no accountability; finance unable to attribute spend</t>
        </is>
      </c>
      <c r="E4" s="41" t="inlineStr">
        <is>
          <t>Implement tagging strategy and cost allocation model in landing zone</t>
        </is>
      </c>
      <c r="F4" s="42" t="inlineStr">
        <is>
          <t>High</t>
        </is>
      </c>
      <c r="G4" s="41" t="inlineStr">
        <is>
          <t>Yes</t>
        </is>
      </c>
    </row>
    <row r="5">
      <c r="A5" s="39" t="inlineStr">
        <is>
          <t>G003</t>
        </is>
      </c>
      <c r="B5" s="39" t="inlineStr">
        <is>
          <t>Change Management</t>
        </is>
      </c>
      <c r="C5" s="39" t="inlineStr">
        <is>
          <t>CAB lead time 10+ business days — blocks Phase 1 discovery</t>
        </is>
      </c>
      <c r="D5" s="39" t="inlineStr">
        <is>
          <t>Phase 1 delayed if firewall change not submitted on Day 1</t>
        </is>
      </c>
      <c r="E5" s="39" t="inlineStr">
        <is>
          <t>Submit CAB pre-engagement; target dedicated cloud change category</t>
        </is>
      </c>
      <c r="F5" s="40" t="inlineStr">
        <is>
          <t>Critical</t>
        </is>
      </c>
      <c r="G5" s="39" t="inlineStr">
        <is>
          <t>No (Phase 1 action)</t>
        </is>
      </c>
    </row>
    <row r="6">
      <c r="A6" s="41" t="inlineStr">
        <is>
          <t>G004</t>
        </is>
      </c>
      <c r="B6" s="41" t="inlineStr">
        <is>
          <t>Monitoring &amp; Observability</t>
        </is>
      </c>
      <c r="C6" s="41" t="inlineStr">
        <is>
          <t>No cloud-native monitoring capability — Dynatrace on-prem only</t>
        </is>
      </c>
      <c r="D6" s="41" t="inlineStr">
        <is>
          <t>Cloud workloads will not be monitored post-migration</t>
        </is>
      </c>
      <c r="E6" s="41" t="inlineStr">
        <is>
          <t>Deploy Azure Monitor / AWS CloudWatch / GCP Cloud Operations in Part 2</t>
        </is>
      </c>
      <c r="F6" s="42" t="inlineStr">
        <is>
          <t>High</t>
        </is>
      </c>
      <c r="G6" s="41" t="inlineStr">
        <is>
          <t>Yes</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0" customWidth="1" min="1" max="1"/>
    <col width="20" customWidth="1" min="2" max="2"/>
    <col width="20" customWidth="1" min="3" max="3"/>
    <col width="30" customWidth="1" min="4" max="4"/>
  </cols>
  <sheetData>
    <row r="1">
      <c r="A1" s="37" t="inlineStr">
        <is>
          <t>Cloud Governance Maturity — Executive Summary Dashboard</t>
        </is>
      </c>
    </row>
    <row r="2">
      <c r="A2" s="38" t="inlineStr">
        <is>
          <t>Governance Domain</t>
        </is>
      </c>
      <c r="B2" s="38" t="inlineStr">
        <is>
          <t>Current Maturity (1-5)</t>
        </is>
      </c>
      <c r="C2" s="38" t="inlineStr">
        <is>
          <t>Target Maturity (1-5)</t>
        </is>
      </c>
      <c r="D2" s="38" t="inlineStr">
        <is>
          <t>Status</t>
        </is>
      </c>
    </row>
    <row r="3">
      <c r="A3" s="43" t="inlineStr">
        <is>
          <t>Identity &amp; Access Management</t>
        </is>
      </c>
      <c r="B3" s="44" t="inlineStr">
        <is>
          <t>[Score from assessment tab]</t>
        </is>
      </c>
      <c r="C3" s="45" t="inlineStr">
        <is>
          <t>[Target score]</t>
        </is>
      </c>
      <c r="D3" s="46" t="inlineStr">
        <is>
          <t>[ ] Review maturity tabs and enter scores</t>
        </is>
      </c>
    </row>
    <row r="4">
      <c r="A4" s="47" t="inlineStr">
        <is>
          <t>Security &amp; Compliance</t>
        </is>
      </c>
      <c r="B4" s="44" t="inlineStr">
        <is>
          <t>[Score from assessment tab]</t>
        </is>
      </c>
      <c r="C4" s="48" t="inlineStr">
        <is>
          <t>[Target score]</t>
        </is>
      </c>
      <c r="D4" s="49" t="inlineStr">
        <is>
          <t>[ ] Review maturity tabs and enter scores</t>
        </is>
      </c>
    </row>
    <row r="5">
      <c r="A5" s="43" t="inlineStr">
        <is>
          <t>Change Management</t>
        </is>
      </c>
      <c r="B5" s="44" t="inlineStr">
        <is>
          <t>[Score from assessment tab]</t>
        </is>
      </c>
      <c r="C5" s="45" t="inlineStr">
        <is>
          <t>[Target score]</t>
        </is>
      </c>
      <c r="D5" s="46" t="inlineStr">
        <is>
          <t>[ ] Review maturity tabs and enter scores</t>
        </is>
      </c>
    </row>
    <row r="6">
      <c r="A6" s="47" t="inlineStr">
        <is>
          <t>Monitoring &amp; Observability</t>
        </is>
      </c>
      <c r="B6" s="44" t="inlineStr">
        <is>
          <t>[Score from assessment tab]</t>
        </is>
      </c>
      <c r="C6" s="48" t="inlineStr">
        <is>
          <t>[Target score]</t>
        </is>
      </c>
      <c r="D6" s="49" t="inlineStr">
        <is>
          <t>[ ] Review maturity tabs and enter scores</t>
        </is>
      </c>
    </row>
    <row r="7">
      <c r="A7" s="43" t="inlineStr">
        <is>
          <t>Cost Management (FinOps)</t>
        </is>
      </c>
      <c r="B7" s="44" t="inlineStr">
        <is>
          <t>[Score from assessment tab]</t>
        </is>
      </c>
      <c r="C7" s="45" t="inlineStr">
        <is>
          <t>[Target score]</t>
        </is>
      </c>
      <c r="D7" s="46" t="inlineStr">
        <is>
          <t>[ ] Review maturity tabs and enter scores</t>
        </is>
      </c>
    </row>
    <row r="8">
      <c r="A8" s="47" t="inlineStr">
        <is>
          <t>Operational Readiness</t>
        </is>
      </c>
      <c r="B8" s="44" t="inlineStr">
        <is>
          <t>[Score from assessment tab]</t>
        </is>
      </c>
      <c r="C8" s="48" t="inlineStr">
        <is>
          <t>[Target score]</t>
        </is>
      </c>
      <c r="D8" s="49" t="inlineStr">
        <is>
          <t>[ ] Review maturity tabs and enter scores</t>
        </is>
      </c>
    </row>
    <row r="10">
      <c r="A10" s="50" t="inlineStr">
        <is>
          <t>Overall Assessment Note:</t>
        </is>
      </c>
    </row>
    <row r="11" ht="40" customHeight="1">
      <c r="A11" s="51" t="inlineStr">
        <is>
          <t>[Enter overall governance readiness narrative for this customer. Reference the Gap Register for remediation roadmap.]</t>
        </is>
      </c>
    </row>
  </sheetData>
  <mergeCells count="2">
    <mergeCell ref="A1:D1"/>
    <mergeCell ref="A11:D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5" customWidth="1" min="1" max="1"/>
    <col width="30" customWidth="1" min="2" max="2"/>
    <col width="25" customWidth="1" min="3" max="3"/>
    <col width="30" customWidth="1" min="4" max="4"/>
    <col width="50" customWidth="1" min="5" max="5"/>
  </cols>
  <sheetData>
    <row r="1">
      <c r="A1" s="37" t="inlineStr">
        <is>
          <t>Framework Alignment — CAF / AWS WAF / Google Cloud Architecture Framework</t>
        </is>
      </c>
    </row>
    <row r="2">
      <c r="A2" s="38" t="inlineStr">
        <is>
          <t>Governance Domain</t>
        </is>
      </c>
      <c r="B2" s="38" t="inlineStr">
        <is>
          <t>CAF Stage / Pillar</t>
        </is>
      </c>
      <c r="C2" s="38" t="inlineStr">
        <is>
          <t>AWS WAF Pillar</t>
        </is>
      </c>
      <c r="D2" s="38" t="inlineStr">
        <is>
          <t>GCAF Pillar</t>
        </is>
      </c>
      <c r="E2" s="38" t="inlineStr">
        <is>
          <t>CRA Output</t>
        </is>
      </c>
    </row>
    <row r="3" ht="30" customHeight="1">
      <c r="A3" s="39" t="inlineStr">
        <is>
          <t>Identity &amp; Access Management</t>
        </is>
      </c>
      <c r="B3" s="39" t="inlineStr">
        <is>
          <t>CAF: Ready — Identity Management</t>
        </is>
      </c>
      <c r="C3" s="39" t="inlineStr">
        <is>
          <t>Security (IAM)</t>
        </is>
      </c>
      <c r="D3" s="39" t="inlineStr">
        <is>
          <t>Security, Privacy, Compliance</t>
        </is>
      </c>
      <c r="E3" s="39" t="inlineStr">
        <is>
          <t>Governance Maturity score + Gap Register → informs landing zone IAM design</t>
        </is>
      </c>
    </row>
    <row r="4" ht="30" customHeight="1">
      <c r="A4" s="41" t="inlineStr">
        <is>
          <t>Security &amp; Compliance</t>
        </is>
      </c>
      <c r="B4" s="41" t="inlineStr">
        <is>
          <t>CAF: Ready — Security Baseline</t>
        </is>
      </c>
      <c r="C4" s="41" t="inlineStr">
        <is>
          <t>Security</t>
        </is>
      </c>
      <c r="D4" s="41" t="inlineStr">
        <is>
          <t>Security, Privacy, Compliance</t>
        </is>
      </c>
      <c r="E4" s="41" t="inlineStr">
        <is>
          <t>Compliance requirements captured → cloud region constraints in TCO</t>
        </is>
      </c>
    </row>
    <row r="5" ht="30" customHeight="1">
      <c r="A5" s="39" t="inlineStr">
        <is>
          <t>Change Management</t>
        </is>
      </c>
      <c r="B5" s="39" t="inlineStr">
        <is>
          <t>CAF: Plan — Platform Automation</t>
        </is>
      </c>
      <c r="C5" s="39" t="inlineStr">
        <is>
          <t>Operational Excellence</t>
        </is>
      </c>
      <c r="D5" s="39" t="inlineStr">
        <is>
          <t>Operational Excellence</t>
        </is>
      </c>
      <c r="E5" s="39" t="inlineStr">
        <is>
          <t>CAB lead time documented → Phase 1 risk register item</t>
        </is>
      </c>
    </row>
    <row r="6" ht="30" customHeight="1">
      <c r="A6" s="41" t="inlineStr">
        <is>
          <t>Monitoring &amp; Observability</t>
        </is>
      </c>
      <c r="B6" s="41" t="inlineStr">
        <is>
          <t>CAF: Manage — Management Baseline</t>
        </is>
      </c>
      <c r="C6" s="41" t="inlineStr">
        <is>
          <t>Operational Excellence</t>
        </is>
      </c>
      <c r="D6" s="41" t="inlineStr">
        <is>
          <t>Operational Excellence</t>
        </is>
      </c>
      <c r="E6" s="41" t="inlineStr">
        <is>
          <t>Monitoring gap → Part 2 landing zone tooling requirement</t>
        </is>
      </c>
    </row>
    <row r="7" ht="30" customHeight="1">
      <c r="A7" s="39" t="inlineStr">
        <is>
          <t>Cost Management (FinOps)</t>
        </is>
      </c>
      <c r="B7" s="39" t="inlineStr">
        <is>
          <t>CAF: Govern — Cost Management</t>
        </is>
      </c>
      <c r="C7" s="39" t="inlineStr">
        <is>
          <t>Cost Optimisation</t>
        </is>
      </c>
      <c r="D7" s="39" t="inlineStr">
        <is>
          <t>Cost Optimisation</t>
        </is>
      </c>
      <c r="E7" s="39" t="inlineStr">
        <is>
          <t>FinOps maturity → TCO Layer (g) partner credits visibility</t>
        </is>
      </c>
    </row>
    <row r="8" ht="30" customHeight="1">
      <c r="A8" s="41" t="inlineStr">
        <is>
          <t>Operational Readiness</t>
        </is>
      </c>
      <c r="B8" s="41" t="inlineStr">
        <is>
          <t>CAF: Manage</t>
        </is>
      </c>
      <c r="C8" s="41" t="inlineStr">
        <is>
          <t>Reliability</t>
        </is>
      </c>
      <c r="D8" s="41" t="inlineStr">
        <is>
          <t>Reliability</t>
        </is>
      </c>
      <c r="E8" s="41" t="inlineStr">
        <is>
          <t>RTO/RPO requirements → Business Criticality scores in readiness template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2014-10-10T19:29:53Z</dcterms:created>
  <dcterms:modified xmlns:dcterms="http://purl.org/dc/terms/" xmlns:xsi="http://www.w3.org/2001/XMLSchema-instance" xsi:type="dcterms:W3CDTF">2026-06-03T05:46:07Z</dcterms:modified>
  <cp:lastModifiedBy>Max Hurn</cp:lastModifiedBy>
  <cp:category>Cloud</cp:categor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0x01010089BBD6F5A6045E4BA2A3D2BA2CBCB4CB</vt:lpwstr>
  </property>
  <property name="MediaServiceImageTags" fmtid="{D5CDD505-2E9C-101B-9397-08002B2CF9AE}" pid="3">
    <vt:lpwstr xmlns:vt="http://schemas.openxmlformats.org/officeDocument/2006/docPropsVTypes"/>
  </property>
</Properties>
</file>