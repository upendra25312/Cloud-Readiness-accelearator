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0" activeTab="2" autoFilterDateGrouping="1"/>
  </bookViews>
  <sheets>
    <sheet xmlns:r="http://schemas.openxmlformats.org/officeDocument/2006/relationships" name="Instructions" sheetId="1" state="visible" r:id="rId1"/>
    <sheet xmlns:r="http://schemas.openxmlformats.org/officeDocument/2006/relationships" name="GCP Evaluation" sheetId="2" state="visible" r:id="rId2"/>
    <sheet xmlns:r="http://schemas.openxmlformats.org/officeDocument/2006/relationships" name="Read Me" sheetId="3" state="visible" r:id="rId3"/>
    <sheet xmlns:r="http://schemas.openxmlformats.org/officeDocument/2006/relationships" name="Assumptions" sheetId="4" state="visible" r:id="rId4"/>
    <sheet xmlns:r="http://schemas.openxmlformats.org/officeDocument/2006/relationships" name="Unsupported OS &amp; Regions" sheetId="5" state="visible" r:id="rId5"/>
    <sheet xmlns:r="http://schemas.openxmlformats.org/officeDocument/2006/relationships" name="3yr CUD" sheetId="6" state="visible" r:id="rId6"/>
    <sheet xmlns:r="http://schemas.openxmlformats.org/officeDocument/2006/relationships" name="Managed Services" sheetId="7" state="visible" r:id="rId7"/>
  </sheets>
  <definedNames/>
  <calcPr calcId="191029" fullCalcOnLoad="1" iterateDelta="0.0001"/>
</workbook>
</file>

<file path=xl/styles.xml><?xml version="1.0" encoding="utf-8"?>
<styleSheet xmlns="http://schemas.openxmlformats.org/spreadsheetml/2006/main">
  <numFmts count="2">
    <numFmt numFmtId="164" formatCode="0.0"/>
    <numFmt numFmtId="165" formatCode="\$#,##0"/>
  </numFmts>
  <fonts count="23">
    <font>
      <name val="Calibri"/>
      <charset val="1"/>
      <family val="2"/>
      <color theme="1"/>
      <sz val="11"/>
    </font>
    <font>
      <name val="Arial"/>
      <color rgb="FF404040"/>
      <sz val="11"/>
    </font>
    <font>
      <name val="Calibri"/>
      <b val="1"/>
      <color rgb="FFFFFFFF"/>
      <sz val="18"/>
    </font>
    <font>
      <name val="Calibri"/>
      <b val="1"/>
      <color rgb="FFFFFFFF"/>
      <sz val="12"/>
    </font>
    <font>
      <name val="Calibri"/>
      <b val="1"/>
      <color rgb="FFFFFFFF"/>
      <sz val="11"/>
    </font>
    <font>
      <name val="Calibri"/>
      <b val="1"/>
      <color rgb="FFFFFFFF"/>
      <sz val="10"/>
    </font>
    <font>
      <name val="Calibri"/>
      <b val="1"/>
      <color rgb="FF1A1A1A"/>
      <sz val="11"/>
    </font>
    <font>
      <name val="Calibri"/>
      <color rgb="FF1A1A1A"/>
      <sz val="11"/>
    </font>
    <font>
      <name val="Calibri"/>
      <b val="1"/>
      <color rgb="FFFFFFFF"/>
      <sz val="16"/>
    </font>
    <font>
      <name val="Calibri"/>
      <color rgb="FF1F1F1F"/>
      <sz val="11"/>
    </font>
    <font>
      <name val="Calibri"/>
      <color rgb="FF0B1F3B"/>
      <sz val="10"/>
    </font>
    <font>
      <name val="Calibri"/>
      <color rgb="FF0563C1"/>
      <sz val="11"/>
      <u val="single"/>
    </font>
    <font>
      <name val="Calibri"/>
      <i val="1"/>
      <color rgb="FF595959"/>
      <sz val="11"/>
    </font>
    <font>
      <name val="Calibri"/>
      <b val="1"/>
      <color rgb="00E31C3D"/>
      <sz val="16"/>
    </font>
    <font>
      <name val="Calibri"/>
      <i val="1"/>
      <color rgb="00666666"/>
      <sz val="11"/>
    </font>
    <font>
      <name val="Calibri"/>
      <b val="1"/>
      <sz val="10"/>
    </font>
    <font>
      <name val="Calibri"/>
      <b val="1"/>
      <color rgb="00FFFFFF"/>
      <sz val="10"/>
    </font>
    <font>
      <name val="Calibri"/>
      <sz val="10"/>
    </font>
    <font>
      <name val="Calibri"/>
      <sz val="9"/>
    </font>
    <font>
      <name val="Calibri"/>
      <i val="1"/>
      <color rgb="00999999"/>
      <sz val="8"/>
    </font>
    <font>
      <name val="Calibri"/>
      <b val="1"/>
      <color rgb="00FFFFFF"/>
      <sz val="11"/>
    </font>
    <font>
      <name val="Calibri"/>
      <i val="1"/>
      <sz val="10"/>
    </font>
    <font>
      <name val="Calibri"/>
      <i val="1"/>
      <color rgb="00888888"/>
      <sz val="9"/>
    </font>
  </fonts>
  <fills count="16">
    <fill>
      <patternFill/>
    </fill>
    <fill>
      <patternFill patternType="gray125"/>
    </fill>
    <fill>
      <patternFill patternType="solid">
        <fgColor rgb="FF1F3864"/>
        <bgColor indexed="64"/>
      </patternFill>
    </fill>
    <fill>
      <patternFill patternType="solid">
        <fgColor rgb="FF2E75B6"/>
        <bgColor indexed="64"/>
      </patternFill>
    </fill>
    <fill>
      <patternFill patternType="solid">
        <fgColor rgb="FFD9E1F2"/>
        <bgColor indexed="64"/>
      </patternFill>
    </fill>
    <fill>
      <patternFill patternType="solid">
        <fgColor rgb="FF1F4E79"/>
        <bgColor indexed="64"/>
      </patternFill>
    </fill>
    <fill>
      <patternFill patternType="solid">
        <fgColor rgb="FF2F5597"/>
        <bgColor indexed="64"/>
      </patternFill>
    </fill>
    <fill>
      <patternFill patternType="solid">
        <fgColor rgb="FFEEF3FA"/>
        <bgColor indexed="64"/>
      </patternFill>
    </fill>
    <fill>
      <patternFill patternType="solid">
        <fgColor rgb="FF0B1F3B"/>
        <bgColor indexed="64"/>
      </patternFill>
    </fill>
    <fill>
      <patternFill patternType="solid">
        <fgColor rgb="FF0F2E55"/>
        <bgColor indexed="64"/>
      </patternFill>
    </fill>
    <fill>
      <patternFill patternType="solid">
        <fgColor rgb="FFEEF3FB"/>
        <bgColor indexed="64"/>
      </patternFill>
    </fill>
    <fill>
      <patternFill patternType="solid">
        <fgColor rgb="FF404040"/>
        <bgColor indexed="64"/>
      </patternFill>
    </fill>
    <fill>
      <patternFill patternType="solid">
        <fgColor rgb="001A1F36"/>
      </patternFill>
    </fill>
    <fill>
      <patternFill patternType="solid">
        <fgColor rgb="00E8F4FD"/>
      </patternFill>
    </fill>
    <fill>
      <patternFill patternType="solid">
        <fgColor rgb="00E31C3D"/>
      </patternFill>
    </fill>
    <fill>
      <patternFill patternType="solid">
        <fgColor rgb="00F2F2F2"/>
      </patternFill>
    </fill>
  </fills>
  <borders count="32">
    <border>
      <left/>
      <right/>
      <top/>
      <bottom/>
      <diagonal/>
    </border>
    <border>
      <left style="thin">
        <color rgb="FF9CA3AF"/>
      </left>
      <right style="thin">
        <color rgb="FF9CA3AF"/>
      </right>
      <top style="thin">
        <color rgb="FF9CA3AF"/>
      </top>
      <bottom style="thin">
        <color rgb="FF9CA3AF"/>
      </bottom>
      <diagonal/>
    </border>
    <border>
      <left/>
      <right style="thin">
        <color rgb="FF9CA3AF"/>
      </right>
      <top/>
      <bottom style="thin">
        <color rgb="FF9CA3AF"/>
      </bottom>
      <diagonal/>
    </border>
    <border>
      <left/>
      <right style="thin">
        <color rgb="FF9CA3AF"/>
      </right>
      <top style="thin">
        <color rgb="FF9CA3AF"/>
      </top>
      <bottom style="thin">
        <color rgb="FF9CA3AF"/>
      </bottom>
      <diagonal/>
    </border>
    <border>
      <left style="thin">
        <color rgb="FF9CA3AF"/>
      </left>
      <right style="thin">
        <color rgb="FF9CA3AF"/>
      </right>
      <top/>
      <bottom style="thin">
        <color rgb="FF9CA3AF"/>
      </bottom>
      <diagonal/>
    </border>
    <border>
      <left style="thin">
        <color rgb="FF9CA3AF"/>
      </left>
      <right style="thin">
        <color rgb="FF9CA3AF"/>
      </right>
      <top/>
      <bottom/>
      <diagonal/>
    </border>
    <border>
      <left style="thin">
        <color rgb="FF9CA3AF"/>
      </left>
      <right style="thin">
        <color rgb="FF9CA3AF"/>
      </right>
      <top style="thin">
        <color rgb="FF9CA3AF"/>
      </top>
      <bottom/>
      <diagonal/>
    </border>
    <border>
      <left style="medium">
        <color rgb="FF7F7F7F"/>
      </left>
      <right style="thin">
        <color rgb="FFBFBFBF"/>
      </right>
      <top style="medium">
        <color rgb="FF7F7F7F"/>
      </top>
      <bottom style="thin">
        <color rgb="FFBFBFBF"/>
      </bottom>
      <diagonal/>
    </border>
    <border>
      <left style="thin">
        <color rgb="FFBFBFBF"/>
      </left>
      <right style="thin">
        <color rgb="FFBFBFBF"/>
      </right>
      <top style="medium">
        <color rgb="FF7F7F7F"/>
      </top>
      <bottom style="thin">
        <color rgb="FFBFBFBF"/>
      </bottom>
      <diagonal/>
    </border>
    <border>
      <left style="thin">
        <color rgb="FFBFBFBF"/>
      </left>
      <right style="medium">
        <color rgb="FF7F7F7F"/>
      </right>
      <top style="medium">
        <color rgb="FF7F7F7F"/>
      </top>
      <bottom style="thin">
        <color rgb="FFBFBFBF"/>
      </bottom>
      <diagonal/>
    </border>
    <border>
      <left style="medium">
        <color rgb="FF7F7F7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medium">
        <color rgb="FF7F7F7F"/>
      </right>
      <top style="thin">
        <color rgb="FFBFBFBF"/>
      </top>
      <bottom style="thin">
        <color rgb="FFBFBFBF"/>
      </bottom>
      <diagonal/>
    </border>
    <border>
      <left style="medium">
        <color rgb="FF7F7F7F"/>
      </left>
      <right style="thin">
        <color rgb="FFBFBFBF"/>
      </right>
      <top style="thin">
        <color rgb="FFBFBFBF"/>
      </top>
      <bottom style="medium">
        <color rgb="FF7F7F7F"/>
      </bottom>
      <diagonal/>
    </border>
    <border>
      <left style="thin">
        <color rgb="FFBFBFBF"/>
      </left>
      <right style="thin">
        <color rgb="FFBFBFBF"/>
      </right>
      <top style="thin">
        <color rgb="FFBFBFBF"/>
      </top>
      <bottom style="medium">
        <color rgb="FF7F7F7F"/>
      </bottom>
      <diagonal/>
    </border>
    <border>
      <left style="thin">
        <color rgb="FFBFBFBF"/>
      </left>
      <right style="medium">
        <color rgb="FF7F7F7F"/>
      </right>
      <top style="thin">
        <color rgb="FFBFBFBF"/>
      </top>
      <bottom style="medium">
        <color rgb="FF7F7F7F"/>
      </bottom>
      <diagonal/>
    </border>
    <border>
      <left style="thin">
        <color rgb="FFBFBFBF"/>
      </left>
      <right/>
      <top style="thin">
        <color rgb="FFBFBFBF"/>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right style="thin">
        <color rgb="FFBFBFBF"/>
      </right>
      <top style="thin">
        <color rgb="FFBFBFBF"/>
      </top>
      <bottom/>
      <diagonal/>
    </border>
    <border>
      <left/>
      <right style="thin">
        <color rgb="FFBFBFBF"/>
      </right>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right/>
      <top style="thin">
        <color rgb="FF9CA3AF"/>
      </top>
      <bottom/>
      <diagonal/>
    </border>
    <border>
      <left/>
      <right style="thin">
        <color rgb="FF9CA3AF"/>
      </right>
      <top style="thin">
        <color rgb="FF9CA3AF"/>
      </top>
      <bottom/>
      <diagonal/>
    </border>
    <border>
      <left/>
      <right/>
      <top style="thin">
        <color rgb="FF9CA3AF"/>
      </top>
      <bottom style="thin">
        <color rgb="FF9CA3AF"/>
      </bottom>
      <diagonal/>
    </border>
    <border>
      <left/>
      <right style="thin">
        <color rgb="FF9CA3AF"/>
      </right>
      <top/>
      <bottom/>
      <diagonal/>
    </border>
    <border>
      <left/>
      <right/>
      <top/>
      <bottom style="thin">
        <color rgb="FF9CA3AF"/>
      </bottom>
      <diagonal/>
    </border>
    <border>
      <left/>
      <right/>
      <top style="thin">
        <color rgb="FFBFBFBF"/>
      </top>
      <bottom/>
      <diagonal/>
    </border>
    <border>
      <left/>
      <right/>
      <top style="thin">
        <color rgb="FFBFBFBF"/>
      </top>
      <bottom style="thin">
        <color rgb="FFBFBFBF"/>
      </bottom>
      <diagonal/>
    </border>
    <border>
      <left style="thin"/>
      <right style="thin"/>
      <top style="thin"/>
      <bottom style="thin"/>
    </border>
  </borders>
  <cellStyleXfs count="1">
    <xf numFmtId="0" fontId="0" fillId="0" borderId="0"/>
  </cellStyleXfs>
  <cellXfs count="88">
    <xf numFmtId="0" fontId="0" fillId="0" borderId="0" pivotButton="0" quotePrefix="0" xfId="0"/>
    <xf numFmtId="0" fontId="1" fillId="0" borderId="0" applyAlignment="1" pivotButton="0" quotePrefix="0" xfId="0">
      <alignment vertical="center" wrapText="1"/>
    </xf>
    <xf numFmtId="0" fontId="7" fillId="0" borderId="4" applyAlignment="1" pivotButton="0" quotePrefix="0" xfId="0">
      <alignment horizontal="left" vertical="center" wrapText="1"/>
    </xf>
    <xf numFmtId="0" fontId="7" fillId="0" borderId="1" applyAlignment="1" pivotButton="0" quotePrefix="0" xfId="0">
      <alignment horizontal="left" vertical="center" wrapText="1"/>
    </xf>
    <xf numFmtId="0" fontId="7" fillId="0" borderId="5" applyAlignment="1" pivotButton="0" quotePrefix="0" xfId="0">
      <alignment horizontal="left" vertical="center" wrapText="1"/>
    </xf>
    <xf numFmtId="0" fontId="6" fillId="4" borderId="0" applyAlignment="1" pivotButton="0" quotePrefix="0" xfId="0">
      <alignment horizontal="left" vertical="center" wrapText="1"/>
    </xf>
    <xf numFmtId="0" fontId="7" fillId="0" borderId="4" applyAlignment="1" pivotButton="0" quotePrefix="0" xfId="0">
      <alignment horizontal="left" vertical="center" wrapText="1"/>
    </xf>
    <xf numFmtId="0" fontId="7" fillId="0" borderId="6" applyAlignment="1" pivotButton="0" quotePrefix="0" xfId="0">
      <alignment horizontal="left" vertical="center" wrapText="1"/>
    </xf>
    <xf numFmtId="0" fontId="7" fillId="0" borderId="2" applyAlignment="1" pivotButton="0" quotePrefix="0" xfId="0">
      <alignment horizontal="left" vertical="center" wrapText="1"/>
    </xf>
    <xf numFmtId="0" fontId="6" fillId="3" borderId="1" applyAlignment="1" pivotButton="0" quotePrefix="0" xfId="0">
      <alignment horizontal="left" vertical="center" wrapText="1"/>
    </xf>
    <xf numFmtId="0" fontId="6" fillId="3" borderId="6" applyAlignment="1" pivotButton="0" quotePrefix="0" xfId="0">
      <alignment horizontal="left" vertical="center" wrapText="1"/>
    </xf>
    <xf numFmtId="0" fontId="7" fillId="0" borderId="1" applyAlignment="1" pivotButton="0" quotePrefix="0" xfId="0">
      <alignment horizontal="left" vertical="center" wrapText="1"/>
    </xf>
    <xf numFmtId="0" fontId="7" fillId="0" borderId="0" applyAlignment="1" pivotButton="0" quotePrefix="0" xfId="0">
      <alignment horizontal="left" vertical="center" wrapText="1"/>
    </xf>
    <xf numFmtId="0" fontId="7" fillId="0" borderId="0" applyAlignment="1" pivotButton="0" quotePrefix="0" xfId="0">
      <alignment horizontal="left" vertical="center" wrapText="1"/>
    </xf>
    <xf numFmtId="0" fontId="6" fillId="2" borderId="2" applyAlignment="1" pivotButton="0" quotePrefix="0" xfId="0">
      <alignment horizontal="left" vertical="center" wrapText="1"/>
    </xf>
    <xf numFmtId="0" fontId="6" fillId="2" borderId="4" applyAlignment="1" pivotButton="0" quotePrefix="0" xfId="0">
      <alignment horizontal="left" vertical="center" wrapText="1"/>
    </xf>
    <xf numFmtId="0" fontId="3" fillId="5" borderId="0" applyAlignment="1" pivotButton="0" quotePrefix="0" xfId="0">
      <alignment horizontal="left" vertical="center" wrapText="1"/>
    </xf>
    <xf numFmtId="0" fontId="5" fillId="5" borderId="0" applyAlignment="1" pivotButton="0" quotePrefix="0" xfId="0">
      <alignment horizontal="left" vertical="center" wrapText="1"/>
    </xf>
    <xf numFmtId="0" fontId="7" fillId="0" borderId="3" applyAlignment="1" pivotButton="0" quotePrefix="0" xfId="0">
      <alignment horizontal="left" vertical="center" wrapText="1"/>
    </xf>
    <xf numFmtId="0" fontId="7" fillId="0" borderId="10" applyAlignment="1" pivotButton="0" quotePrefix="0" xfId="0">
      <alignment horizontal="left" vertical="center" wrapText="1"/>
    </xf>
    <xf numFmtId="0" fontId="7" fillId="0" borderId="11" applyAlignment="1" pivotButton="0" quotePrefix="0" xfId="0">
      <alignment horizontal="left" vertical="center" wrapText="1"/>
    </xf>
    <xf numFmtId="0" fontId="7" fillId="0" borderId="12" applyAlignment="1" pivotButton="0" quotePrefix="0" xfId="0">
      <alignment horizontal="left" vertical="center" wrapText="1"/>
    </xf>
    <xf numFmtId="0" fontId="7" fillId="0" borderId="13" applyAlignment="1" pivotButton="0" quotePrefix="0" xfId="0">
      <alignment horizontal="left" vertical="center" wrapText="1"/>
    </xf>
    <xf numFmtId="0" fontId="7" fillId="0" borderId="14" applyAlignment="1" pivotButton="0" quotePrefix="0" xfId="0">
      <alignment horizontal="left" vertical="center" wrapText="1"/>
    </xf>
    <xf numFmtId="0" fontId="7" fillId="0" borderId="15" applyAlignment="1" pivotButton="0" quotePrefix="0" xfId="0">
      <alignment horizontal="left" vertical="center" wrapText="1"/>
    </xf>
    <xf numFmtId="0" fontId="6" fillId="7" borderId="0" applyAlignment="1" pivotButton="0" quotePrefix="0" xfId="0">
      <alignment horizontal="left" vertical="center" wrapText="1"/>
    </xf>
    <xf numFmtId="0" fontId="6" fillId="7" borderId="10" applyAlignment="1" pivotButton="0" quotePrefix="0" xfId="0">
      <alignment horizontal="left" vertical="center" wrapText="1"/>
    </xf>
    <xf numFmtId="0" fontId="6" fillId="7" borderId="11" applyAlignment="1" pivotButton="0" quotePrefix="0" xfId="0">
      <alignment horizontal="left" vertical="center" wrapText="1"/>
    </xf>
    <xf numFmtId="0" fontId="6" fillId="7" borderId="12" applyAlignment="1" pivotButton="0" quotePrefix="0" xfId="0">
      <alignment horizontal="left" vertical="center" wrapText="1"/>
    </xf>
    <xf numFmtId="0" fontId="4" fillId="6" borderId="7" applyAlignment="1" pivotButton="0" quotePrefix="0" xfId="0">
      <alignment horizontal="left" vertical="center" wrapText="1"/>
    </xf>
    <xf numFmtId="0" fontId="4" fillId="6" borderId="8" applyAlignment="1" pivotButton="0" quotePrefix="0" xfId="0">
      <alignment horizontal="left" vertical="center" wrapText="1"/>
    </xf>
    <xf numFmtId="9" fontId="7" fillId="0" borderId="14" applyAlignment="1" pivotButton="0" quotePrefix="0" xfId="0">
      <alignment horizontal="left" vertical="center" wrapText="1"/>
    </xf>
    <xf numFmtId="9" fontId="7" fillId="0" borderId="11" applyAlignment="1" pivotButton="0" quotePrefix="0" xfId="0">
      <alignment horizontal="left" vertical="center" wrapText="1"/>
    </xf>
    <xf numFmtId="1" fontId="7" fillId="0" borderId="11" applyAlignment="1" pivotButton="0" quotePrefix="0" xfId="0">
      <alignment horizontal="left" vertical="center" wrapText="1"/>
    </xf>
    <xf numFmtId="164" fontId="7" fillId="0" borderId="11" applyAlignment="1" pivotButton="0" quotePrefix="0" xfId="0">
      <alignment horizontal="left" vertical="center" wrapText="1"/>
    </xf>
    <xf numFmtId="164" fontId="7" fillId="0" borderId="14" applyAlignment="1" pivotButton="0" quotePrefix="0" xfId="0">
      <alignment horizontal="left" vertical="center" wrapText="1"/>
    </xf>
    <xf numFmtId="0" fontId="0" fillId="0" borderId="0" applyAlignment="1" pivotButton="0" quotePrefix="0" xfId="0">
      <alignment wrapText="1"/>
    </xf>
    <xf numFmtId="0" fontId="2" fillId="5" borderId="0" applyAlignment="1" pivotButton="0" quotePrefix="0" xfId="0">
      <alignment horizontal="left" vertical="center" wrapText="1"/>
    </xf>
    <xf numFmtId="0" fontId="4" fillId="6" borderId="9" applyAlignment="1" pivotButton="0" quotePrefix="0" xfId="0">
      <alignment horizontal="left" vertical="center" wrapText="1"/>
    </xf>
    <xf numFmtId="165" fontId="7" fillId="0" borderId="11" applyAlignment="1" pivotButton="0" quotePrefix="0" xfId="0">
      <alignment horizontal="left" vertical="center" wrapText="1"/>
    </xf>
    <xf numFmtId="165" fontId="7" fillId="0" borderId="14" applyAlignment="1" pivotButton="0" quotePrefix="0" xfId="0">
      <alignment horizontal="left" vertical="center" wrapText="1"/>
    </xf>
    <xf numFmtId="0" fontId="9" fillId="0" borderId="11" applyAlignment="1" pivotButton="0" quotePrefix="0" xfId="0">
      <alignment vertical="top" wrapText="1"/>
    </xf>
    <xf numFmtId="0" fontId="9" fillId="0" borderId="21" applyAlignment="1" pivotButton="0" quotePrefix="0" xfId="0">
      <alignment vertical="top" wrapText="1"/>
    </xf>
    <xf numFmtId="0" fontId="9" fillId="0" borderId="16" applyAlignment="1" pivotButton="0" quotePrefix="0" xfId="0">
      <alignment vertical="top" wrapText="1"/>
    </xf>
    <xf numFmtId="0" fontId="9" fillId="0" borderId="19" applyAlignment="1" pivotButton="0" quotePrefix="0" xfId="0">
      <alignment vertical="top" wrapText="1"/>
    </xf>
    <xf numFmtId="0" fontId="9" fillId="0" borderId="22" applyAlignment="1" pivotButton="0" quotePrefix="0" xfId="0">
      <alignment vertical="top" wrapText="1"/>
    </xf>
    <xf numFmtId="0" fontId="9" fillId="0" borderId="17" applyAlignment="1" pivotButton="0" quotePrefix="0" xfId="0">
      <alignment vertical="top" wrapText="1"/>
    </xf>
    <xf numFmtId="0" fontId="9" fillId="0" borderId="11" applyAlignment="1" pivotButton="0" quotePrefix="0" xfId="0">
      <alignment vertical="center" wrapText="1"/>
    </xf>
    <xf numFmtId="0" fontId="9" fillId="0" borderId="23" applyAlignment="1" pivotButton="0" quotePrefix="0" xfId="0">
      <alignment vertical="center" wrapText="1"/>
    </xf>
    <xf numFmtId="0" fontId="8" fillId="8" borderId="11" applyAlignment="1" pivotButton="0" quotePrefix="0" xfId="0">
      <alignment horizontal="center" vertical="center" wrapText="1"/>
    </xf>
    <xf numFmtId="0" fontId="4" fillId="9" borderId="11" applyAlignment="1" pivotButton="0" quotePrefix="0" xfId="0">
      <alignment horizontal="center" vertical="center" wrapText="1"/>
    </xf>
    <xf numFmtId="0" fontId="10" fillId="4" borderId="11" applyAlignment="1" pivotButton="0" quotePrefix="0" xfId="0">
      <alignment horizontal="left" vertical="center" wrapText="1"/>
    </xf>
    <xf numFmtId="0" fontId="3" fillId="5" borderId="22" applyAlignment="1" pivotButton="0" quotePrefix="0" xfId="0">
      <alignment horizontal="left" vertical="center" wrapText="1"/>
    </xf>
    <xf numFmtId="0" fontId="3" fillId="5" borderId="11" applyAlignment="1" pivotButton="0" quotePrefix="0" xfId="0">
      <alignment horizontal="left" vertical="center" wrapText="1"/>
    </xf>
    <xf numFmtId="0" fontId="9" fillId="10" borderId="22" applyAlignment="1" pivotButton="0" quotePrefix="0" xfId="0">
      <alignment vertical="top" wrapText="1"/>
    </xf>
    <xf numFmtId="0" fontId="4" fillId="11" borderId="20" applyAlignment="1" pivotButton="0" quotePrefix="0" xfId="0">
      <alignment horizontal="center" vertical="center" wrapText="1"/>
    </xf>
    <xf numFmtId="0" fontId="4" fillId="11" borderId="23" applyAlignment="1" pivotButton="0" quotePrefix="0" xfId="0">
      <alignment horizontal="center" vertical="center" wrapText="1"/>
    </xf>
    <xf numFmtId="0" fontId="4" fillId="11" borderId="18" applyAlignment="1" pivotButton="0" quotePrefix="0" xfId="0">
      <alignment horizontal="center" vertical="center" wrapText="1"/>
    </xf>
    <xf numFmtId="0" fontId="11" fillId="0" borderId="16" applyAlignment="1" pivotButton="0" quotePrefix="0" xfId="0">
      <alignment vertical="top" wrapText="1"/>
    </xf>
    <xf numFmtId="0" fontId="11" fillId="0" borderId="17" applyAlignment="1" pivotButton="0" quotePrefix="0" xfId="0">
      <alignment vertical="top" wrapText="1"/>
    </xf>
    <xf numFmtId="0" fontId="11" fillId="0" borderId="11" applyAlignment="1" pivotButton="0" quotePrefix="0" xfId="0">
      <alignment vertical="top" wrapText="1"/>
    </xf>
    <xf numFmtId="0" fontId="11" fillId="0" borderId="22" applyAlignment="1" pivotButton="0" quotePrefix="0" xfId="0">
      <alignment vertical="top" wrapText="1"/>
    </xf>
    <xf numFmtId="0" fontId="12" fillId="0" borderId="10" applyAlignment="1" pivotButton="0" quotePrefix="0" xfId="0">
      <alignment horizontal="left" vertical="center" wrapText="1"/>
    </xf>
    <xf numFmtId="0" fontId="12" fillId="0" borderId="13" applyAlignment="1" pivotButton="0" quotePrefix="0" xfId="0">
      <alignment horizontal="left" vertical="center" wrapText="1"/>
    </xf>
    <xf numFmtId="0" fontId="13" fillId="0" borderId="0" applyAlignment="1" pivotButton="0" quotePrefix="0" xfId="0">
      <alignment horizontal="left" vertical="top" wrapText="1"/>
    </xf>
    <xf numFmtId="0" fontId="14" fillId="0" borderId="0" pivotButton="0" quotePrefix="0" xfId="0"/>
    <xf numFmtId="0" fontId="16" fillId="12" borderId="0" applyAlignment="1" pivotButton="0" quotePrefix="0" xfId="0">
      <alignment horizontal="left" vertical="top" wrapText="1"/>
    </xf>
    <xf numFmtId="0" fontId="17" fillId="0" borderId="0" applyAlignment="1" pivotButton="0" quotePrefix="0" xfId="0">
      <alignment vertical="top" wrapText="1"/>
    </xf>
    <xf numFmtId="0" fontId="17" fillId="0" borderId="0" applyAlignment="1" pivotButton="0" quotePrefix="0" xfId="0">
      <alignment horizontal="left" vertical="top" wrapText="1"/>
    </xf>
    <xf numFmtId="0" fontId="19" fillId="0" borderId="0" pivotButton="0" quotePrefix="0" xfId="0"/>
    <xf numFmtId="165" fontId="7" fillId="0" borderId="11" applyAlignment="1" pivotButton="0" quotePrefix="0" xfId="0">
      <alignment horizontal="left" vertical="center" wrapText="1"/>
    </xf>
    <xf numFmtId="165" fontId="7" fillId="0" borderId="14" applyAlignment="1" pivotButton="0" quotePrefix="0" xfId="0">
      <alignment horizontal="left" vertical="center" wrapText="1"/>
    </xf>
    <xf numFmtId="164" fontId="7" fillId="0" borderId="11" applyAlignment="1" pivotButton="0" quotePrefix="0" xfId="0">
      <alignment horizontal="left" vertical="center" wrapText="1"/>
    </xf>
    <xf numFmtId="164" fontId="7" fillId="0" borderId="14" applyAlignment="1" pivotButton="0" quotePrefix="0" xfId="0">
      <alignment horizontal="left" vertical="center" wrapText="1"/>
    </xf>
    <xf numFmtId="0" fontId="0" fillId="0" borderId="28" pivotButton="0" quotePrefix="0" xfId="0"/>
    <xf numFmtId="0" fontId="0" fillId="0" borderId="2" pivotButton="0" quotePrefix="0" xfId="0"/>
    <xf numFmtId="0" fontId="0" fillId="0" borderId="26" pivotButton="0" quotePrefix="0" xfId="0"/>
    <xf numFmtId="0" fontId="0" fillId="0" borderId="3" pivotButton="0" quotePrefix="0" xfId="0"/>
    <xf numFmtId="0" fontId="0" fillId="0" borderId="30" pivotButton="0" quotePrefix="0" xfId="0"/>
    <xf numFmtId="0" fontId="0" fillId="0" borderId="21" pivotButton="0" quotePrefix="0" xfId="0"/>
    <xf numFmtId="0" fontId="0" fillId="0" borderId="29" pivotButton="0" quotePrefix="0" xfId="0"/>
    <xf numFmtId="0" fontId="0" fillId="0" borderId="19" pivotButton="0" quotePrefix="0" xfId="0"/>
    <xf numFmtId="0" fontId="20" fillId="12" borderId="0" applyAlignment="1" pivotButton="0" quotePrefix="0" xfId="0">
      <alignment horizontal="left" vertical="top" wrapText="1"/>
    </xf>
    <xf numFmtId="0" fontId="21" fillId="13" borderId="0" applyAlignment="1" pivotButton="0" quotePrefix="0" xfId="0">
      <alignment vertical="top" wrapText="1"/>
    </xf>
    <xf numFmtId="0" fontId="16" fillId="14" borderId="31" applyAlignment="1" pivotButton="0" quotePrefix="0" xfId="0">
      <alignment horizontal="center" vertical="center" wrapText="1"/>
    </xf>
    <xf numFmtId="0" fontId="17" fillId="15" borderId="31" applyAlignment="1" pivotButton="0" quotePrefix="0" xfId="0">
      <alignment vertical="top" wrapText="1"/>
    </xf>
    <xf numFmtId="0" fontId="17" fillId="0" borderId="31" applyAlignment="1" pivotButton="0" quotePrefix="0" xfId="0">
      <alignment vertical="top" wrapText="1"/>
    </xf>
    <xf numFmtId="0" fontId="22" fillId="0" borderId="0" pivotButton="0" quotePrefix="0" xfId="0"/>
  </cellXfs>
  <cellStyles count="1">
    <cellStyle name="Normal" xfId="0" builtinId="0"/>
  </cellStyles>
  <dxfs count="22">
    <dxf>
      <font>
        <name val="Calibri"/>
        <color rgb="FF0563C1"/>
        <sz val="11"/>
        <u val="single"/>
      </font>
      <alignment vertical="top" wrapText="1"/>
      <border>
        <left style="thin">
          <color rgb="FFBFBFBF"/>
        </left>
        <right style="thin">
          <color rgb="FFBFBFBF"/>
        </right>
        <top style="thin">
          <color rgb="FFBFBFBF"/>
        </top>
        <bottom style="thin">
          <color rgb="FFBFBFBF"/>
        </bottom>
        <vertical style="thin">
          <color rgb="FFBFBFBF"/>
        </vertical>
        <horizontal style="thin">
          <color rgb="FFBFBFBF"/>
        </horizontal>
      </border>
    </dxf>
    <dxf>
      <font>
        <name val="Calibri"/>
        <color rgb="FF0563C1"/>
        <sz val="11"/>
        <u val="single"/>
      </font>
      <alignment vertical="top" wrapText="1"/>
      <border>
        <left style="thin">
          <color rgb="FFBFBFBF"/>
        </left>
        <right/>
        <top style="thin">
          <color rgb="FFBFBFBF"/>
        </top>
        <bottom style="thin">
          <color rgb="FFBFBFBF"/>
        </bottom>
        <vertical style="thin">
          <color rgb="FFBFBFBF"/>
        </vertical>
        <horizontal style="thin">
          <color rgb="FFBFBFBF"/>
        </horizontal>
      </border>
    </dxf>
    <dxf>
      <font>
        <name val="Calibri"/>
        <b val="1"/>
        <color rgb="FFFFFFFF"/>
        <sz val="11"/>
      </font>
      <fill>
        <patternFill patternType="solid">
          <fgColor indexed="64"/>
          <bgColor rgb="FF404040"/>
        </patternFill>
      </fill>
      <alignment horizontal="center" vertical="center" wrapText="1"/>
      <border>
        <left style="thin">
          <color rgb="FFBFBFBF"/>
        </left>
        <right style="thin">
          <color rgb="FFBFBFBF"/>
        </right>
        <top/>
        <bottom/>
        <vertical style="thin">
          <color rgb="FFBFBFBF"/>
        </vertical>
        <horizontal style="thin">
          <color rgb="FFBFBFBF"/>
        </horizontal>
      </border>
    </dxf>
    <dxf>
      <font>
        <name val="Calibri"/>
        <color rgb="FF1F1F1F"/>
        <sz val="11"/>
      </font>
      <alignment vertical="top" wrapText="1"/>
      <border>
        <left style="thin">
          <color rgb="FFBFBFBF"/>
        </left>
        <right/>
        <top style="thin">
          <color rgb="FFBFBFBF"/>
        </top>
        <bottom style="thin">
          <color rgb="FFBFBFBF"/>
        </bottom>
        <vertical style="thin">
          <color rgb="FFBFBFBF"/>
        </vertical>
        <horizontal style="thin">
          <color rgb="FFBFBFBF"/>
        </horizontal>
      </border>
    </dxf>
    <dxf>
      <font>
        <name val="Calibri"/>
        <color rgb="FF1F1F1F"/>
        <sz val="11"/>
      </font>
      <alignment vertical="top" wrapText="1"/>
      <border>
        <left style="thin">
          <color rgb="FFBFBFBF"/>
        </left>
        <right style="thin">
          <color rgb="FFBFBFBF"/>
        </right>
        <top style="thin">
          <color rgb="FFBFBFBF"/>
        </top>
        <bottom style="thin">
          <color rgb="FFBFBFBF"/>
        </bottom>
        <vertical style="thin">
          <color rgb="FFBFBFBF"/>
        </vertical>
        <horizontal style="thin">
          <color rgb="FFBFBFBF"/>
        </horizontal>
      </border>
    </dxf>
    <dxf>
      <font>
        <name val="Calibri"/>
        <color rgb="FF1F1F1F"/>
        <sz val="11"/>
      </font>
      <alignment vertical="top" wrapText="1"/>
      <border>
        <left style="thin">
          <color rgb="FFBFBFBF"/>
        </left>
        <right style="thin">
          <color rgb="FFBFBFBF"/>
        </right>
        <top style="thin">
          <color rgb="FFBFBFBF"/>
        </top>
        <bottom style="thin">
          <color rgb="FFBFBFBF"/>
        </bottom>
        <vertical style="thin">
          <color rgb="FFBFBFBF"/>
        </vertical>
        <horizontal style="thin">
          <color rgb="FFBFBFBF"/>
        </horizontal>
      </border>
    </dxf>
    <dxf>
      <font>
        <name val="Calibri"/>
        <color rgb="FF1F1F1F"/>
        <sz val="11"/>
      </font>
      <alignment vertical="top" wrapText="1"/>
      <border>
        <left style="thin">
          <color rgb="FFBFBFBF"/>
        </left>
        <right style="thin">
          <color rgb="FFBFBFBF"/>
        </right>
        <top style="thin">
          <color rgb="FFBFBFBF"/>
        </top>
        <bottom style="thin">
          <color rgb="FFBFBFBF"/>
        </bottom>
        <vertical style="thin">
          <color rgb="FFBFBFBF"/>
        </vertical>
        <horizontal style="thin">
          <color rgb="FFBFBFBF"/>
        </horizontal>
      </border>
    </dxf>
    <dxf>
      <font>
        <name val="Calibri"/>
        <color rgb="FF1F1F1F"/>
        <sz val="11"/>
      </font>
      <alignment vertical="top" wrapText="1"/>
      <border>
        <left/>
        <right style="thin">
          <color rgb="FFBFBFBF"/>
        </right>
        <top style="thin">
          <color rgb="FFBFBFBF"/>
        </top>
        <bottom style="thin">
          <color rgb="FFBFBFBF"/>
        </bottom>
        <vertical style="thin">
          <color rgb="FFBFBFBF"/>
        </vertical>
        <horizontal style="thin">
          <color rgb="FFBFBFBF"/>
        </horizontal>
      </border>
    </dxf>
    <dxf>
      <border>
        <top style="thin">
          <color rgb="FFBFBFBF"/>
        </top>
      </border>
    </dxf>
    <dxf>
      <border>
        <bottom style="thin">
          <color rgb="FFBFBFBF"/>
        </bottom>
      </border>
    </dxf>
    <dxf>
      <border>
        <left style="medium">
          <color rgb="FF7F7F7F"/>
        </left>
        <right style="medium">
          <color rgb="FF7F7F7F"/>
        </right>
        <top style="medium">
          <color rgb="FF7F7F7F"/>
        </top>
        <bottom style="medium">
          <color rgb="FF7F7F7F"/>
        </bottom>
      </border>
    </dxf>
    <dxf>
      <font>
        <name val="Calibri"/>
        <b val="1"/>
        <color rgb="FFFFFFFF"/>
        <sz val="11"/>
      </font>
      <fill>
        <patternFill patternType="solid">
          <fgColor indexed="64"/>
          <bgColor rgb="FF404040"/>
        </patternFill>
      </fill>
      <alignment horizontal="center" vertical="center" wrapText="1"/>
      <border>
        <left style="thin">
          <color rgb="FFBFBFBF"/>
        </left>
        <right style="thin">
          <color rgb="FFBFBFBF"/>
        </right>
        <top/>
        <bottom/>
        <vertical style="thin">
          <color rgb="FFBFBFBF"/>
        </vertical>
        <horizontal style="thin">
          <color rgb="FFBFBFBF"/>
        </horizontal>
      </border>
    </dxf>
    <dxf>
      <font>
        <name val="Calibri"/>
        <color rgb="FF1F1F1F"/>
        <sz val="11"/>
      </font>
      <alignment vertical="top" wrapText="1"/>
      <border>
        <left style="thin">
          <color rgb="FFBFBFBF"/>
        </left>
        <right style="thin">
          <color rgb="FFBFBFBF"/>
        </right>
        <top style="thin">
          <color rgb="FFBFBFBF"/>
        </top>
        <bottom style="thin">
          <color rgb="FFBFBFBF"/>
        </bottom>
        <vertical style="thin">
          <color rgb="FFBFBFBF"/>
        </vertical>
        <horizontal style="thin">
          <color rgb="FFBFBFBF"/>
        </horizontal>
      </border>
    </dxf>
    <dxf>
      <font>
        <name val="Calibri"/>
        <color rgb="FF1F1F1F"/>
        <sz val="11"/>
      </font>
      <alignment vertical="top" wrapText="1"/>
      <border>
        <left style="thin">
          <color rgb="FFBFBFBF"/>
        </left>
        <right style="thin">
          <color rgb="FFBFBFBF"/>
        </right>
        <top style="thin">
          <color rgb="FFBFBFBF"/>
        </top>
        <bottom style="thin">
          <color rgb="FFBFBFBF"/>
        </bottom>
        <vertical style="thin">
          <color rgb="FFBFBFBF"/>
        </vertical>
        <horizontal style="thin">
          <color rgb="FFBFBFBF"/>
        </horizontal>
      </border>
    </dxf>
    <dxf>
      <font>
        <name val="Calibri"/>
        <color rgb="FF1F1F1F"/>
        <sz val="11"/>
      </font>
      <alignment vertical="top" wrapText="1"/>
      <border>
        <left style="thin">
          <color rgb="FFBFBFBF"/>
        </left>
        <right style="thin">
          <color rgb="FFBFBFBF"/>
        </right>
        <top style="thin">
          <color rgb="FFBFBFBF"/>
        </top>
        <bottom style="thin">
          <color rgb="FFBFBFBF"/>
        </bottom>
        <vertical style="thin">
          <color rgb="FFBFBFBF"/>
        </vertical>
        <horizontal style="thin">
          <color rgb="FFBFBFBF"/>
        </horizontal>
      </border>
    </dxf>
    <dxf>
      <font>
        <name val="Calibri"/>
        <color rgb="FF1F1F1F"/>
        <sz val="11"/>
      </font>
      <alignment vertical="top" wrapText="1"/>
      <border>
        <left style="thin">
          <color rgb="FFBFBFBF"/>
        </left>
        <right style="thin">
          <color rgb="FFBFBFBF"/>
        </right>
        <top style="thin">
          <color rgb="FFBFBFBF"/>
        </top>
        <bottom style="thin">
          <color rgb="FFBFBFBF"/>
        </bottom>
        <vertical style="thin">
          <color rgb="FFBFBFBF"/>
        </vertical>
        <horizontal style="thin">
          <color rgb="FFBFBFBF"/>
        </horizontal>
      </border>
    </dxf>
    <dxf>
      <font>
        <name val="Calibri"/>
        <color rgb="FF1F1F1F"/>
        <sz val="11"/>
      </font>
      <alignment vertical="top" wrapText="1"/>
      <border>
        <left/>
        <right style="thin">
          <color rgb="FFBFBFBF"/>
        </right>
        <top style="thin">
          <color rgb="FFBFBFBF"/>
        </top>
        <bottom style="thin">
          <color rgb="FFBFBFBF"/>
        </bottom>
        <vertical style="thin">
          <color rgb="FFBFBFBF"/>
        </vertical>
        <horizontal style="thin">
          <color rgb="FFBFBFBF"/>
        </horizontal>
      </border>
    </dxf>
    <dxf>
      <border>
        <top style="thin">
          <color rgb="FFBFBFBF"/>
        </top>
      </border>
    </dxf>
    <dxf>
      <border>
        <bottom style="thin">
          <color rgb="FFBFBFBF"/>
        </bottom>
      </border>
    </dxf>
    <dxf>
      <border>
        <left style="medium">
          <color rgb="FF7F7F7F"/>
        </left>
        <right style="medium">
          <color rgb="FF7F7F7F"/>
        </right>
        <top style="medium">
          <color rgb="FF7F7F7F"/>
        </top>
        <bottom style="medium">
          <color rgb="FF7F7F7F"/>
        </bottom>
      </border>
    </dxf>
    <dxf>
      <font>
        <name val="Calibri"/>
        <color rgb="FF1F1F1F"/>
        <sz val="11"/>
      </font>
      <alignment vertical="top" wrapText="1"/>
    </dxf>
    <dxf>
      <font>
        <name val="Calibri"/>
        <color rgb="FF1F1F1F"/>
        <sz val="11"/>
      </font>
      <alignment vertical="top" wrapText="1"/>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UnsupportedOS" displayName="UnsupportedOS" ref="A6:F14" headerRowCount="1" totalsRowShown="0" headerRowDxfId="11" dataDxfId="21" headerRowBorderDxfId="18" tableBorderDxfId="19" totalsRowBorderDxfId="17">
  <autoFilter ref="A6:F14"/>
  <tableColumns count="6">
    <tableColumn id="1" name="OS Family" dataDxfId="16"/>
    <tableColumn id="2" name="Version / Type" dataDxfId="15"/>
    <tableColumn id="3" name="Status" dataDxfId="14"/>
    <tableColumn id="4" name="Impact on Google Cloud" dataDxfId="13"/>
    <tableColumn id="5" name="Recommended Action" dataDxfId="12"/>
    <tableColumn id="6" name="Source (URL)" dataDxfId="1"/>
  </tableColumns>
  <tableStyleInfo name="TableStyleMedium9" showFirstColumn="0" showLastColumn="0" showRowStripes="1" showColumnStripes="0"/>
</table>
</file>

<file path=xl/tables/table2.xml><?xml version="1.0" encoding="utf-8"?>
<table xmlns="http://schemas.openxmlformats.org/spreadsheetml/2006/main" id="2" name="UnsupportedRegions" displayName="UnsupportedRegions" ref="A18:F24" headerRowCount="1" totalsRowShown="0" headerRowDxfId="2" dataDxfId="20" headerRowBorderDxfId="9" tableBorderDxfId="10" totalsRowBorderDxfId="8">
  <autoFilter ref="A18:F24"/>
  <tableColumns count="6">
    <tableColumn id="1" name="Location Requested" dataDxfId="7"/>
    <tableColumn id="2" name="Status" dataDxfId="6"/>
    <tableColumn id="3" name="Nearest GCP Region(s)" dataDxfId="5"/>
    <tableColumn id="4" name="Design Considerations" dataDxfId="4"/>
    <tableColumn id="5" name="Validation Link" dataDxfId="0"/>
    <tableColumn id="6" name="Notes"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sheet1.xml><?xml version="1.0" encoding="utf-8"?>
<worksheet xmlns="http://schemas.openxmlformats.org/spreadsheetml/2006/main">
  <sheetPr>
    <outlinePr summaryBelow="1" summaryRight="1"/>
    <pageSetUpPr/>
  </sheetPr>
  <dimension ref="A1:B26"/>
  <sheetViews>
    <sheetView showGridLines="0" workbookViewId="0">
      <selection activeCell="A1" sqref="A1"/>
    </sheetView>
  </sheetViews>
  <sheetFormatPr baseColWidth="8" defaultRowHeight="15"/>
  <cols>
    <col width="25" customWidth="1" min="1" max="1"/>
    <col width="70" customWidth="1" min="2" max="2"/>
  </cols>
  <sheetData>
    <row r="1" ht="28" customHeight="1">
      <c r="A1" s="64" t="inlineStr">
        <is>
          <t>Instructions — gcp-evaluation.xlsx</t>
        </is>
      </c>
    </row>
    <row r="2">
      <c r="A2" s="65" t="inlineStr">
        <is>
          <t>Read this before opening any other tab</t>
        </is>
      </c>
    </row>
    <row r="4" ht="18" customHeight="1">
      <c r="A4" s="66" t="inlineStr">
        <is>
          <t>PURPOSE</t>
        </is>
      </c>
    </row>
    <row r="5" ht="192" customHeight="1">
      <c r="A5" s="67" t="inlineStr">
        <is>
          <t xml:space="preserve">  Model GCP TCO across two pricing scenarios: On-Demand and 3-year Committed Use Discounts (CUDs). CUDs are resource-based (commit to CPU/RAM in a region, not a specific instance type) — this gives more flexibility than AWS RI but requires knowing the target region and estimated CPU/RAM mix.</t>
        </is>
      </c>
    </row>
    <row r="7" ht="18" customHeight="1">
      <c r="A7" s="66" t="inlineStr">
        <is>
          <t>WHO FILLS THIS IN</t>
        </is>
      </c>
    </row>
    <row r="8" ht="164" customHeight="1">
      <c r="A8" s="67" t="inlineStr">
        <is>
          <t xml:space="preserve">  Platform Architect (GCP). Input from infrastructure-profiling.xlsx. Cross-validate with GCP Migration Center output (use RVTools export as input). For data/analytics workloads, model BigQuery and Dataproc alternatives alongside standard GCE pricing.</t>
        </is>
      </c>
    </row>
    <row r="10" ht="18" customHeight="1">
      <c r="A10" s="66" t="inlineStr">
        <is>
          <t>WHEN TO USE</t>
        </is>
      </c>
    </row>
    <row r="11" ht="92" customHeight="1">
      <c r="A11" s="67" t="inlineStr">
        <is>
          <t xml:space="preserve">  Phase 3 Weeks 11–13. Validate pricing against cloud.google.com/products/calculator at start of Phase 3. Document pricing source date in header.</t>
        </is>
      </c>
    </row>
    <row r="13" ht="18" customHeight="1">
      <c r="A13" s="66" t="inlineStr">
        <is>
          <t>WHAT 'GOOD DATA' LOOKS LIKE</t>
        </is>
      </c>
    </row>
    <row r="14" ht="15" customHeight="1">
      <c r="A14" s="68" t="inlineStr">
        <is>
          <t xml:space="preserve">  • Both On-Demand and 3yr CUD scenarios present</t>
        </is>
      </c>
    </row>
    <row r="15" ht="15" customHeight="1">
      <c r="A15" s="68" t="inlineStr">
        <is>
          <t xml:space="preserve">  • Instance families use current generation (n2-standard, c3-standard — not n1)</t>
        </is>
      </c>
    </row>
    <row r="16" ht="15" customHeight="1">
      <c r="A16" s="68" t="inlineStr">
        <is>
          <t xml:space="preserve">  • europe-west2 (London) primary region modelled — not US regions</t>
        </is>
      </c>
    </row>
    <row r="17" ht="15" customHeight="1">
      <c r="A17" s="68" t="inlineStr">
        <is>
          <t xml:space="preserve">  • GCP Migration Center output cross-validated (if collector was deployed)</t>
        </is>
      </c>
    </row>
    <row r="18" ht="15" customHeight="1">
      <c r="A18" s="68" t="inlineStr">
        <is>
          <t xml:space="preserve">  • Data/analytics workloads modelled with BigQuery/Dataproc pricing where applicable</t>
        </is>
      </c>
    </row>
    <row r="20" ht="18" customHeight="1">
      <c r="A20" s="66" t="inlineStr">
        <is>
          <t>COMMON MISTAKES TO AVOID</t>
        </is>
      </c>
    </row>
    <row r="21" ht="15" customHeight="1">
      <c r="A21" s="68" t="inlineStr">
        <is>
          <t xml:space="preserve">  • Using n1-standard (previous generation) — n2-standard is 30% more cost-effective</t>
        </is>
      </c>
    </row>
    <row r="22" ht="15" customHeight="1">
      <c r="A22" s="68" t="inlineStr">
        <is>
          <t xml:space="preserve">  • Not specifying the target region — GCP pricing varies by region</t>
        </is>
      </c>
    </row>
    <row r="23" ht="15" customHeight="1">
      <c r="A23" s="68" t="inlineStr">
        <is>
          <t xml:space="preserve">  • Omitting Memorystore (managed Redis) cost for Redis-heavy estates</t>
        </is>
      </c>
    </row>
    <row r="24" ht="15" customHeight="1">
      <c r="A24" s="68" t="inlineStr">
        <is>
          <t xml:space="preserve">  • Forgetting sustained use discounts on On-Demand (GCP auto-applies these — include in baseline)</t>
        </is>
      </c>
    </row>
    <row r="26">
      <c r="A26" s="69" t="inlineStr">
        <is>
          <t>CRA Framework v2.0  |  Rackspace Cloud Solutions Architecture  |  gcp-evaluation.xlsx</t>
        </is>
      </c>
    </row>
  </sheetData>
  <mergeCells count="20">
    <mergeCell ref="A24:B24"/>
    <mergeCell ref="A15:B15"/>
    <mergeCell ref="A11:B11"/>
    <mergeCell ref="A1:B1"/>
    <mergeCell ref="A16:B16"/>
    <mergeCell ref="A7:B7"/>
    <mergeCell ref="A18:B18"/>
    <mergeCell ref="A26:B26"/>
    <mergeCell ref="A21:B21"/>
    <mergeCell ref="A2:B2"/>
    <mergeCell ref="A5:B5"/>
    <mergeCell ref="A14:B14"/>
    <mergeCell ref="A23:B23"/>
    <mergeCell ref="A17:B17"/>
    <mergeCell ref="A8:B8"/>
    <mergeCell ref="A22:B22"/>
    <mergeCell ref="A4:B4"/>
    <mergeCell ref="A20:B20"/>
    <mergeCell ref="A10:B10"/>
    <mergeCell ref="A13:B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0"/>
  <sheetViews>
    <sheetView showGridLines="0" zoomScaleNormal="100" workbookViewId="0">
      <selection activeCell="A115" sqref="A115"/>
    </sheetView>
  </sheetViews>
  <sheetFormatPr baseColWidth="8" defaultColWidth="8.6328125" defaultRowHeight="14.5"/>
  <cols>
    <col width="37.1796875" bestFit="1" customWidth="1" min="1" max="1"/>
    <col width="42.54296875" bestFit="1" customWidth="1" min="2" max="2"/>
    <col width="56.7265625" bestFit="1" customWidth="1" min="3" max="3"/>
    <col width="51.6328125" bestFit="1" customWidth="1" min="4" max="4"/>
    <col width="37.90625" bestFit="1" customWidth="1" min="5" max="5"/>
    <col width="32.81640625" bestFit="1" customWidth="1" min="6" max="6"/>
  </cols>
  <sheetData>
    <row r="1" ht="38" customFormat="1" customHeight="1" s="36">
      <c r="A1" s="37" t="inlineStr">
        <is>
          <t>GCP CLOUD READINESS ASSESSMENT</t>
        </is>
      </c>
    </row>
    <row r="2" ht="26" customFormat="1" customHeight="1" s="36">
      <c r="A2" s="16" t="inlineStr">
        <is>
          <t>Executive Evaluation Framework</t>
        </is>
      </c>
    </row>
    <row r="3" ht="20" customFormat="1" customHeight="1" s="36">
      <c r="A3" s="17" t="inlineStr">
        <is>
          <t>Version 1.0  |  Classification: Confidential  |  Phase: Evaluation  |  Requirements: 4.1, 4.2, 4.3, 4.6</t>
        </is>
      </c>
    </row>
    <row r="4" ht="18" customFormat="1" customHeight="1" s="36">
      <c r="A4" s="17" t="inlineStr">
        <is>
          <t>💱 Currency: USD ($) — All costs displayed in US Dollars. To change currency, update number format to desired locale (GBP, EUR, AUD, etc.)</t>
        </is>
      </c>
    </row>
    <row r="5" ht="18" customFormat="1" customHeight="1" s="36">
      <c r="A5" s="4" t="n"/>
      <c r="B5" s="4" t="n"/>
      <c r="C5" s="4" t="n"/>
      <c r="D5" s="4" t="n"/>
      <c r="E5" s="4" t="n"/>
      <c r="F5" s="4" t="n"/>
    </row>
    <row r="6" ht="18" customFormat="1" customHeight="1" s="36">
      <c r="A6" s="5" t="inlineStr">
        <is>
          <t>📋 ASSESSMENT STATUS: TEMPLATE READY — Complete all sections below to finalize evaluation</t>
        </is>
      </c>
    </row>
    <row r="7" ht="18" customFormat="1" customHeight="1" s="36">
      <c r="A7" s="4" t="n"/>
      <c r="B7" s="4" t="n"/>
      <c r="C7" s="4" t="n"/>
      <c r="D7" s="4" t="n"/>
      <c r="E7" s="4" t="n"/>
      <c r="F7" s="4" t="n"/>
    </row>
    <row r="8" ht="18" customFormat="1" customHeight="1" s="36">
      <c r="A8" s="5" t="inlineStr">
        <is>
          <t>SECTION 1  —  GCP SERVICE COMPATIBILITY ASSESSMENT</t>
        </is>
      </c>
    </row>
    <row r="9" ht="18" customFormat="1" customHeight="1" s="36" thickBot="1">
      <c r="A9" s="13" t="inlineStr">
        <is>
          <t>Maps current infrastructure components to recommended GCP target services with compatibility assessment</t>
        </is>
      </c>
    </row>
    <row r="10" ht="18" customFormat="1" customHeight="1" s="36">
      <c r="A10" s="29" t="inlineStr">
        <is>
          <t>Application / Workload</t>
        </is>
      </c>
      <c r="B10" s="30" t="inlineStr">
        <is>
          <t>Current Platform</t>
        </is>
      </c>
      <c r="C10" s="30" t="inlineStr">
        <is>
          <t>GCP Target Service</t>
        </is>
      </c>
      <c r="D10" s="30" t="inlineStr">
        <is>
          <t>Compatibility</t>
        </is>
      </c>
      <c r="E10" s="30" t="inlineStr">
        <is>
          <t>Migration Approach</t>
        </is>
      </c>
      <c r="F10" s="38" t="inlineStr">
        <is>
          <t>Notes / Assumptions</t>
        </is>
      </c>
    </row>
    <row r="11" ht="18" customFormat="1" customHeight="1" s="36">
      <c r="A11" s="62" t="inlineStr">
        <is>
          <t>Application 1 — [Enter Application Name]</t>
        </is>
      </c>
      <c r="B11" s="20" t="inlineStr">
        <is>
          <t>VMware vSphere</t>
        </is>
      </c>
      <c r="C11" s="20" t="inlineStr">
        <is>
          <t>Compute Engine (N2)</t>
        </is>
      </c>
      <c r="D11" s="20" t="inlineStr">
        <is>
          <t>🟡 Partial</t>
        </is>
      </c>
      <c r="E11" s="20" t="inlineStr">
        <is>
          <t>Rehost</t>
        </is>
      </c>
      <c r="F11" s="21" t="inlineStr">
        <is>
          <t>Validate OS and drivers</t>
        </is>
      </c>
    </row>
    <row r="12" ht="18" customFormat="1" customHeight="1" s="36">
      <c r="A12" s="62" t="inlineStr">
        <is>
          <t>Application 2 — [Enter Application Name]</t>
        </is>
      </c>
      <c r="B12" s="20" t="inlineStr">
        <is>
          <t>Bare metal Linux</t>
        </is>
      </c>
      <c r="C12" s="20" t="inlineStr">
        <is>
          <t>GKE Standard</t>
        </is>
      </c>
      <c r="D12" s="20" t="inlineStr">
        <is>
          <t>🟢 Compatible</t>
        </is>
      </c>
      <c r="E12" s="20" t="inlineStr">
        <is>
          <t>Replatform</t>
        </is>
      </c>
      <c r="F12" s="21" t="inlineStr">
        <is>
          <t>Containerize service</t>
        </is>
      </c>
    </row>
    <row r="13" customFormat="1" s="36">
      <c r="A13" s="62" t="inlineStr">
        <is>
          <t>Application 3 — [Enter Application Name]</t>
        </is>
      </c>
      <c r="B13" s="20" t="inlineStr">
        <is>
          <t>Oracle RAC</t>
        </is>
      </c>
      <c r="C13" s="20" t="inlineStr">
        <is>
          <t>AlloyDB / BigQuery</t>
        </is>
      </c>
      <c r="D13" s="20" t="inlineStr">
        <is>
          <t>🟠 Conditional</t>
        </is>
      </c>
      <c r="E13" s="20" t="inlineStr">
        <is>
          <t>Refactor</t>
        </is>
      </c>
      <c r="F13" s="21" t="inlineStr">
        <is>
          <t>Assess schema &amp; workloads</t>
        </is>
      </c>
    </row>
    <row r="14" customFormat="1" s="36">
      <c r="A14" s="62" t="inlineStr">
        <is>
          <t>Application 4 — [Enter Application Name]</t>
        </is>
      </c>
      <c r="B14" s="20" t="inlineStr">
        <is>
          <t>NetApp</t>
        </is>
      </c>
      <c r="C14" s="20" t="inlineStr">
        <is>
          <t>Filestore / NetApp Volumes</t>
        </is>
      </c>
      <c r="D14" s="20" t="inlineStr">
        <is>
          <t>🟢 Compatible</t>
        </is>
      </c>
      <c r="E14" s="20" t="inlineStr">
        <is>
          <t>Replatform</t>
        </is>
      </c>
      <c r="F14" s="21" t="inlineStr">
        <is>
          <t>Confirm throughput tier</t>
        </is>
      </c>
    </row>
    <row r="15" ht="15" customFormat="1" customHeight="1" s="36" thickBot="1">
      <c r="A15" s="63" t="inlineStr">
        <is>
          <t>Application 5 — [Enter Application Name]</t>
        </is>
      </c>
      <c r="B15" s="23" t="inlineStr">
        <is>
          <t>Windows Server</t>
        </is>
      </c>
      <c r="C15" s="23" t="inlineStr">
        <is>
          <t>Cloud Run Jobs / GCE</t>
        </is>
      </c>
      <c r="D15" s="23" t="inlineStr">
        <is>
          <t>🟡 Partial</t>
        </is>
      </c>
      <c r="E15" s="23" t="inlineStr">
        <is>
          <t>Rehost</t>
        </is>
      </c>
      <c r="F15" s="24" t="inlineStr">
        <is>
          <t>Check Windows licensing (BYOL)</t>
        </is>
      </c>
    </row>
    <row r="16" customFormat="1" s="36">
      <c r="A16" s="4" t="n"/>
      <c r="B16" s="4" t="n"/>
      <c r="C16" s="4" t="n"/>
      <c r="D16" s="4" t="n"/>
      <c r="E16" s="4" t="n"/>
      <c r="F16" s="4" t="n"/>
    </row>
    <row r="17" ht="15" customFormat="1" customHeight="1" s="36" thickBot="1">
      <c r="A17" s="25" t="inlineStr">
        <is>
          <t>▸ COMPUTE SERVICES MAPPING</t>
        </is>
      </c>
    </row>
    <row r="18" customFormat="1" s="36">
      <c r="A18" s="29" t="inlineStr">
        <is>
          <t>Current Infrastructure</t>
        </is>
      </c>
      <c r="B18" s="30" t="inlineStr">
        <is>
          <t>GCP Target Service</t>
        </is>
      </c>
      <c r="C18" s="30" t="inlineStr">
        <is>
          <t>Recommended Machine Family</t>
        </is>
      </c>
      <c r="D18" s="30" t="inlineStr">
        <is>
          <t>Sizing Approach</t>
        </is>
      </c>
      <c r="E18" s="30" t="inlineStr">
        <is>
          <t>CUD Eligible</t>
        </is>
      </c>
      <c r="F18" s="38" t="inlineStr">
        <is>
          <t>Notes</t>
        </is>
      </c>
    </row>
    <row r="19" customFormat="1" s="36">
      <c r="A19" s="19" t="inlineStr">
        <is>
          <t>Physical Servers</t>
        </is>
      </c>
      <c r="B19" s="20" t="inlineStr">
        <is>
          <t>Compute Engine</t>
        </is>
      </c>
      <c r="C19" s="20" t="inlineStr">
        <is>
          <t>N2 / N2D / Custom</t>
        </is>
      </c>
      <c r="D19" s="20" t="inlineStr">
        <is>
          <t>Performance-based</t>
        </is>
      </c>
      <c r="E19" s="20" t="inlineStr">
        <is>
          <t>Yes</t>
        </is>
      </c>
      <c r="F19" s="21" t="n"/>
    </row>
    <row r="20" customFormat="1" s="36">
      <c r="A20" s="19" t="inlineStr">
        <is>
          <t>VMware VMs</t>
        </is>
      </c>
      <c r="B20" s="20" t="inlineStr">
        <is>
          <t>Google Cloud VMware Engine / Compute Engine</t>
        </is>
      </c>
      <c r="C20" s="20" t="inlineStr">
        <is>
          <t>As per assessment</t>
        </is>
      </c>
      <c r="D20" s="20" t="inlineStr">
        <is>
          <t>Performance-based</t>
        </is>
      </c>
      <c r="E20" s="20" t="inlineStr">
        <is>
          <t>Yes</t>
        </is>
      </c>
      <c r="F20" s="21" t="n"/>
    </row>
    <row r="21" customFormat="1" s="36">
      <c r="A21" s="19" t="inlineStr">
        <is>
          <t>Containers</t>
        </is>
      </c>
      <c r="B21" s="20" t="inlineStr">
        <is>
          <t>Google Kubernetes Engine (GKE) / Cloud Run</t>
        </is>
      </c>
      <c r="C21" s="20" t="inlineStr">
        <is>
          <t>N/A</t>
        </is>
      </c>
      <c r="D21" s="20" t="inlineStr">
        <is>
          <t>Right-sized</t>
        </is>
      </c>
      <c r="E21" s="20" t="inlineStr">
        <is>
          <t>Yes</t>
        </is>
      </c>
      <c r="F21" s="21" t="n"/>
    </row>
    <row r="22" customFormat="1" s="36">
      <c r="A22" s="19" t="inlineStr">
        <is>
          <t>Windows Servers</t>
        </is>
      </c>
      <c r="B22" s="20" t="inlineStr">
        <is>
          <t>Compute Engine (Windows)</t>
        </is>
      </c>
      <c r="C22" s="20" t="inlineStr">
        <is>
          <t>N2 / E2</t>
        </is>
      </c>
      <c r="D22" s="20" t="inlineStr">
        <is>
          <t>Performance-based</t>
        </is>
      </c>
      <c r="E22" s="20" t="inlineStr">
        <is>
          <t>Yes</t>
        </is>
      </c>
      <c r="F22" s="21" t="inlineStr">
        <is>
          <t>BYOL where applicable</t>
        </is>
      </c>
    </row>
    <row r="23" ht="15" customFormat="1" customHeight="1" s="36" thickBot="1">
      <c r="A23" s="22" t="inlineStr">
        <is>
          <t>Linux Servers</t>
        </is>
      </c>
      <c r="B23" s="23" t="inlineStr">
        <is>
          <t>Compute Engine (Linux)</t>
        </is>
      </c>
      <c r="C23" s="23" t="inlineStr">
        <is>
          <t>N2 / E2 / Tau T2D</t>
        </is>
      </c>
      <c r="D23" s="23" t="inlineStr">
        <is>
          <t>Performance-based</t>
        </is>
      </c>
      <c r="E23" s="23" t="inlineStr">
        <is>
          <t>Yes</t>
        </is>
      </c>
      <c r="F23" s="24" t="n"/>
    </row>
    <row r="24" customFormat="1" s="36">
      <c r="A24" s="4" t="n"/>
      <c r="B24" s="4" t="n"/>
      <c r="C24" s="4" t="n"/>
      <c r="D24" s="4" t="n"/>
      <c r="E24" s="4" t="n"/>
      <c r="F24" s="4" t="n"/>
    </row>
    <row r="25" ht="15" customFormat="1" customHeight="1" s="36" thickBot="1">
      <c r="A25" s="25" t="inlineStr">
        <is>
          <t>▸ DATABASE SERVICES MAPPING</t>
        </is>
      </c>
    </row>
    <row r="26" customFormat="1" s="36">
      <c r="A26" s="29" t="inlineStr">
        <is>
          <t>Current Database</t>
        </is>
      </c>
      <c r="B26" s="30" t="inlineStr">
        <is>
          <t>GCP Target Service</t>
        </is>
      </c>
      <c r="C26" s="30" t="inlineStr">
        <is>
          <t>Migration Path</t>
        </is>
      </c>
      <c r="D26" s="30" t="inlineStr">
        <is>
          <t>Licensing Model</t>
        </is>
      </c>
      <c r="E26" s="30" t="inlineStr">
        <is>
          <t>Quantity</t>
        </is>
      </c>
      <c r="F26" s="38" t="inlineStr">
        <is>
          <t>Notes</t>
        </is>
      </c>
    </row>
    <row r="27" customFormat="1" s="36">
      <c r="A27" s="19" t="inlineStr">
        <is>
          <t>SQL Server</t>
        </is>
      </c>
      <c r="B27" s="20" t="inlineStr">
        <is>
          <t>Cloud SQL for SQL Server / Compute Engine</t>
        </is>
      </c>
      <c r="C27" s="20" t="inlineStr">
        <is>
          <t>DMS Migration</t>
        </is>
      </c>
      <c r="D27" s="20" t="inlineStr">
        <is>
          <t>BYOL / Included</t>
        </is>
      </c>
      <c r="E27" s="20" t="n"/>
      <c r="F27" s="21" t="n"/>
    </row>
    <row r="28" customFormat="1" s="36">
      <c r="A28" s="19" t="inlineStr">
        <is>
          <t>Oracle</t>
        </is>
      </c>
      <c r="B28" s="20" t="inlineStr">
        <is>
          <t>Bare Metal Solution for Oracle / AlloyDB</t>
        </is>
      </c>
      <c r="C28" s="20" t="inlineStr">
        <is>
          <t>Lift &amp; Shift / Refactor</t>
        </is>
      </c>
      <c r="D28" s="20" t="inlineStr">
        <is>
          <t>BYOL</t>
        </is>
      </c>
      <c r="E28" s="20" t="n"/>
      <c r="F28" s="21" t="n"/>
    </row>
    <row r="29" customFormat="1" s="36">
      <c r="A29" s="19" t="inlineStr">
        <is>
          <t>MySQL</t>
        </is>
      </c>
      <c r="B29" s="20" t="inlineStr">
        <is>
          <t>Cloud SQL for MySQL</t>
        </is>
      </c>
      <c r="C29" s="20" t="inlineStr">
        <is>
          <t>DMS Migration</t>
        </is>
      </c>
      <c r="D29" s="20" t="inlineStr">
        <is>
          <t>PAYG</t>
        </is>
      </c>
      <c r="E29" s="20" t="n"/>
      <c r="F29" s="21" t="n"/>
    </row>
    <row r="30" customFormat="1" s="36">
      <c r="A30" s="19" t="inlineStr">
        <is>
          <t>PostgreSQL</t>
        </is>
      </c>
      <c r="B30" s="20" t="inlineStr">
        <is>
          <t>Cloud SQL for PostgreSQL / AlloyDB</t>
        </is>
      </c>
      <c r="C30" s="20" t="inlineStr">
        <is>
          <t>DMS Migration</t>
        </is>
      </c>
      <c r="D30" s="20" t="inlineStr">
        <is>
          <t>PAYG</t>
        </is>
      </c>
      <c r="E30" s="20" t="n"/>
      <c r="F30" s="21" t="n"/>
    </row>
    <row r="31" ht="15" customFormat="1" customHeight="1" s="36" thickBot="1">
      <c r="A31" s="22" t="inlineStr">
        <is>
          <t>MongoDB</t>
        </is>
      </c>
      <c r="B31" s="23" t="inlineStr">
        <is>
          <t>MongoDB Atlas on GCP / Firestore</t>
        </is>
      </c>
      <c r="C31" s="23" t="inlineStr">
        <is>
          <t>Replatform</t>
        </is>
      </c>
      <c r="D31" s="23" t="inlineStr">
        <is>
          <t>PAYG</t>
        </is>
      </c>
      <c r="E31" s="23" t="n"/>
      <c r="F31" s="24" t="n"/>
    </row>
    <row r="32" customFormat="1" s="36">
      <c r="A32" s="4" t="n"/>
      <c r="B32" s="4" t="n"/>
      <c r="C32" s="4" t="n"/>
      <c r="D32" s="4" t="n"/>
      <c r="E32" s="4" t="n"/>
      <c r="F32" s="4" t="n"/>
    </row>
    <row r="33" customFormat="1" s="36">
      <c r="A33" s="5" t="inlineStr">
        <is>
          <t>SECTION 1B  —  SERVER READINESS &amp; SUPPORT STATUS ANALYSIS</t>
        </is>
      </c>
    </row>
    <row r="34" customFormat="1" s="36">
      <c r="A34" s="13" t="inlineStr">
        <is>
          <t>Comprehensive analysis of server lifecycle status, migration readiness, and operating system distribution</t>
        </is>
      </c>
    </row>
    <row r="35" customFormat="1" s="36">
      <c r="A35" s="4" t="n"/>
      <c r="B35" s="4" t="n"/>
      <c r="C35" s="4" t="n"/>
      <c r="D35" s="4" t="n"/>
      <c r="E35" s="4" t="n"/>
      <c r="F35" s="4" t="n"/>
    </row>
    <row r="36" ht="15" customFormat="1" customHeight="1" s="36" thickBot="1">
      <c r="A36" s="25" t="inlineStr">
        <is>
          <t>▸ END-OF-LIFE (EOL) &amp; SUPPORT STATUS</t>
        </is>
      </c>
    </row>
    <row r="37" customFormat="1" s="36">
      <c r="A37" s="29" t="inlineStr">
        <is>
          <t>Support Status</t>
        </is>
      </c>
      <c r="B37" s="30" t="inlineStr">
        <is>
          <t>Server Count</t>
        </is>
      </c>
      <c r="C37" s="30" t="inlineStr">
        <is>
          <t>% of Total</t>
        </is>
      </c>
      <c r="D37" s="30" t="inlineStr">
        <is>
          <t>Risk Level</t>
        </is>
      </c>
      <c r="E37" s="30" t="inlineStr">
        <is>
          <t>Action Required</t>
        </is>
      </c>
      <c r="F37" s="38" t="inlineStr">
        <is>
          <t>Target Date</t>
        </is>
      </c>
    </row>
    <row r="38" customFormat="1" s="36">
      <c r="A38" s="19" t="inlineStr">
        <is>
          <t>🔴 End-of-Life (EOL)</t>
        </is>
      </c>
      <c r="B38" s="20" t="n">
        <v>0</v>
      </c>
      <c r="C38" s="20">
        <f>IF($B$42=0,"",TEXT(B38/$B$42,"0%"))</f>
        <v/>
      </c>
      <c r="D38" s="20" t="inlineStr">
        <is>
          <t>Critical</t>
        </is>
      </c>
      <c r="E38" s="20" t="inlineStr">
        <is>
          <t>Immediate upgrade/replacement required</t>
        </is>
      </c>
      <c r="F38" s="21" t="n"/>
    </row>
    <row r="39" customFormat="1" s="36">
      <c r="A39" s="19" t="inlineStr">
        <is>
          <t>🟠 Extended Support</t>
        </is>
      </c>
      <c r="B39" s="20" t="n">
        <v>0</v>
      </c>
      <c r="C39" s="20">
        <f>IF($B$42=0,"",TEXT(B39/$B$42,"0%"))</f>
        <v/>
      </c>
      <c r="D39" s="20" t="inlineStr">
        <is>
          <t>High</t>
        </is>
      </c>
      <c r="E39" s="20" t="inlineStr">
        <is>
          <t>Plan migration within 12 months</t>
        </is>
      </c>
      <c r="F39" s="21" t="n"/>
    </row>
    <row r="40" customFormat="1" s="36">
      <c r="A40" s="19" t="inlineStr">
        <is>
          <t>🟡 Mainstream Support Ending</t>
        </is>
      </c>
      <c r="B40" s="20" t="n">
        <v>0</v>
      </c>
      <c r="C40" s="20">
        <f>IF($B$42=0,"",TEXT(B40/$B$42,"0%"))</f>
        <v/>
      </c>
      <c r="D40" s="20" t="inlineStr">
        <is>
          <t>Medium</t>
        </is>
      </c>
      <c r="E40" s="20" t="inlineStr">
        <is>
          <t>Plan migration within 24 months</t>
        </is>
      </c>
      <c r="F40" s="21" t="n"/>
    </row>
    <row r="41" customFormat="1" s="36">
      <c r="A41" s="19" t="inlineStr">
        <is>
          <t>🟢 Fully Supported</t>
        </is>
      </c>
      <c r="B41" s="20" t="n">
        <v>0</v>
      </c>
      <c r="C41" s="20">
        <f>IF($B$42=0,"",TEXT(B41/$B$42,"0%"))</f>
        <v/>
      </c>
      <c r="D41" s="20" t="inlineStr">
        <is>
          <t>Low</t>
        </is>
      </c>
      <c r="E41" s="20" t="inlineStr">
        <is>
          <t>Standard migration timeline</t>
        </is>
      </c>
      <c r="F41" s="21" t="n"/>
    </row>
    <row r="42" ht="15" customFormat="1" customHeight="1" s="36" thickBot="1">
      <c r="A42" s="22" t="inlineStr">
        <is>
          <t>TOTAL SERVERS</t>
        </is>
      </c>
      <c r="B42" s="23">
        <f>SUM(B38:B41)</f>
        <v/>
      </c>
      <c r="C42" s="31" t="n">
        <v>1</v>
      </c>
      <c r="D42" s="23" t="n"/>
      <c r="E42" s="23" t="n"/>
      <c r="F42" s="24" t="n"/>
    </row>
    <row r="43" customFormat="1" s="36">
      <c r="A43" s="4" t="n"/>
      <c r="B43" s="4" t="n"/>
      <c r="C43" s="4" t="n"/>
      <c r="D43" s="4" t="n"/>
      <c r="E43" s="4" t="n"/>
      <c r="F43" s="4" t="n"/>
    </row>
    <row r="44" ht="15" customFormat="1" customHeight="1" s="36" thickBot="1">
      <c r="A44" s="25" t="inlineStr">
        <is>
          <t>▸ MIGRATION READINESS STATUS</t>
        </is>
      </c>
    </row>
    <row r="45" customFormat="1" s="36">
      <c r="A45" s="29" t="inlineStr">
        <is>
          <t>Readiness Status</t>
        </is>
      </c>
      <c r="B45" s="30" t="inlineStr">
        <is>
          <t>Server Count</t>
        </is>
      </c>
      <c r="C45" s="30" t="inlineStr">
        <is>
          <t>% of Total</t>
        </is>
      </c>
      <c r="D45" s="30" t="inlineStr">
        <is>
          <t>Blockers / Conditions</t>
        </is>
      </c>
      <c r="E45" s="30" t="inlineStr">
        <is>
          <t>Remediation Required</t>
        </is>
      </c>
      <c r="F45" s="38" t="inlineStr">
        <is>
          <t>Est. Effort</t>
        </is>
      </c>
    </row>
    <row r="46" customFormat="1" s="36">
      <c r="A46" s="19" t="inlineStr">
        <is>
          <t>🟢 Ready for Migration</t>
        </is>
      </c>
      <c r="B46" s="20" t="n">
        <v>0</v>
      </c>
      <c r="C46" s="20">
        <f>IF($B$50=0,"",TEXT(B46/$B$50,"0%"))</f>
        <v/>
      </c>
      <c r="D46" s="20" t="inlineStr">
        <is>
          <t>None</t>
        </is>
      </c>
      <c r="E46" s="20" t="inlineStr">
        <is>
          <t>None</t>
        </is>
      </c>
      <c r="F46" s="21" t="inlineStr">
        <is>
          <t>Low</t>
        </is>
      </c>
    </row>
    <row r="47" customFormat="1" s="36">
      <c r="A47" s="19" t="inlineStr">
        <is>
          <t>🟡 Ready with Conditions</t>
        </is>
      </c>
      <c r="B47" s="20" t="n">
        <v>0</v>
      </c>
      <c r="C47" s="20">
        <f>IF($B$50=0,"",TEXT(B47/$B$50,"0%"))</f>
        <v/>
      </c>
      <c r="D47" s="20" t="n"/>
      <c r="E47" s="20" t="n"/>
      <c r="F47" s="21" t="inlineStr">
        <is>
          <t>Medium</t>
        </is>
      </c>
    </row>
    <row r="48" customFormat="1" s="36">
      <c r="A48" s="19" t="inlineStr">
        <is>
          <t>🟠 Requires Remediation</t>
        </is>
      </c>
      <c r="B48" s="20" t="n">
        <v>0</v>
      </c>
      <c r="C48" s="20">
        <f>IF($B$50=0,"",TEXT(B48/$B$50,"0%"))</f>
        <v/>
      </c>
      <c r="D48" s="20" t="n"/>
      <c r="E48" s="20" t="n"/>
      <c r="F48" s="21" t="inlineStr">
        <is>
          <t>High</t>
        </is>
      </c>
    </row>
    <row r="49" customFormat="1" s="36">
      <c r="A49" s="19" t="inlineStr">
        <is>
          <t>🔴 Not Ready for Migration</t>
        </is>
      </c>
      <c r="B49" s="20" t="n">
        <v>0</v>
      </c>
      <c r="C49" s="20">
        <f>IF($B$50=0,"",TEXT(B49/$B$50,"0%"))</f>
        <v/>
      </c>
      <c r="D49" s="20" t="n"/>
      <c r="E49" s="20" t="n"/>
      <c r="F49" s="21" t="inlineStr">
        <is>
          <t>Critical</t>
        </is>
      </c>
    </row>
    <row r="50" ht="15" customFormat="1" customHeight="1" s="36" thickBot="1">
      <c r="A50" s="22" t="inlineStr">
        <is>
          <t>TOTAL SERVERS</t>
        </is>
      </c>
      <c r="B50" s="23">
        <f>SUM(B46:B49)</f>
        <v/>
      </c>
      <c r="C50" s="31" t="n">
        <v>1</v>
      </c>
      <c r="D50" s="23" t="n"/>
      <c r="E50" s="23" t="n"/>
      <c r="F50" s="24" t="n"/>
    </row>
    <row r="51">
      <c r="A51" s="4" t="n"/>
      <c r="B51" s="4" t="n"/>
      <c r="C51" s="4" t="n"/>
      <c r="D51" s="4" t="n"/>
      <c r="E51" s="4" t="n"/>
      <c r="F51" s="4" t="n"/>
    </row>
    <row r="52" ht="15" customHeight="1" thickBot="1">
      <c r="A52" s="25" t="inlineStr">
        <is>
          <t>▸ SERVER COUNT BY OPERATING SYSTEM</t>
        </is>
      </c>
    </row>
    <row r="53">
      <c r="A53" s="29" t="inlineStr">
        <is>
          <t>Operating System</t>
        </is>
      </c>
      <c r="B53" s="30" t="inlineStr">
        <is>
          <t>Version</t>
        </is>
      </c>
      <c r="C53" s="30" t="inlineStr">
        <is>
          <t>Server Count</t>
        </is>
      </c>
      <c r="D53" s="30" t="inlineStr">
        <is>
          <t>% of Total</t>
        </is>
      </c>
      <c r="E53" s="30" t="inlineStr">
        <is>
          <t>Support Status</t>
        </is>
      </c>
      <c r="F53" s="38" t="inlineStr">
        <is>
          <t>CUD Eligible</t>
        </is>
      </c>
    </row>
    <row r="54">
      <c r="A54" s="19" t="inlineStr">
        <is>
          <t>Windows Server</t>
        </is>
      </c>
      <c r="B54" s="20" t="n">
        <v>2022</v>
      </c>
      <c r="C54" s="20" t="n">
        <v>0</v>
      </c>
      <c r="D54" s="20">
        <f>IF($C$64=0,"",TEXT(C54/$C$64,"0%"))</f>
        <v/>
      </c>
      <c r="E54" s="20" t="inlineStr">
        <is>
          <t>🟢 Fully Supported</t>
        </is>
      </c>
      <c r="F54" s="21" t="inlineStr">
        <is>
          <t>Yes</t>
        </is>
      </c>
    </row>
    <row r="55">
      <c r="A55" s="19" t="inlineStr">
        <is>
          <t>Windows Server</t>
        </is>
      </c>
      <c r="B55" s="20" t="n">
        <v>2019</v>
      </c>
      <c r="C55" s="20" t="n">
        <v>0</v>
      </c>
      <c r="D55" s="20">
        <f>IF($C$64=0,"",TEXT(C55/$C$64,"0%"))</f>
        <v/>
      </c>
      <c r="E55" s="20" t="inlineStr">
        <is>
          <t>🟢 Fully Supported</t>
        </is>
      </c>
      <c r="F55" s="21" t="inlineStr">
        <is>
          <t>Yes</t>
        </is>
      </c>
    </row>
    <row r="56">
      <c r="A56" s="19" t="inlineStr">
        <is>
          <t>Windows Server</t>
        </is>
      </c>
      <c r="B56" s="20" t="n">
        <v>2016</v>
      </c>
      <c r="C56" s="20" t="n">
        <v>0</v>
      </c>
      <c r="D56" s="20">
        <f>IF($C$64=0,"",TEXT(C56/$C$64,"0%"))</f>
        <v/>
      </c>
      <c r="E56" s="20" t="inlineStr">
        <is>
          <t>🟡 Mainstream Ending</t>
        </is>
      </c>
      <c r="F56" s="21" t="inlineStr">
        <is>
          <t>Yes</t>
        </is>
      </c>
    </row>
    <row r="57">
      <c r="A57" s="19" t="inlineStr">
        <is>
          <t>Windows Server</t>
        </is>
      </c>
      <c r="B57" s="20" t="inlineStr">
        <is>
          <t>2012 R2</t>
        </is>
      </c>
      <c r="C57" s="20" t="n">
        <v>0</v>
      </c>
      <c r="D57" s="20">
        <f>IF($C$64=0,"",TEXT(C57/$C$64,"0%"))</f>
        <v/>
      </c>
      <c r="E57" s="20" t="inlineStr">
        <is>
          <t>🔴 EOL (ESU Available)</t>
        </is>
      </c>
      <c r="F57" s="21" t="inlineStr">
        <is>
          <t>Yes</t>
        </is>
      </c>
    </row>
    <row r="58">
      <c r="A58" s="19" t="inlineStr">
        <is>
          <t>Windows Server</t>
        </is>
      </c>
      <c r="B58" s="20" t="n">
        <v>2012</v>
      </c>
      <c r="C58" s="20" t="n">
        <v>0</v>
      </c>
      <c r="D58" s="20">
        <f>IF($C$64=0,"",TEXT(C58/$C$64,"0%"))</f>
        <v/>
      </c>
      <c r="E58" s="20" t="inlineStr">
        <is>
          <t>🔴 EOL (ESU Available)</t>
        </is>
      </c>
      <c r="F58" s="21" t="inlineStr">
        <is>
          <t>Yes</t>
        </is>
      </c>
    </row>
    <row r="59">
      <c r="A59" s="19" t="inlineStr">
        <is>
          <t>Windows Server</t>
        </is>
      </c>
      <c r="B59" s="20" t="inlineStr">
        <is>
          <t>2008 R2</t>
        </is>
      </c>
      <c r="C59" s="20" t="n">
        <v>0</v>
      </c>
      <c r="D59" s="20">
        <f>IF($C$64=0,"",TEXT(C59/$C$64,"0%"))</f>
        <v/>
      </c>
      <c r="E59" s="20" t="inlineStr">
        <is>
          <t>🔴 EOL</t>
        </is>
      </c>
      <c r="F59" s="21" t="inlineStr">
        <is>
          <t>Yes</t>
        </is>
      </c>
    </row>
    <row r="60">
      <c r="A60" s="19" t="inlineStr">
        <is>
          <t>Red Hat Enterprise Linux</t>
        </is>
      </c>
      <c r="B60" s="20" t="inlineStr">
        <is>
          <t>8.x / 9.x</t>
        </is>
      </c>
      <c r="C60" s="20" t="n">
        <v>0</v>
      </c>
      <c r="D60" s="20">
        <f>IF($C$64=0,"",TEXT(C60/$C$64,"0%"))</f>
        <v/>
      </c>
      <c r="E60" s="20" t="inlineStr">
        <is>
          <t>🟢 Fully Supported</t>
        </is>
      </c>
      <c r="F60" s="21" t="inlineStr">
        <is>
          <t>Yes</t>
        </is>
      </c>
    </row>
    <row r="61">
      <c r="A61" s="19" t="inlineStr">
        <is>
          <t>SUSE Linux Enterprise</t>
        </is>
      </c>
      <c r="B61" s="20" t="inlineStr">
        <is>
          <t>15.x</t>
        </is>
      </c>
      <c r="C61" s="20" t="n">
        <v>0</v>
      </c>
      <c r="D61" s="20">
        <f>IF($C$64=0,"",TEXT(C61/$C$64,"0%"))</f>
        <v/>
      </c>
      <c r="E61" s="20" t="inlineStr">
        <is>
          <t>🟢 Fully Supported</t>
        </is>
      </c>
      <c r="F61" s="21" t="inlineStr">
        <is>
          <t>Yes</t>
        </is>
      </c>
    </row>
    <row r="62">
      <c r="A62" s="19" t="inlineStr">
        <is>
          <t>Ubuntu Server</t>
        </is>
      </c>
      <c r="B62" s="20" t="inlineStr">
        <is>
          <t>20.04 / 22.04 LTS</t>
        </is>
      </c>
      <c r="C62" s="20" t="n">
        <v>0</v>
      </c>
      <c r="D62" s="20">
        <f>IF($C$64=0,"",TEXT(C62/$C$64,"0%"))</f>
        <v/>
      </c>
      <c r="E62" s="20" t="inlineStr">
        <is>
          <t>🟢 Fully Supported</t>
        </is>
      </c>
      <c r="F62" s="21" t="inlineStr">
        <is>
          <t>Yes</t>
        </is>
      </c>
    </row>
    <row r="63">
      <c r="A63" s="19" t="inlineStr">
        <is>
          <t>CentOS / Other Linux</t>
        </is>
      </c>
      <c r="B63" s="20" t="inlineStr">
        <is>
          <t>Various</t>
        </is>
      </c>
      <c r="C63" s="20" t="n">
        <v>0</v>
      </c>
      <c r="D63" s="20">
        <f>IF($C$64=0,"",TEXT(C63/$C$64,"0%"))</f>
        <v/>
      </c>
      <c r="E63" s="20" t="inlineStr">
        <is>
          <t>🟠 Varies</t>
        </is>
      </c>
      <c r="F63" s="21" t="inlineStr">
        <is>
          <t>Yes</t>
        </is>
      </c>
    </row>
    <row r="64" ht="15" customHeight="1" thickBot="1">
      <c r="A64" s="22" t="inlineStr">
        <is>
          <t>TOTAL SERVERS</t>
        </is>
      </c>
      <c r="B64" s="23" t="n"/>
      <c r="C64" s="23">
        <f>SUM(C54:C63)</f>
        <v/>
      </c>
      <c r="D64" s="31" t="n">
        <v>1</v>
      </c>
      <c r="E64" s="23" t="n"/>
      <c r="F64" s="24" t="n"/>
    </row>
    <row r="65">
      <c r="A65" s="4" t="n"/>
      <c r="B65" s="4" t="n"/>
      <c r="C65" s="4" t="n"/>
      <c r="D65" s="4" t="n"/>
      <c r="E65" s="4" t="n"/>
      <c r="F65" s="4" t="n"/>
    </row>
    <row r="66" ht="15" customHeight="1" thickBot="1">
      <c r="A66" s="25" t="inlineStr">
        <is>
          <t>▸ EXECUTIVE SUMMARY METRICS</t>
        </is>
      </c>
    </row>
    <row r="67">
      <c r="A67" s="29" t="inlineStr">
        <is>
          <t>Metric</t>
        </is>
      </c>
      <c r="B67" s="30" t="inlineStr">
        <is>
          <t>Value</t>
        </is>
      </c>
      <c r="C67" s="30" t="inlineStr">
        <is>
          <t>Status</t>
        </is>
      </c>
      <c r="D67" s="38" t="inlineStr">
        <is>
          <t>Notes</t>
        </is>
      </c>
      <c r="E67" s="14" t="n"/>
      <c r="F67" s="15" t="n"/>
    </row>
    <row r="68">
      <c r="A68" s="19" t="inlineStr">
        <is>
          <t>Total Servers in Scope</t>
        </is>
      </c>
      <c r="B68" s="20">
        <f>B50</f>
        <v/>
      </c>
      <c r="C68" s="20">
        <f>IF(B68&gt;0,"✅ Discovered","⏳ Pending")</f>
        <v/>
      </c>
      <c r="D68" s="21" t="inlineStr">
        <is>
          <t>From discovery export</t>
        </is>
      </c>
      <c r="E68" s="18" t="n"/>
      <c r="F68" s="11" t="n"/>
    </row>
    <row r="69">
      <c r="A69" s="19" t="inlineStr">
        <is>
          <t>Servers Requiring Immediate Action (EOL)</t>
        </is>
      </c>
      <c r="B69" s="20">
        <f>B38</f>
        <v/>
      </c>
      <c r="C69" s="20">
        <f>IF(B69&gt;0,"🔴 Action Required","🟢 OK")</f>
        <v/>
      </c>
      <c r="D69" s="21" t="inlineStr">
        <is>
          <t>End-of-life systems requiring immediate attention</t>
        </is>
      </c>
      <c r="E69" s="18" t="n"/>
      <c r="F69" s="11" t="n"/>
    </row>
    <row r="70">
      <c r="A70" s="19" t="inlineStr">
        <is>
          <t>Servers Ready for Migration</t>
        </is>
      </c>
      <c r="B70" s="20">
        <f>B46</f>
        <v/>
      </c>
      <c r="C70" s="20">
        <f>IF(B70&gt;0,"🟢 Ready","🟡 Pending")</f>
        <v/>
      </c>
      <c r="D70" s="21" t="inlineStr">
        <is>
          <t>No blockers identified</t>
        </is>
      </c>
      <c r="E70" s="18" t="n"/>
      <c r="F70" s="11" t="n"/>
    </row>
    <row r="71">
      <c r="A71" s="19" t="inlineStr">
        <is>
          <t>Servers Not Ready for Migration</t>
        </is>
      </c>
      <c r="B71" s="20">
        <f>B49</f>
        <v/>
      </c>
      <c r="C71" s="20">
        <f>IF(B71&gt;0,"🔴 Blockers Exist","🟢 OK")</f>
        <v/>
      </c>
      <c r="D71" s="21" t="inlineStr">
        <is>
          <t>Requires remediation before migration</t>
        </is>
      </c>
      <c r="E71" s="18" t="n"/>
      <c r="F71" s="11" t="n"/>
    </row>
    <row r="72" ht="15" customHeight="1" thickBot="1">
      <c r="A72" s="22" t="inlineStr">
        <is>
          <t>Overall Migration Readiness %</t>
        </is>
      </c>
      <c r="B72" s="31">
        <f>IF($B$50=0,0,($B$46+$B$47)/$B$50)</f>
        <v/>
      </c>
      <c r="C72" s="23">
        <f>IF($B$50=0,"⏳ Pending",IF(B72&gt;=0.8,"🟢 High Readiness",IF(B72&gt;=0.5,"🟡 Medium Readiness","🔴 Low Readiness")))</f>
        <v/>
      </c>
      <c r="D72" s="24" t="inlineStr">
        <is>
          <t>(Ready + Ready w/ Conditions) / Total</t>
        </is>
      </c>
      <c r="E72" s="18" t="n"/>
      <c r="F72" s="11" t="n"/>
    </row>
    <row r="73">
      <c r="A73" s="4" t="n"/>
      <c r="B73" s="4" t="n"/>
      <c r="C73" s="4" t="n"/>
      <c r="D73" s="4" t="n"/>
      <c r="E73" s="7" t="n"/>
      <c r="F73" s="7" t="n"/>
    </row>
    <row r="74">
      <c r="A74" s="5" t="inlineStr">
        <is>
          <t>SECTION 2  —  GCP REGIONAL ASSESSMENT</t>
        </is>
      </c>
    </row>
    <row r="75">
      <c r="A75" s="13" t="inlineStr">
        <is>
          <t>Comparative analysis of GCP regions for optimal workload placement based on cost, compliance, and latency</t>
        </is>
      </c>
    </row>
    <row r="76" ht="15" customHeight="1" thickBot="1">
      <c r="A76" s="13" t="inlineStr">
        <is>
          <t>📊 Reference: Migration Center / Pricing Calculator — Region A, Region B, Region C</t>
        </is>
      </c>
    </row>
    <row r="77">
      <c r="A77" s="29" t="inlineStr">
        <is>
          <t>Assessment Factor</t>
        </is>
      </c>
      <c r="B77" s="30" t="inlineStr">
        <is>
          <t>Region A</t>
        </is>
      </c>
      <c r="C77" s="30" t="inlineStr">
        <is>
          <t>Region B</t>
        </is>
      </c>
      <c r="D77" s="30" t="inlineStr">
        <is>
          <t>Region C</t>
        </is>
      </c>
      <c r="E77" s="30" t="inlineStr">
        <is>
          <t>Preferred</t>
        </is>
      </c>
      <c r="F77" s="38" t="inlineStr">
        <is>
          <t>Rationale</t>
        </is>
      </c>
    </row>
    <row r="78">
      <c r="A78" s="19" t="inlineStr">
        <is>
          <t>Compute Cost (Monthly)</t>
        </is>
      </c>
      <c r="B78" s="70" t="n">
        <v>0</v>
      </c>
      <c r="C78" s="70" t="n">
        <v>0</v>
      </c>
      <c r="D78" s="70" t="n">
        <v>0</v>
      </c>
      <c r="E78" s="20" t="n"/>
      <c r="F78" s="21" t="n"/>
    </row>
    <row r="79">
      <c r="A79" s="19" t="inlineStr">
        <is>
          <t>Storage Cost (Monthly)</t>
        </is>
      </c>
      <c r="B79" s="70" t="n">
        <v>0</v>
      </c>
      <c r="C79" s="70" t="n">
        <v>0</v>
      </c>
      <c r="D79" s="70" t="n">
        <v>0</v>
      </c>
      <c r="E79" s="20" t="n"/>
      <c r="F79" s="21" t="n"/>
    </row>
    <row r="80">
      <c r="A80" s="19" t="inlineStr">
        <is>
          <t>Database Cost (Monthly)</t>
        </is>
      </c>
      <c r="B80" s="70" t="n">
        <v>0</v>
      </c>
      <c r="C80" s="70" t="n">
        <v>0</v>
      </c>
      <c r="D80" s="70" t="n">
        <v>0</v>
      </c>
      <c r="E80" s="20" t="n"/>
      <c r="F80" s="21" t="n"/>
    </row>
    <row r="81">
      <c r="A81" s="19" t="inlineStr">
        <is>
          <t>Data Transfer Cost</t>
        </is>
      </c>
      <c r="B81" s="70" t="n">
        <v>0</v>
      </c>
      <c r="C81" s="70" t="n">
        <v>0</v>
      </c>
      <c r="D81" s="70" t="n">
        <v>0</v>
      </c>
      <c r="E81" s="20" t="n"/>
      <c r="F81" s="21" t="n"/>
    </row>
    <row r="82">
      <c r="A82" s="19" t="inlineStr">
        <is>
          <t>Total Monthly — On-Demand</t>
        </is>
      </c>
      <c r="B82" s="70" t="n">
        <v>0</v>
      </c>
      <c r="C82" s="70" t="n">
        <v>0</v>
      </c>
      <c r="D82" s="70" t="n">
        <v>0</v>
      </c>
      <c r="E82" s="20" t="n"/>
      <c r="F82" s="21" t="n"/>
    </row>
    <row r="83">
      <c r="A83" s="19" t="inlineStr">
        <is>
          <t>Total Monthly — CUD 1-Year</t>
        </is>
      </c>
      <c r="B83" s="70" t="n">
        <v>0</v>
      </c>
      <c r="C83" s="70" t="n">
        <v>0</v>
      </c>
      <c r="D83" s="70" t="n">
        <v>0</v>
      </c>
      <c r="E83" s="20" t="n"/>
      <c r="F83" s="21" t="n"/>
    </row>
    <row r="84">
      <c r="A84" s="19" t="inlineStr">
        <is>
          <t>Total Monthly — CUD 3-Year</t>
        </is>
      </c>
      <c r="B84" s="70" t="n">
        <v>0</v>
      </c>
      <c r="C84" s="70" t="n">
        <v>0</v>
      </c>
      <c r="D84" s="70" t="n">
        <v>0</v>
      </c>
      <c r="E84" s="20" t="n"/>
      <c r="F84" s="21" t="n"/>
    </row>
    <row r="85">
      <c r="A85" s="19" t="inlineStr">
        <is>
          <t>Total Monthly — Optimized (CUD+SUD)</t>
        </is>
      </c>
      <c r="B85" s="70" t="n">
        <v>0</v>
      </c>
      <c r="C85" s="70" t="n">
        <v>0</v>
      </c>
      <c r="D85" s="70" t="n">
        <v>0</v>
      </c>
      <c r="E85" s="20" t="n"/>
      <c r="F85" s="21" t="n"/>
    </row>
    <row r="86">
      <c r="A86" s="19" t="inlineStr">
        <is>
          <t>Data Residency Compliant (Yes/No)</t>
        </is>
      </c>
      <c r="B86" s="20" t="n"/>
      <c r="C86" s="20" t="n"/>
      <c r="D86" s="20" t="n"/>
      <c r="E86" s="20" t="n"/>
      <c r="F86" s="21" t="n"/>
    </row>
    <row r="87">
      <c r="A87" s="19" t="inlineStr">
        <is>
          <t>Latency to End Users (ms)</t>
        </is>
      </c>
      <c r="B87" s="20" t="n"/>
      <c r="C87" s="20" t="n"/>
      <c r="D87" s="20" t="n"/>
      <c r="E87" s="20" t="n"/>
      <c r="F87" s="21" t="n"/>
    </row>
    <row r="88" ht="15" customHeight="1" thickBot="1">
      <c r="A88" s="22" t="inlineStr">
        <is>
          <t>Paired Region for DR</t>
        </is>
      </c>
      <c r="B88" s="23" t="n"/>
      <c r="C88" s="23" t="n"/>
      <c r="D88" s="23" t="n"/>
      <c r="E88" s="23" t="n"/>
      <c r="F88" s="24" t="n"/>
    </row>
    <row r="89">
      <c r="A89" s="4" t="n"/>
      <c r="B89" s="4" t="n"/>
      <c r="C89" s="4" t="n"/>
      <c r="D89" s="4" t="n"/>
      <c r="E89" s="4" t="n"/>
      <c r="F89" s="4" t="n"/>
    </row>
    <row r="90" ht="15" customHeight="1" thickBot="1">
      <c r="A90" s="25" t="inlineStr">
        <is>
          <t>▸ REGIONAL RECOMMENDATION</t>
        </is>
      </c>
    </row>
    <row r="91">
      <c r="A91" s="29" t="inlineStr">
        <is>
          <t>Primary Region</t>
        </is>
      </c>
      <c r="B91" s="30" t="inlineStr">
        <is>
          <t>Secondary Region (DR)</t>
        </is>
      </c>
      <c r="C91" s="38" t="inlineStr">
        <is>
          <t>Selection Rationale</t>
        </is>
      </c>
      <c r="D91" s="8" t="n"/>
      <c r="E91" s="6" t="n"/>
      <c r="F91" s="6" t="n"/>
    </row>
    <row r="92" ht="15" customHeight="1" thickBot="1">
      <c r="A92" s="22" t="inlineStr">
        <is>
          <t>[Select Region]</t>
        </is>
      </c>
      <c r="B92" s="23" t="inlineStr">
        <is>
          <t>[Select Region]</t>
        </is>
      </c>
      <c r="C92" s="24" t="inlineStr">
        <is>
          <t>[Enter rationale based on cost, compliance, and latency analysis]</t>
        </is>
      </c>
      <c r="D92" s="18" t="n"/>
      <c r="E92" s="11" t="n"/>
      <c r="F92" s="11" t="n"/>
    </row>
    <row r="93">
      <c r="A93" s="4" t="n"/>
      <c r="B93" s="4" t="n"/>
      <c r="C93" s="4" t="n"/>
      <c r="D93" s="7" t="n"/>
      <c r="E93" s="7" t="n"/>
      <c r="F93" s="7" t="n"/>
    </row>
    <row r="94">
      <c r="A94" s="5" t="inlineStr">
        <is>
          <t>SECTION 3  —  GCP COST ESTIMATION &amp; OPTIMIZATION</t>
        </is>
      </c>
    </row>
    <row r="95">
      <c r="A95" s="13" t="inlineStr">
        <is>
          <t>Comprehensive cost analysis comparing On-Demand, Committed Use Discounts (CUD), and Sustained Use Discounts (SUD)</t>
        </is>
      </c>
    </row>
    <row r="96">
      <c r="A96" s="4" t="n"/>
      <c r="B96" s="4" t="n"/>
      <c r="C96" s="4" t="n"/>
      <c r="D96" s="4" t="n"/>
      <c r="E96" s="4" t="n"/>
      <c r="F96" s="4" t="n"/>
    </row>
    <row r="97" ht="15" customHeight="1" thickBot="1">
      <c r="A97" s="25" t="inlineStr">
        <is>
          <t>▸ COST MODEL COMPARISON</t>
        </is>
      </c>
    </row>
    <row r="98">
      <c r="A98" s="29" t="inlineStr">
        <is>
          <t>Pricing Model</t>
        </is>
      </c>
      <c r="B98" s="30" t="inlineStr">
        <is>
          <t>Monthly Cost ($)</t>
        </is>
      </c>
      <c r="C98" s="30" t="inlineStr">
        <is>
          <t>Annual Cost ($)</t>
        </is>
      </c>
      <c r="D98" s="30" t="inlineStr">
        <is>
          <t>3-Year Total ($)</t>
        </is>
      </c>
      <c r="E98" s="30" t="inlineStr">
        <is>
          <t>Savings vs On-Demand</t>
        </is>
      </c>
      <c r="F98" s="38" t="inlineStr">
        <is>
          <t>Notes</t>
        </is>
      </c>
    </row>
    <row r="99">
      <c r="A99" s="19" t="inlineStr">
        <is>
          <t>On-Demand</t>
        </is>
      </c>
      <c r="B99" s="70" t="n">
        <v>0</v>
      </c>
      <c r="C99" s="70" t="n">
        <v>0</v>
      </c>
      <c r="D99" s="70" t="n">
        <v>0</v>
      </c>
      <c r="E99" s="32" t="inlineStr">
        <is>
          <t>—</t>
        </is>
      </c>
      <c r="F99" s="21" t="inlineStr">
        <is>
          <t>Baseline pricing</t>
        </is>
      </c>
    </row>
    <row r="100">
      <c r="A100" s="19" t="inlineStr">
        <is>
          <t>CUD — 1 Year</t>
        </is>
      </c>
      <c r="B100" s="70" t="n">
        <v>0</v>
      </c>
      <c r="C100" s="70" t="n">
        <v>0</v>
      </c>
      <c r="D100" s="70" t="n">
        <v>0</v>
      </c>
      <c r="E100" s="32">
        <f>IF($B$99=0,"—",TEXT(($B$99-B100)/$B$99,"0%"))</f>
        <v/>
      </c>
      <c r="F100" s="21" t="inlineStr">
        <is>
          <t>1-year commitment</t>
        </is>
      </c>
    </row>
    <row r="101">
      <c r="A101" s="19" t="inlineStr">
        <is>
          <t>CUD — 3 Year</t>
        </is>
      </c>
      <c r="B101" s="70" t="n">
        <v>0</v>
      </c>
      <c r="C101" s="70" t="n">
        <v>0</v>
      </c>
      <c r="D101" s="70" t="n">
        <v>0</v>
      </c>
      <c r="E101" s="32">
        <f>IF($B$99=0,"—",TEXT(($B$99-B101)/$B$99,"0%"))</f>
        <v/>
      </c>
      <c r="F101" s="21" t="inlineStr">
        <is>
          <t>3-year commitment</t>
        </is>
      </c>
    </row>
    <row r="102">
      <c r="A102" s="19" t="inlineStr">
        <is>
          <t>SUD (where applicable)</t>
        </is>
      </c>
      <c r="B102" s="70" t="n">
        <v>0</v>
      </c>
      <c r="C102" s="70" t="n">
        <v>0</v>
      </c>
      <c r="D102" s="70" t="n">
        <v>0</v>
      </c>
      <c r="E102" s="32">
        <f>IF($B$99=0,"—",TEXT(($B$99-B102)/$B$99,"0%"))</f>
        <v/>
      </c>
      <c r="F102" s="21" t="inlineStr">
        <is>
          <t>Automatic usage-based discounts</t>
        </is>
      </c>
    </row>
    <row r="103" ht="15" customHeight="1" thickBot="1">
      <c r="A103" s="22" t="inlineStr">
        <is>
          <t>3-Year CUD + SUD (Optimized)</t>
        </is>
      </c>
      <c r="B103" s="71" t="n">
        <v>0</v>
      </c>
      <c r="C103" s="71" t="n">
        <v>0</v>
      </c>
      <c r="D103" s="71" t="n">
        <v>0</v>
      </c>
      <c r="E103" s="31">
        <f>IF($B$99=0,"—",TEXT(($B$99-B103)/$B$99,"0%"))</f>
        <v/>
      </c>
      <c r="F103" s="24" t="inlineStr">
        <is>
          <t>Maximum savings</t>
        </is>
      </c>
    </row>
    <row r="104">
      <c r="A104" s="4" t="n"/>
      <c r="B104" s="4" t="n"/>
      <c r="C104" s="4" t="n"/>
      <c r="D104" s="4" t="n"/>
      <c r="E104" s="4" t="n"/>
      <c r="F104" s="4" t="n"/>
    </row>
    <row r="105" ht="15" customHeight="1" thickBot="1">
      <c r="A105" s="25" t="inlineStr">
        <is>
          <t>▸ DISCOUNT ELIGIBILITY (CUD / SUD)</t>
        </is>
      </c>
    </row>
    <row r="106">
      <c r="A106" s="29" t="inlineStr">
        <is>
          <t>Discount Type</t>
        </is>
      </c>
      <c r="B106" s="30" t="inlineStr">
        <is>
          <t>Eligible Spend ($/mo)</t>
        </is>
      </c>
      <c r="C106" s="30" t="inlineStr">
        <is>
          <t>Coverage</t>
        </is>
      </c>
      <c r="D106" s="30" t="inlineStr">
        <is>
          <t>Est. Monthly Savings ($)</t>
        </is>
      </c>
      <c r="E106" s="30" t="inlineStr">
        <is>
          <t>Est. Annual Savings ($)</t>
        </is>
      </c>
      <c r="F106" s="38" t="inlineStr">
        <is>
          <t>Notes</t>
        </is>
      </c>
    </row>
    <row r="107">
      <c r="A107" s="19" t="inlineStr">
        <is>
          <t>Compute CUD</t>
        </is>
      </c>
      <c r="B107" s="70" t="n">
        <v>0</v>
      </c>
      <c r="C107" s="20" t="n"/>
      <c r="D107" s="70" t="n">
        <v>0</v>
      </c>
      <c r="E107" s="70" t="n">
        <v>0</v>
      </c>
      <c r="F107" s="21" t="inlineStr">
        <is>
          <t>Applies to steady-state compute</t>
        </is>
      </c>
    </row>
    <row r="108">
      <c r="A108" s="19" t="inlineStr">
        <is>
          <t>SQL / DB Commitments</t>
        </is>
      </c>
      <c r="B108" s="70" t="n">
        <v>0</v>
      </c>
      <c r="C108" s="20" t="n"/>
      <c r="D108" s="70" t="n">
        <v>0</v>
      </c>
      <c r="E108" s="70" t="n">
        <v>0</v>
      </c>
      <c r="F108" s="21" t="inlineStr">
        <is>
          <t>Use committed spend where eligible</t>
        </is>
      </c>
    </row>
    <row r="109">
      <c r="A109" s="19" t="inlineStr">
        <is>
          <t>SUD (compute)</t>
        </is>
      </c>
      <c r="B109" s="70" t="n">
        <v>0</v>
      </c>
      <c r="C109" s="20" t="n"/>
      <c r="D109" s="70" t="n">
        <v>0</v>
      </c>
      <c r="E109" s="70" t="n">
        <v>0</v>
      </c>
      <c r="F109" s="21" t="inlineStr">
        <is>
          <t>Automatic for always-on workloads</t>
        </is>
      </c>
    </row>
    <row r="110">
      <c r="A110" s="19" t="inlineStr">
        <is>
          <t>Partner / Enterprise Discount</t>
        </is>
      </c>
      <c r="B110" s="70" t="n">
        <v>0</v>
      </c>
      <c r="C110" s="20" t="n"/>
      <c r="D110" s="70" t="n">
        <v>0</v>
      </c>
      <c r="E110" s="70" t="n">
        <v>0</v>
      </c>
      <c r="F110" s="21" t="inlineStr">
        <is>
          <t>Commercially negotiated</t>
        </is>
      </c>
    </row>
    <row r="111" ht="15" customHeight="1" thickBot="1">
      <c r="A111" s="22" t="inlineStr">
        <is>
          <t>TOTAL ESTIMATED SAVINGS</t>
        </is>
      </c>
      <c r="B111" s="71" t="n">
        <v>0</v>
      </c>
      <c r="C111" s="23" t="n"/>
      <c r="D111" s="71" t="n">
        <v>0</v>
      </c>
      <c r="E111" s="71" t="n">
        <v>0</v>
      </c>
      <c r="F111" s="24" t="n"/>
    </row>
    <row r="112">
      <c r="A112" s="4" t="n"/>
      <c r="B112" s="4" t="n"/>
      <c r="C112" s="4" t="n"/>
      <c r="D112" s="4" t="n"/>
      <c r="E112" s="4" t="n"/>
      <c r="F112" s="4" t="n"/>
    </row>
    <row r="113" ht="15" customHeight="1" thickBot="1">
      <c r="A113" s="25" t="inlineStr">
        <is>
          <t>▸ RECOMMENDED PRICING MODEL</t>
        </is>
      </c>
    </row>
    <row r="114">
      <c r="A114" s="29" t="inlineStr">
        <is>
          <t>Recommended Model</t>
        </is>
      </c>
      <c r="B114" s="30" t="inlineStr">
        <is>
          <t>Monthly Cost ($)</t>
        </is>
      </c>
      <c r="C114" s="30" t="inlineStr">
        <is>
          <t>Annual Cost ($)</t>
        </is>
      </c>
      <c r="D114" s="30" t="inlineStr">
        <is>
          <t>Annual Savings ($)</t>
        </is>
      </c>
      <c r="E114" s="30" t="inlineStr">
        <is>
          <t>ROI %</t>
        </is>
      </c>
      <c r="F114" s="38" t="inlineStr">
        <is>
          <t>Justification</t>
        </is>
      </c>
    </row>
    <row r="115" ht="15" customHeight="1" thickBot="1">
      <c r="A115" s="22" t="inlineStr">
        <is>
          <t>[Select Model]</t>
        </is>
      </c>
      <c r="B115" s="71" t="n">
        <v>0</v>
      </c>
      <c r="C115" s="71" t="n">
        <v>0</v>
      </c>
      <c r="D115" s="71" t="n">
        <v>0</v>
      </c>
      <c r="E115" s="23" t="n"/>
      <c r="F115" s="24" t="inlineStr">
        <is>
          <t>[Enter justification]</t>
        </is>
      </c>
    </row>
    <row r="116">
      <c r="A116" s="4" t="n"/>
      <c r="B116" s="4" t="n"/>
      <c r="C116" s="4" t="n"/>
      <c r="D116" s="4" t="n"/>
      <c r="E116" s="4" t="n"/>
      <c r="F116" s="4" t="n"/>
    </row>
    <row r="117">
      <c r="A117" s="5" t="inlineStr">
        <is>
          <t>SECTION 4  —  GCP MIGRATION TOOLING &amp; SERVICES</t>
        </is>
      </c>
    </row>
    <row r="118">
      <c r="A118" s="13" t="inlineStr">
        <is>
          <t>Google native tools and services recommended for discovery, assessment, and migration execution</t>
        </is>
      </c>
    </row>
    <row r="119" ht="15" customHeight="1" thickBot="1">
      <c r="A119" s="4" t="n"/>
      <c r="B119" s="4" t="n"/>
      <c r="C119" s="4" t="n"/>
      <c r="D119" s="4" t="n"/>
      <c r="E119" s="4" t="n"/>
      <c r="F119" s="4" t="n"/>
    </row>
    <row r="120">
      <c r="A120" s="29" t="inlineStr">
        <is>
          <t>GCP Tool / Service</t>
        </is>
      </c>
      <c r="B120" s="30" t="inlineStr">
        <is>
          <t>Purpose</t>
        </is>
      </c>
      <c r="C120" s="30" t="inlineStr">
        <is>
          <t>Applicable Workloads</t>
        </is>
      </c>
      <c r="D120" s="30" t="inlineStr">
        <is>
          <t>Licensing</t>
        </is>
      </c>
      <c r="E120" s="30" t="inlineStr">
        <is>
          <t>Readiness</t>
        </is>
      </c>
      <c r="F120" s="38" t="inlineStr">
        <is>
          <t>Notes</t>
        </is>
      </c>
    </row>
    <row r="121">
      <c r="A121" s="19" t="inlineStr">
        <is>
          <t>Migration Center</t>
        </is>
      </c>
      <c r="B121" s="20" t="inlineStr">
        <is>
          <t>Discovery, inventory, assessment and planning</t>
        </is>
      </c>
      <c r="C121" s="20" t="inlineStr">
        <is>
          <t>All workloads</t>
        </is>
      </c>
      <c r="D121" s="20" t="inlineStr">
        <is>
          <t>Free</t>
        </is>
      </c>
      <c r="E121" s="20" t="n"/>
      <c r="F121" s="21" t="inlineStr">
        <is>
          <t>Primary assessment tool</t>
        </is>
      </c>
    </row>
    <row r="122">
      <c r="A122" s="19" t="inlineStr">
        <is>
          <t>Migrate to Virtual Machines</t>
        </is>
      </c>
      <c r="B122" s="20" t="inlineStr">
        <is>
          <t>VM lift-and-shift migration</t>
        </is>
      </c>
      <c r="C122" s="20" t="inlineStr">
        <is>
          <t>VMware / physical servers</t>
        </is>
      </c>
      <c r="D122" s="20" t="inlineStr">
        <is>
          <t>Service</t>
        </is>
      </c>
      <c r="E122" s="20" t="n"/>
      <c r="F122" s="21" t="n"/>
    </row>
    <row r="123">
      <c r="A123" s="19" t="inlineStr">
        <is>
          <t>Migrate to Containers</t>
        </is>
      </c>
      <c r="B123" s="20" t="inlineStr">
        <is>
          <t>Container migration</t>
        </is>
      </c>
      <c r="C123" s="20" t="inlineStr">
        <is>
          <t>VMware / VMs</t>
        </is>
      </c>
      <c r="D123" s="20" t="inlineStr">
        <is>
          <t>Service</t>
        </is>
      </c>
      <c r="E123" s="20" t="n"/>
      <c r="F123" s="21" t="n"/>
    </row>
    <row r="124">
      <c r="A124" s="19" t="inlineStr">
        <is>
          <t>Database Migration Service</t>
        </is>
      </c>
      <c r="B124" s="20" t="inlineStr">
        <is>
          <t>Database schema and data migration</t>
        </is>
      </c>
      <c r="C124" s="20" t="inlineStr">
        <is>
          <t>SQL, MySQL, PostgreSQL, Oracle</t>
        </is>
      </c>
      <c r="D124" s="20" t="inlineStr">
        <is>
          <t>Free / Premium</t>
        </is>
      </c>
      <c r="E124" s="20" t="n"/>
      <c r="F124" s="21" t="inlineStr">
        <is>
          <t>Online and offline modes</t>
        </is>
      </c>
    </row>
    <row r="125">
      <c r="A125" s="19" t="inlineStr">
        <is>
          <t>Transfer Appliance</t>
        </is>
      </c>
      <c r="B125" s="20" t="inlineStr">
        <is>
          <t>Large data transfer</t>
        </is>
      </c>
      <c r="C125" s="20" t="inlineStr">
        <is>
          <t>Large datasets</t>
        </is>
      </c>
      <c r="D125" s="20" t="inlineStr">
        <is>
          <t>Paid</t>
        </is>
      </c>
      <c r="E125" s="20" t="n"/>
      <c r="F125" s="21" t="inlineStr">
        <is>
          <t>Offline bulk transfer</t>
        </is>
      </c>
    </row>
    <row r="126" ht="15" customHeight="1" thickBot="1">
      <c r="A126" s="22" t="inlineStr">
        <is>
          <t>Active Assist / Recommender</t>
        </is>
      </c>
      <c r="B126" s="23" t="inlineStr">
        <is>
          <t>Optimization recommendations</t>
        </is>
      </c>
      <c r="C126" s="23" t="inlineStr">
        <is>
          <t>All workloads</t>
        </is>
      </c>
      <c r="D126" s="23" t="inlineStr">
        <is>
          <t>Free</t>
        </is>
      </c>
      <c r="E126" s="23" t="n"/>
      <c r="F126" s="24" t="inlineStr">
        <is>
          <t>Cost &amp; performance optimization</t>
        </is>
      </c>
    </row>
    <row r="127">
      <c r="A127" s="4" t="n"/>
      <c r="B127" s="4" t="n"/>
      <c r="C127" s="4" t="n"/>
      <c r="D127" s="4" t="n"/>
      <c r="E127" s="4" t="n"/>
      <c r="F127" s="4" t="n"/>
    </row>
    <row r="128">
      <c r="A128" s="5" t="inlineStr">
        <is>
          <t>SECTION 5  —  GCP FIT SCORE ANALYSIS</t>
        </is>
      </c>
    </row>
    <row r="129">
      <c r="A129" s="13" t="inlineStr">
        <is>
          <t>Weighted scoring framework to objectively assess GCP suitability for the customer's workload requirements</t>
        </is>
      </c>
    </row>
    <row r="130" ht="15" customHeight="1" thickBot="1">
      <c r="A130" s="4" t="n"/>
      <c r="B130" s="4" t="n"/>
      <c r="C130" s="4" t="n"/>
      <c r="D130" s="4" t="n"/>
      <c r="E130" s="4" t="n"/>
      <c r="F130" s="4" t="n"/>
    </row>
    <row r="131">
      <c r="A131" s="29" t="inlineStr">
        <is>
          <t>Evaluation Factor</t>
        </is>
      </c>
      <c r="B131" s="30" t="inlineStr">
        <is>
          <t>Weight</t>
        </is>
      </c>
      <c r="C131" s="30" t="inlineStr">
        <is>
          <t>Score (0-100)</t>
        </is>
      </c>
      <c r="D131" s="30" t="inlineStr">
        <is>
          <t>Weighted Score</t>
        </is>
      </c>
      <c r="E131" s="30" t="inlineStr">
        <is>
          <t>Evidence / Rationale</t>
        </is>
      </c>
      <c r="F131" s="38" t="inlineStr">
        <is>
          <t>Improvement Actions</t>
        </is>
      </c>
    </row>
    <row r="132">
      <c r="A132" s="19" t="inlineStr">
        <is>
          <t>Service Compatibility</t>
        </is>
      </c>
      <c r="B132" s="32" t="n">
        <v>0.25</v>
      </c>
      <c r="C132" s="33" t="n">
        <v>0</v>
      </c>
      <c r="D132" s="72">
        <f>B132*C132</f>
        <v/>
      </c>
      <c r="E132" s="20" t="n"/>
      <c r="F132" s="21" t="n"/>
    </row>
    <row r="133">
      <c r="A133" s="19" t="inlineStr">
        <is>
          <t>Cost Competitiveness</t>
        </is>
      </c>
      <c r="B133" s="32" t="n">
        <v>0.2</v>
      </c>
      <c r="C133" s="33" t="n">
        <v>0</v>
      </c>
      <c r="D133" s="72">
        <f>B133*C133</f>
        <v/>
      </c>
      <c r="E133" s="20" t="n"/>
      <c r="F133" s="21" t="n"/>
    </row>
    <row r="134">
      <c r="A134" s="19" t="inlineStr">
        <is>
          <t>Regional Availability &amp; Compliance</t>
        </is>
      </c>
      <c r="B134" s="32" t="n">
        <v>0.15</v>
      </c>
      <c r="C134" s="33" t="n">
        <v>0</v>
      </c>
      <c r="D134" s="72">
        <f>B134*C134</f>
        <v/>
      </c>
      <c r="E134" s="20" t="n"/>
      <c r="F134" s="21" t="n"/>
    </row>
    <row r="135">
      <c r="A135" s="19" t="inlineStr">
        <is>
          <t>Migration Tooling &amp; Support</t>
        </is>
      </c>
      <c r="B135" s="32" t="n">
        <v>0.15</v>
      </c>
      <c r="C135" s="33" t="n">
        <v>0</v>
      </c>
      <c r="D135" s="72">
        <f>B135*C135</f>
        <v/>
      </c>
      <c r="E135" s="20" t="n"/>
      <c r="F135" s="21" t="n"/>
    </row>
    <row r="136">
      <c r="A136" s="19" t="inlineStr">
        <is>
          <t>Team Skills &amp; Expertise</t>
        </is>
      </c>
      <c r="B136" s="32" t="n">
        <v>0.1</v>
      </c>
      <c r="C136" s="33" t="n">
        <v>0</v>
      </c>
      <c r="D136" s="72">
        <f>B136*C136</f>
        <v/>
      </c>
      <c r="E136" s="20" t="n"/>
      <c r="F136" s="21" t="n"/>
    </row>
    <row r="137">
      <c r="A137" s="19" t="inlineStr">
        <is>
          <t>Vendor Relationship (Partner/EA)</t>
        </is>
      </c>
      <c r="B137" s="32" t="n">
        <v>0.1</v>
      </c>
      <c r="C137" s="33" t="n">
        <v>0</v>
      </c>
      <c r="D137" s="72">
        <f>B137*C137</f>
        <v/>
      </c>
      <c r="E137" s="20" t="n"/>
      <c r="F137" s="21" t="n"/>
    </row>
    <row r="138">
      <c r="A138" s="19" t="inlineStr">
        <is>
          <t>Strategic Alignment</t>
        </is>
      </c>
      <c r="B138" s="32" t="n">
        <v>0.05</v>
      </c>
      <c r="C138" s="33" t="n">
        <v>0</v>
      </c>
      <c r="D138" s="72">
        <f>B138*C138</f>
        <v/>
      </c>
      <c r="E138" s="20" t="n"/>
      <c r="F138" s="21" t="n"/>
    </row>
    <row r="139">
      <c r="A139" s="19" t="n"/>
      <c r="B139" s="32" t="n"/>
      <c r="C139" s="20" t="n"/>
      <c r="D139" s="72" t="n"/>
      <c r="E139" s="20" t="n"/>
      <c r="F139" s="21" t="n"/>
    </row>
    <row r="140" ht="15" customHeight="1" thickBot="1">
      <c r="A140" s="22" t="inlineStr">
        <is>
          <t>GCP FIT SCORE</t>
        </is>
      </c>
      <c r="B140" s="31" t="n">
        <v>1</v>
      </c>
      <c r="C140" s="23" t="n"/>
      <c r="D140" s="73">
        <f>ROUND(SUM(D132:D138),1)</f>
        <v/>
      </c>
      <c r="E140" s="23">
        <f>IF(D140&gt;=80,"🟢 STRONG FIT",IF(D140&gt;=60,"🟡 MODERATE FIT",IF(D140&gt;=40,"🟠 CONDITIONAL FIT","🔴 POOR FIT")))</f>
        <v/>
      </c>
      <c r="F140" s="24" t="inlineStr">
        <is>
          <t>Industry Benchmark: 70-90</t>
        </is>
      </c>
    </row>
    <row r="141">
      <c r="A141" s="4" t="n"/>
      <c r="B141" s="4" t="n"/>
      <c r="C141" s="4" t="n"/>
      <c r="D141" s="4" t="n"/>
      <c r="E141" s="4" t="n"/>
      <c r="F141" s="4" t="n"/>
    </row>
    <row r="142" ht="15" customHeight="1" thickBot="1">
      <c r="A142" s="25" t="inlineStr">
        <is>
          <t>▸ FIT SCORE INTERPRETATION GUIDE</t>
        </is>
      </c>
    </row>
    <row r="143">
      <c r="A143" s="29" t="inlineStr">
        <is>
          <t>Score Range</t>
        </is>
      </c>
      <c r="B143" s="30" t="inlineStr">
        <is>
          <t>Rating</t>
        </is>
      </c>
      <c r="C143" s="30" t="inlineStr">
        <is>
          <t>Interpretation</t>
        </is>
      </c>
      <c r="D143" s="38" t="inlineStr">
        <is>
          <t>Recommended Action</t>
        </is>
      </c>
      <c r="E143" s="14" t="n"/>
      <c r="F143" s="15" t="n"/>
    </row>
    <row r="144">
      <c r="A144" s="19" t="inlineStr">
        <is>
          <t>80 — 100</t>
        </is>
      </c>
      <c r="B144" s="20" t="inlineStr">
        <is>
          <t>🟢 Strong Fit</t>
        </is>
      </c>
      <c r="C144" s="20" t="inlineStr">
        <is>
          <t>GCP is highly suitable for this workload</t>
        </is>
      </c>
      <c r="D144" s="21" t="inlineStr">
        <is>
          <t>Proceed with detailed migration planning</t>
        </is>
      </c>
      <c r="E144" s="18" t="n"/>
      <c r="F144" s="11" t="n"/>
    </row>
    <row r="145">
      <c r="A145" s="19" t="inlineStr">
        <is>
          <t>60 — 79</t>
        </is>
      </c>
      <c r="B145" s="20" t="inlineStr">
        <is>
          <t>🟡 Moderate Fit</t>
        </is>
      </c>
      <c r="C145" s="20" t="inlineStr">
        <is>
          <t>GCP is suitable with some considerations</t>
        </is>
      </c>
      <c r="D145" s="21" t="inlineStr">
        <is>
          <t>Address identified gaps before proceeding</t>
        </is>
      </c>
      <c r="E145" s="18" t="n"/>
      <c r="F145" s="11" t="n"/>
    </row>
    <row r="146">
      <c r="A146" s="19" t="inlineStr">
        <is>
          <t>40 — 59</t>
        </is>
      </c>
      <c r="B146" s="20" t="inlineStr">
        <is>
          <t>🟠 Conditional Fit</t>
        </is>
      </c>
      <c r="C146" s="20" t="inlineStr">
        <is>
          <t>GCP requires significant remediation</t>
        </is>
      </c>
      <c r="D146" s="21" t="inlineStr">
        <is>
          <t>Conduct detailed gap analysis; consider hybrid approach</t>
        </is>
      </c>
      <c r="E146" s="18" t="n"/>
      <c r="F146" s="11" t="n"/>
    </row>
    <row r="147" ht="15" customHeight="1" thickBot="1">
      <c r="A147" s="22" t="inlineStr">
        <is>
          <t>0 — 39</t>
        </is>
      </c>
      <c r="B147" s="23" t="inlineStr">
        <is>
          <t>🔴 Poor Fit</t>
        </is>
      </c>
      <c r="C147" s="23" t="inlineStr">
        <is>
          <t>GCP may not be optimal for this workload</t>
        </is>
      </c>
      <c r="D147" s="24" t="inlineStr">
        <is>
          <t>Evaluate alternative platforms (Azure, AWS, Private Cloud)</t>
        </is>
      </c>
      <c r="E147" s="18" t="n"/>
      <c r="F147" s="11" t="n"/>
    </row>
    <row r="148">
      <c r="A148" s="4" t="n"/>
      <c r="B148" s="4" t="n"/>
      <c r="C148" s="4" t="n"/>
      <c r="D148" s="4" t="n"/>
      <c r="E148" s="7" t="n"/>
      <c r="F148" s="7" t="n"/>
    </row>
    <row r="149">
      <c r="A149" s="13" t="inlineStr">
        <is>
          <t>━━━━━━━━━━━━━━━━━━━━━━━━━━━━━━━━━━━━━━━━━━━━━━━━━━━━━━━━━━━━━━━━━━━━━━━━━━━━━━━━━━━━━━━━━━━━━━━━━━━━━━━━━━━━━</t>
        </is>
      </c>
    </row>
    <row r="150">
      <c r="A150" s="13" t="inlineStr">
        <is>
          <t>Cloud Readiness Accelerator Framework  |  GCP Evaluation  |  Version 1.0  |  April 2026</t>
        </is>
      </c>
    </row>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mergeCells count="31">
    <mergeCell ref="A90:F90"/>
    <mergeCell ref="A128:F128"/>
    <mergeCell ref="A66:F66"/>
    <mergeCell ref="A118:F118"/>
    <mergeCell ref="A75:F75"/>
    <mergeCell ref="A149:F149"/>
    <mergeCell ref="A105:F105"/>
    <mergeCell ref="A74:F74"/>
    <mergeCell ref="A3:F3"/>
    <mergeCell ref="A95:F95"/>
    <mergeCell ref="A113:F113"/>
    <mergeCell ref="A129:F129"/>
    <mergeCell ref="A33:F33"/>
    <mergeCell ref="A2:F2"/>
    <mergeCell ref="A76:F76"/>
    <mergeCell ref="A150:F150"/>
    <mergeCell ref="A8:F8"/>
    <mergeCell ref="A97:F97"/>
    <mergeCell ref="A17:F17"/>
    <mergeCell ref="A4:F4"/>
    <mergeCell ref="A52:F52"/>
    <mergeCell ref="A44:F44"/>
    <mergeCell ref="A117:F117"/>
    <mergeCell ref="A9:F9"/>
    <mergeCell ref="A34:F34"/>
    <mergeCell ref="A142:F142"/>
    <mergeCell ref="A36:F36"/>
    <mergeCell ref="A94:F94"/>
    <mergeCell ref="A1:F1"/>
    <mergeCell ref="A6:F6"/>
    <mergeCell ref="A25:F25"/>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E84"/>
  <sheetViews>
    <sheetView topLeftCell="A57" workbookViewId="0">
      <selection activeCell="A1" sqref="A1:E1"/>
    </sheetView>
  </sheetViews>
  <sheetFormatPr baseColWidth="8" defaultColWidth="25.7265625" defaultRowHeight="14.5"/>
  <cols>
    <col width="25.7265625" customWidth="1" min="1" max="1"/>
    <col width="43.7265625" customWidth="1" min="2" max="2"/>
    <col width="47.6328125" customWidth="1" min="3" max="3"/>
    <col width="54.6328125" customWidth="1" min="4" max="4"/>
  </cols>
  <sheetData>
    <row r="1" ht="38" customFormat="1" customHeight="1" s="36">
      <c r="A1" s="37" t="inlineStr">
        <is>
          <t>GCP EVALUATION FRAMEWORK</t>
        </is>
      </c>
    </row>
    <row r="2" ht="26" customFormat="1" customHeight="1" s="36">
      <c r="A2" s="16" t="inlineStr">
        <is>
          <t>Cloud Readiness Accelerator  |  Executive Assessment Guide</t>
        </is>
      </c>
    </row>
    <row r="3" ht="20" customFormat="1" customHeight="1" s="36">
      <c r="A3" s="17" t="inlineStr">
        <is>
          <t>Version 1.0  |  Classification: Confidential  |  Last Updated: April 2026  |  Owner: Cloud Solutions Architecture</t>
        </is>
      </c>
    </row>
    <row r="4" ht="18" customFormat="1" customHeight="1" s="36">
      <c r="A4" s="4" t="n"/>
      <c r="B4" s="4" t="n"/>
      <c r="C4" s="4" t="n"/>
      <c r="D4" s="4" t="n"/>
      <c r="E4" s="4" t="n"/>
    </row>
    <row r="5" ht="18" customFormat="1" customHeight="1" s="36">
      <c r="A5" s="5" t="inlineStr">
        <is>
          <t>📌  EXECUTIVE SUMMARY</t>
        </is>
      </c>
    </row>
    <row r="6" ht="48.5" customFormat="1" customHeight="1" s="36">
      <c r="A6" s="6" t="inlineStr">
        <is>
          <t>This GCP Evaluation Framework provides a structured, enterprise-grade methodology for assessing Google Cloud Platform as your organization's strategic cloud platform. Designed in alignment with the Google Cloud Architecture Framework and Cloud Adoption Framework best practices, this assessment enables data-driven decision making for cloud migration investments.</t>
        </is>
      </c>
      <c r="B6" s="74" t="n"/>
      <c r="C6" s="74" t="n"/>
      <c r="D6" s="74" t="n"/>
      <c r="E6" s="75" t="n"/>
    </row>
    <row r="7" ht="18" customFormat="1" customHeight="1" s="36">
      <c r="A7" s="7" t="n"/>
      <c r="B7" s="7" t="n"/>
      <c r="C7" s="7" t="n"/>
      <c r="D7" s="7" t="n"/>
      <c r="E7" s="7" t="n"/>
    </row>
    <row r="8" ht="18" customFormat="1" customHeight="1" s="36" thickBot="1">
      <c r="A8" s="5" t="inlineStr">
        <is>
          <t>🚀  QUICK START GUIDE — COMPLETE THESE STEPS IN ORDER</t>
        </is>
      </c>
    </row>
    <row r="9" ht="18" customFormat="1" customHeight="1" s="36">
      <c r="A9" s="29" t="inlineStr">
        <is>
          <t>STEP</t>
        </is>
      </c>
      <c r="B9" s="30" t="inlineStr">
        <is>
          <t>ACTION</t>
        </is>
      </c>
      <c r="C9" s="30" t="inlineStr">
        <is>
          <t>SECTION</t>
        </is>
      </c>
      <c r="D9" s="38" t="inlineStr">
        <is>
          <t>PRIORITY</t>
        </is>
      </c>
      <c r="E9" s="8" t="n"/>
    </row>
    <row r="10" ht="29" customFormat="1" customHeight="1" s="36">
      <c r="A10" s="19" t="inlineStr">
        <is>
          <t>①</t>
        </is>
      </c>
      <c r="B10" s="20" t="inlineStr">
        <is>
          <t>Complete Application Inventory — Map all workloads to GCP target services</t>
        </is>
      </c>
      <c r="C10" s="20" t="inlineStr">
        <is>
          <t>Section 1</t>
        </is>
      </c>
      <c r="D10" s="21" t="inlineStr">
        <is>
          <t>🔴 Critical</t>
        </is>
      </c>
      <c r="E10" s="18" t="n"/>
    </row>
    <row r="11" ht="29" customFormat="1" customHeight="1" s="36">
      <c r="A11" s="19" t="inlineStr">
        <is>
          <t>②</t>
        </is>
      </c>
      <c r="B11" s="20" t="inlineStr">
        <is>
          <t>Assess Compute, Database &amp; Storage — Define GCP equivalents and migration approach</t>
        </is>
      </c>
      <c r="C11" s="20" t="inlineStr">
        <is>
          <t>Section 1</t>
        </is>
      </c>
      <c r="D11" s="21" t="inlineStr">
        <is>
          <t>🔴 Critical</t>
        </is>
      </c>
      <c r="E11" s="18" t="n"/>
    </row>
    <row r="12" ht="29" customFormat="1" customHeight="1" s="36">
      <c r="A12" s="19" t="inlineStr">
        <is>
          <t>③</t>
        </is>
      </c>
      <c r="B12" s="20" t="inlineStr">
        <is>
          <t>Enter Regional Cost Estimates — Use Google Cloud Pricing Calculator for Region A, B, C</t>
        </is>
      </c>
      <c r="C12" s="20" t="inlineStr">
        <is>
          <t>Section 2</t>
        </is>
      </c>
      <c r="D12" s="21" t="inlineStr">
        <is>
          <t>🔴 Critical</t>
        </is>
      </c>
      <c r="E12" s="18" t="n"/>
    </row>
    <row r="13" ht="58" customFormat="1" customHeight="1" s="36">
      <c r="A13" s="19" t="inlineStr">
        <is>
          <t>④</t>
        </is>
      </c>
      <c r="B13" s="20" t="inlineStr">
        <is>
          <t>Document Discount Eligibility — Capture CUD/SUD opportunities and BYOL licensing</t>
        </is>
      </c>
      <c r="C13" s="20" t="inlineStr">
        <is>
          <t>Section 3</t>
        </is>
      </c>
      <c r="D13" s="21" t="inlineStr">
        <is>
          <t>🔴 Critical</t>
        </is>
      </c>
      <c r="E13" s="18" t="n"/>
    </row>
    <row r="14" ht="43.5" customFormat="1" customHeight="1" s="36">
      <c r="A14" s="19" t="inlineStr">
        <is>
          <t>⑤</t>
        </is>
      </c>
      <c r="B14" s="20" t="inlineStr">
        <is>
          <t>Compare Pricing Models — On-Demand vs CUD (1-Year &amp; 3-Year) + SUDs (Optimized)</t>
        </is>
      </c>
      <c r="C14" s="20" t="inlineStr">
        <is>
          <t>Section 3</t>
        </is>
      </c>
      <c r="D14" s="21" t="inlineStr">
        <is>
          <t>🟡 High</t>
        </is>
      </c>
      <c r="E14" s="18" t="n"/>
    </row>
    <row r="15" ht="58" customFormat="1" customHeight="1" s="36">
      <c r="A15" s="19" t="inlineStr">
        <is>
          <t>⑥</t>
        </is>
      </c>
      <c r="B15" s="20" t="inlineStr">
        <is>
          <t>Review Migration Tooling — Confirm Migration Center, Migrate to VMs, DMS readiness</t>
        </is>
      </c>
      <c r="C15" s="20" t="inlineStr">
        <is>
          <t>Section 4</t>
        </is>
      </c>
      <c r="D15" s="21" t="inlineStr">
        <is>
          <t>🟡 High</t>
        </is>
      </c>
      <c r="E15" s="18" t="n"/>
    </row>
    <row r="16" ht="44" customFormat="1" customHeight="1" s="36" thickBot="1">
      <c r="A16" s="22" t="inlineStr">
        <is>
          <t>⑦</t>
        </is>
      </c>
      <c r="B16" s="23" t="inlineStr">
        <is>
          <t>Calculate GCP Fit Score — Score each factor (0-100) for final recommendation</t>
        </is>
      </c>
      <c r="C16" s="23" t="inlineStr">
        <is>
          <t>Section 5</t>
        </is>
      </c>
      <c r="D16" s="24" t="inlineStr">
        <is>
          <t>🔴 Critical</t>
        </is>
      </c>
      <c r="E16" s="18" t="n"/>
    </row>
    <row r="17" customFormat="1" s="36">
      <c r="A17" s="4" t="n"/>
      <c r="B17" s="4" t="n"/>
      <c r="C17" s="4" t="n"/>
      <c r="D17" s="4" t="n"/>
      <c r="E17" s="7" t="n"/>
    </row>
    <row r="18" customFormat="1" s="36">
      <c r="A18" s="5" t="inlineStr">
        <is>
          <t>📋  DETAILED SECTION GUIDE</t>
        </is>
      </c>
    </row>
    <row r="19" ht="15" customFormat="1" customHeight="1" s="36" thickBot="1">
      <c r="A19" s="6" t="n"/>
      <c r="B19" s="6" t="n"/>
      <c r="C19" s="6" t="n"/>
      <c r="D19" s="6" t="n"/>
      <c r="E19" s="6" t="n"/>
    </row>
    <row r="20" ht="14.5" customFormat="1" customHeight="1" s="36">
      <c r="A20" s="29" t="inlineStr">
        <is>
          <t>SECTION 1  —  GCP SERVICE COMPATIBILITY ASSESSMENT</t>
        </is>
      </c>
      <c r="B20" s="30" t="n"/>
      <c r="C20" s="30" t="n"/>
      <c r="D20" s="38" t="n"/>
      <c r="E20" s="29" t="n"/>
    </row>
    <row r="21" ht="29" customFormat="1" customHeight="1" s="36">
      <c r="A21" s="11" t="inlineStr">
        <is>
          <t>Purpose:</t>
        </is>
      </c>
      <c r="B21" s="11" t="inlineStr">
        <is>
          <t>Map current infrastructure to Google Cloud target services with compatibility assessment</t>
        </is>
      </c>
      <c r="C21" s="11" t="n"/>
      <c r="D21" s="11" t="n"/>
      <c r="E21" s="11" t="n"/>
    </row>
    <row r="22" ht="43.5" customFormat="1" customHeight="1" s="36">
      <c r="A22" s="11" t="inlineStr">
        <is>
          <t>Key Inputs:</t>
        </is>
      </c>
      <c r="B22" s="11" t="inlineStr">
        <is>
          <t>Application inventory, current platform details, workload characteristics</t>
        </is>
      </c>
      <c r="C22" s="11" t="n"/>
      <c r="D22" s="11" t="n"/>
      <c r="E22" s="11" t="n"/>
    </row>
    <row r="23" ht="58" customFormat="1" customHeight="1" s="36">
      <c r="A23" s="11" t="inlineStr">
        <is>
          <t>Key Outputs:</t>
        </is>
      </c>
      <c r="B23" s="11" t="inlineStr">
        <is>
          <t>GCP service mapping, compatibility status, recommended migration approach</t>
        </is>
      </c>
      <c r="C23" s="11" t="n"/>
      <c r="D23" s="11" t="n"/>
      <c r="E23" s="11" t="n"/>
    </row>
    <row r="24" ht="58" customFormat="1" customHeight="1" s="36">
      <c r="A24" s="11" t="inlineStr">
        <is>
          <t>GCP Tools:</t>
        </is>
      </c>
      <c r="B24" s="11" t="inlineStr">
        <is>
          <t>Migration Center, Migrate to Virtual Machines, Database Migration Service, Modernize with GKE</t>
        </is>
      </c>
      <c r="C24" s="11" t="n"/>
      <c r="D24" s="11" t="n"/>
      <c r="E24" s="11" t="n"/>
    </row>
    <row r="25" ht="15" customFormat="1" customHeight="1" s="36" thickBot="1">
      <c r="A25" s="11" t="n"/>
      <c r="B25" s="11" t="n"/>
      <c r="C25" s="11" t="n"/>
      <c r="D25" s="11" t="n"/>
      <c r="E25" s="11" t="n"/>
    </row>
    <row r="26" ht="14.5" customFormat="1" customHeight="1" s="36">
      <c r="A26" s="29" t="inlineStr">
        <is>
          <t>SECTION 2  —  GCP REGIONAL ASSESSMENT</t>
        </is>
      </c>
      <c r="B26" s="30" t="n"/>
      <c r="C26" s="30" t="n"/>
      <c r="D26" s="38" t="n"/>
      <c r="E26" s="29" t="n"/>
    </row>
    <row r="27" ht="43.5" customFormat="1" customHeight="1" s="36">
      <c r="A27" s="11" t="inlineStr">
        <is>
          <t>Purpose:</t>
        </is>
      </c>
      <c r="B27" s="11" t="inlineStr">
        <is>
          <t>Compare Google Cloud regions for optimal workload placement based on cost, compliance, and latency</t>
        </is>
      </c>
      <c r="C27" s="11" t="n"/>
      <c r="D27" s="11" t="n"/>
      <c r="E27" s="11" t="n"/>
    </row>
    <row r="28" ht="58" customFormat="1" customHeight="1" s="36">
      <c r="A28" s="11" t="inlineStr">
        <is>
          <t>Key Inputs:</t>
        </is>
      </c>
      <c r="B28" s="11" t="inlineStr">
        <is>
          <t>Regional cost estimates (On-Demand, CUD), data residency requirements, latency targets</t>
        </is>
      </c>
      <c r="C28" s="11" t="n"/>
      <c r="D28" s="11" t="n"/>
      <c r="E28" s="11" t="n"/>
    </row>
    <row r="29" ht="58" customFormat="1" customHeight="1" s="36">
      <c r="A29" s="11" t="inlineStr">
        <is>
          <t>Key Outputs:</t>
        </is>
      </c>
      <c r="B29" s="11" t="inlineStr">
        <is>
          <t>Primary/Secondary region selection, regional cost comparison, compliance validation</t>
        </is>
      </c>
      <c r="C29" s="11" t="n"/>
      <c r="D29" s="11" t="n"/>
      <c r="E29" s="11" t="n"/>
    </row>
    <row r="30" ht="58" customFormat="1" customHeight="1" s="36">
      <c r="A30" s="11" t="inlineStr">
        <is>
          <t>Data Sources:</t>
        </is>
      </c>
      <c r="B30" s="11" t="inlineStr">
        <is>
          <t>Google Cloud Pricing Calculator, Regional Services List, Migration Center assessment exports</t>
        </is>
      </c>
      <c r="C30" s="11" t="n"/>
      <c r="D30" s="11" t="n"/>
      <c r="E30" s="11" t="n"/>
    </row>
    <row r="31" ht="15" customFormat="1" customHeight="1" s="36" thickBot="1">
      <c r="A31" s="11" t="n"/>
      <c r="B31" s="11" t="n"/>
      <c r="C31" s="11" t="n"/>
      <c r="D31" s="11" t="n"/>
      <c r="E31" s="11" t="n"/>
    </row>
    <row r="32" ht="14.5" customFormat="1" customHeight="1" s="36">
      <c r="A32" s="29" t="inlineStr">
        <is>
          <t>SECTION 3  —  GCP COST ESTIMATION &amp; OPTIMIZATION</t>
        </is>
      </c>
      <c r="B32" s="30" t="n"/>
      <c r="C32" s="30" t="n"/>
      <c r="D32" s="38" t="n"/>
      <c r="E32" s="29" t="n"/>
    </row>
    <row r="33" ht="43.5" customFormat="1" customHeight="1" s="36">
      <c r="A33" s="11" t="inlineStr">
        <is>
          <t>Purpose:</t>
        </is>
      </c>
      <c r="B33" s="11" t="inlineStr">
        <is>
          <t>Comprehensive cost analysis comparing On-Demand, Committed Use Discounts (CUD), and Sustained Use Discounts (SUD)</t>
        </is>
      </c>
      <c r="C33" s="11" t="n"/>
      <c r="D33" s="11" t="n"/>
      <c r="E33" s="11" t="n"/>
    </row>
    <row r="34" ht="58" customFormat="1" customHeight="1" s="36">
      <c r="A34" s="11" t="inlineStr">
        <is>
          <t>Key Inputs:</t>
        </is>
      </c>
      <c r="B34" s="11" t="inlineStr">
        <is>
          <t>Pricing estimates, expected utilization profile, commitment term, licensing model (BYOL / Included)</t>
        </is>
      </c>
      <c r="C34" s="11" t="n"/>
      <c r="D34" s="11" t="n"/>
      <c r="E34" s="11" t="n"/>
    </row>
    <row r="35" ht="43.5" customFormat="1" customHeight="1" s="36">
      <c r="A35" s="11" t="inlineStr">
        <is>
          <t>Key Outputs:</t>
        </is>
      </c>
      <c r="B35" s="11" t="inlineStr">
        <is>
          <t>Pricing model recommendation, estimated savings, ROI analysis</t>
        </is>
      </c>
      <c r="C35" s="11" t="n"/>
      <c r="D35" s="11" t="n"/>
      <c r="E35" s="11" t="n"/>
    </row>
    <row r="36" ht="58" customFormat="1" customHeight="1" s="36">
      <c r="A36" s="11" t="inlineStr">
        <is>
          <t>Best Practice:</t>
        </is>
      </c>
      <c r="B36" s="11" t="inlineStr">
        <is>
          <t>Use 3-Year CUD for steady-state workloads and leverage SUDs for always-on compute where applicable.</t>
        </is>
      </c>
      <c r="C36" s="11" t="n"/>
      <c r="D36" s="11" t="n"/>
      <c r="E36" s="11" t="n"/>
    </row>
    <row r="37" ht="15" customFormat="1" customHeight="1" s="36" thickBot="1">
      <c r="A37" s="11" t="n"/>
      <c r="B37" s="11" t="n"/>
      <c r="C37" s="11" t="n"/>
      <c r="D37" s="11" t="n"/>
      <c r="E37" s="11" t="n"/>
    </row>
    <row r="38" ht="14.5" customFormat="1" customHeight="1" s="36">
      <c r="A38" s="29" t="inlineStr">
        <is>
          <t>SECTION 4  —  GCP MIGRATION TOOLING &amp; SERVICES</t>
        </is>
      </c>
      <c r="B38" s="30" t="n"/>
      <c r="C38" s="30" t="n"/>
      <c r="D38" s="38" t="n"/>
      <c r="E38" s="29" t="n"/>
    </row>
    <row r="39" ht="43.5" customFormat="1" customHeight="1" s="36">
      <c r="A39" s="11" t="inlineStr">
        <is>
          <t>Purpose:</t>
        </is>
      </c>
      <c r="B39" s="11" t="inlineStr">
        <is>
          <t>Google native tools and services recommended for discovery, assessment, and migration execution</t>
        </is>
      </c>
      <c r="C39" s="11" t="n"/>
      <c r="D39" s="11" t="n"/>
      <c r="E39" s="11" t="n"/>
    </row>
    <row r="40" ht="72.5" customFormat="1" customHeight="1" s="36">
      <c r="A40" s="11" t="inlineStr">
        <is>
          <t>Core Tools:</t>
        </is>
      </c>
      <c r="B40" s="11" t="inlineStr">
        <is>
          <t>Migration Center, Migrate to Virtual Machines, Migrate to Containers, Database Migration Service, Transfer Appliance</t>
        </is>
      </c>
      <c r="C40" s="11" t="n"/>
      <c r="D40" s="11" t="n"/>
      <c r="E40" s="11" t="n"/>
    </row>
    <row r="41" ht="15" customFormat="1" customHeight="1" s="36" thickBot="1">
      <c r="A41" s="11" t="n"/>
      <c r="B41" s="11" t="n"/>
      <c r="C41" s="11" t="n"/>
      <c r="D41" s="11" t="n"/>
      <c r="E41" s="11" t="n"/>
    </row>
    <row r="42" ht="14.5" customFormat="1" customHeight="1" s="36">
      <c r="A42" s="29" t="inlineStr">
        <is>
          <t>SECTION 5  —  GCP FIT SCORE ANALYSIS</t>
        </is>
      </c>
      <c r="B42" s="30" t="n"/>
      <c r="C42" s="30" t="n"/>
      <c r="D42" s="38" t="n"/>
      <c r="E42" s="29" t="n"/>
    </row>
    <row r="43" ht="43.5" customFormat="1" customHeight="1" s="36">
      <c r="A43" s="11" t="inlineStr">
        <is>
          <t>Purpose:</t>
        </is>
      </c>
      <c r="B43" s="11" t="inlineStr">
        <is>
          <t>Weighted scoring framework to objectively assess GCP suitability for customer workload requirements</t>
        </is>
      </c>
      <c r="C43" s="11" t="n"/>
      <c r="D43" s="11" t="n"/>
      <c r="E43" s="11" t="n"/>
    </row>
    <row r="44" ht="72.5" customFormat="1" customHeight="1" s="36">
      <c r="A44" s="11" t="inlineStr">
        <is>
          <t>Scoring Model:</t>
        </is>
      </c>
      <c r="B44" s="11" t="inlineStr">
        <is>
          <t>7 weighted factors: Service Compatibility (25%), Cost (20%), Regional (15%), Tools (15%), Skills (10%), Vendor (10%), Strategy (5%)</t>
        </is>
      </c>
      <c r="C44" s="11" t="n"/>
      <c r="D44" s="11" t="n"/>
      <c r="E44" s="11" t="n"/>
    </row>
    <row r="45" customFormat="1" s="36">
      <c r="A45" s="7" t="n"/>
      <c r="B45" s="7" t="n"/>
      <c r="C45" s="7" t="n"/>
      <c r="D45" s="7" t="n"/>
      <c r="E45" s="7" t="n"/>
    </row>
    <row r="46" ht="15" customFormat="1" customHeight="1" s="36" thickBot="1">
      <c r="A46" s="5" t="inlineStr">
        <is>
          <t>⭐  FIT SCORE INTERPRETATION MATRIX</t>
        </is>
      </c>
    </row>
    <row r="47" customFormat="1" s="36">
      <c r="A47" s="29" t="inlineStr">
        <is>
          <t>SCORE RANGE</t>
        </is>
      </c>
      <c r="B47" s="30" t="inlineStr">
        <is>
          <t>RATING</t>
        </is>
      </c>
      <c r="C47" s="30" t="inlineStr">
        <is>
          <t>INTERPRETATION</t>
        </is>
      </c>
      <c r="D47" s="38" t="inlineStr">
        <is>
          <t>RECOMMENDED ACTION</t>
        </is>
      </c>
      <c r="E47" s="8" t="n"/>
    </row>
    <row r="48" ht="29" customFormat="1" customHeight="1" s="36">
      <c r="A48" s="19" t="inlineStr">
        <is>
          <t>80 — 100</t>
        </is>
      </c>
      <c r="B48" s="20" t="inlineStr">
        <is>
          <t>🟢 STRONG FIT</t>
        </is>
      </c>
      <c r="C48" s="20" t="inlineStr">
        <is>
          <t>GCP is highly suitable for this workload</t>
        </is>
      </c>
      <c r="D48" s="21" t="inlineStr">
        <is>
          <t>Proceed with detailed migration planning</t>
        </is>
      </c>
      <c r="E48" s="18" t="n"/>
    </row>
    <row r="49" ht="29" customFormat="1" customHeight="1" s="36">
      <c r="A49" s="19" t="inlineStr">
        <is>
          <t>60 — 79</t>
        </is>
      </c>
      <c r="B49" s="20" t="inlineStr">
        <is>
          <t>🟡 MODERATE FIT</t>
        </is>
      </c>
      <c r="C49" s="20" t="inlineStr">
        <is>
          <t>GCP is suitable with some considerations</t>
        </is>
      </c>
      <c r="D49" s="21" t="inlineStr">
        <is>
          <t>Address identified gaps before proceeding</t>
        </is>
      </c>
      <c r="E49" s="18" t="n"/>
    </row>
    <row r="50" ht="29" customFormat="1" customHeight="1" s="36">
      <c r="A50" s="19" t="inlineStr">
        <is>
          <t>40 — 59</t>
        </is>
      </c>
      <c r="B50" s="20" t="inlineStr">
        <is>
          <t>🟠 CONDITIONAL FIT</t>
        </is>
      </c>
      <c r="C50" s="20" t="inlineStr">
        <is>
          <t>GCP requires significant remediation</t>
        </is>
      </c>
      <c r="D50" s="21" t="inlineStr">
        <is>
          <t>Conduct detailed gap analysis; consider hybrid</t>
        </is>
      </c>
      <c r="E50" s="18" t="n"/>
    </row>
    <row r="51" ht="29.5" customHeight="1" thickBot="1">
      <c r="A51" s="22" t="inlineStr">
        <is>
          <t>0 — 39</t>
        </is>
      </c>
      <c r="B51" s="23" t="inlineStr">
        <is>
          <t>🔴 POOR FIT</t>
        </is>
      </c>
      <c r="C51" s="23" t="inlineStr">
        <is>
          <t>GCP may not be optimal</t>
        </is>
      </c>
      <c r="D51" s="24" t="inlineStr">
        <is>
          <t>Evaluate alternatives (Azure, AWS, Private Cloud)</t>
        </is>
      </c>
      <c r="E51" s="18" t="n"/>
    </row>
    <row r="52">
      <c r="A52" s="6" t="n"/>
      <c r="B52" s="6" t="n"/>
      <c r="C52" s="6" t="n"/>
      <c r="D52" s="6" t="n"/>
      <c r="E52" s="11" t="n"/>
    </row>
    <row r="53">
      <c r="A53" s="7" t="n"/>
      <c r="B53" s="7" t="n"/>
      <c r="C53" s="7" t="n"/>
      <c r="D53" s="7" t="n"/>
      <c r="E53" s="7" t="n"/>
    </row>
    <row r="54" ht="15" customHeight="1" thickBot="1">
      <c r="A54" s="5" t="inlineStr">
        <is>
          <t>🔧  GCP TOOLS &amp; RESOURCES</t>
        </is>
      </c>
    </row>
    <row r="55">
      <c r="A55" s="29" t="inlineStr">
        <is>
          <t>TOOL / RESOURCE</t>
        </is>
      </c>
      <c r="B55" s="30" t="inlineStr">
        <is>
          <t>PURPOSE</t>
        </is>
      </c>
      <c r="C55" s="38" t="inlineStr">
        <is>
          <t>ACCESS / URL</t>
        </is>
      </c>
      <c r="D55" s="8" t="n"/>
      <c r="E55" s="6" t="n"/>
    </row>
    <row r="56" ht="29" customHeight="1">
      <c r="A56" s="19" t="inlineStr">
        <is>
          <t>Google Cloud Pricing Calculator</t>
        </is>
      </c>
      <c r="B56" s="20" t="inlineStr">
        <is>
          <t>Estimate costs for Google Cloud services</t>
        </is>
      </c>
      <c r="C56" s="21" t="inlineStr">
        <is>
          <t>cloud.google.com/products/calculator</t>
        </is>
      </c>
      <c r="D56" s="18" t="n"/>
      <c r="E56" s="11" t="n"/>
    </row>
    <row r="57" ht="29" customHeight="1">
      <c r="A57" s="19" t="inlineStr">
        <is>
          <t>Migration Center</t>
        </is>
      </c>
      <c r="B57" s="20" t="inlineStr">
        <is>
          <t>Discovery, inventory, assessment and planning</t>
        </is>
      </c>
      <c r="C57" s="21" t="inlineStr">
        <is>
          <t>Google Cloud Console → Migration Center</t>
        </is>
      </c>
      <c r="D57" s="18" t="n"/>
      <c r="E57" s="11" t="n"/>
    </row>
    <row r="58" ht="29" customHeight="1">
      <c r="A58" s="19" t="inlineStr">
        <is>
          <t>Migrate to Virtual Machines</t>
        </is>
      </c>
      <c r="B58" s="20" t="inlineStr">
        <is>
          <t>VM lift-and-shift migration</t>
        </is>
      </c>
      <c r="C58" s="21" t="inlineStr">
        <is>
          <t>Google Cloud Console → Migrate to VMs</t>
        </is>
      </c>
      <c r="D58" s="18" t="n"/>
      <c r="E58" s="11" t="n"/>
    </row>
    <row r="59" ht="29" customHeight="1">
      <c r="A59" s="19" t="inlineStr">
        <is>
          <t>Database Migration Service</t>
        </is>
      </c>
      <c r="B59" s="20" t="inlineStr">
        <is>
          <t>Database migration (online/offline)</t>
        </is>
      </c>
      <c r="C59" s="21" t="inlineStr">
        <is>
          <t>Google Cloud Console → Database Migration Service</t>
        </is>
      </c>
      <c r="D59" s="18" t="n"/>
      <c r="E59" s="11" t="n"/>
    </row>
    <row r="60" ht="43.5" customHeight="1">
      <c r="A60" s="19" t="inlineStr">
        <is>
          <t>Active Assist / Recommender</t>
        </is>
      </c>
      <c r="B60" s="20" t="inlineStr">
        <is>
          <t>Best practices and optimization recommendations</t>
        </is>
      </c>
      <c r="C60" s="21" t="inlineStr">
        <is>
          <t>Google Cloud Console → Active Assist</t>
        </is>
      </c>
      <c r="D60" s="18" t="n"/>
      <c r="E60" s="11" t="n"/>
    </row>
    <row r="61" ht="29.5" customHeight="1" thickBot="1">
      <c r="A61" s="22" t="inlineStr">
        <is>
          <t>Cloud Billing</t>
        </is>
      </c>
      <c r="B61" s="23" t="inlineStr">
        <is>
          <t>Cost monitoring and optimization</t>
        </is>
      </c>
      <c r="C61" s="24" t="inlineStr">
        <is>
          <t>Google Cloud Console → Billing</t>
        </is>
      </c>
      <c r="D61" s="18" t="n"/>
      <c r="E61" s="11" t="n"/>
    </row>
    <row r="62">
      <c r="A62" s="6" t="n"/>
      <c r="B62" s="6" t="n"/>
      <c r="C62" s="6" t="n"/>
      <c r="D62" s="11" t="n"/>
      <c r="E62" s="11" t="n"/>
    </row>
    <row r="63">
      <c r="A63" s="10" t="n"/>
      <c r="B63" s="10" t="n"/>
      <c r="C63" s="10" t="n"/>
      <c r="D63" s="10" t="n"/>
      <c r="E63" s="10" t="n"/>
    </row>
    <row r="64">
      <c r="A64" s="5" t="inlineStr">
        <is>
          <t>➡️  NEXT STEPS</t>
        </is>
      </c>
    </row>
    <row r="65">
      <c r="A65" s="6" t="inlineStr">
        <is>
          <t>Step 1:  Review and validate the 'Assumptions' sheet with all stakeholders before proceeding</t>
        </is>
      </c>
      <c r="B65" s="74" t="n"/>
      <c r="C65" s="74" t="n"/>
      <c r="D65" s="74" t="n"/>
      <c r="E65" s="75" t="n"/>
    </row>
    <row r="66">
      <c r="A66" s="11" t="inlineStr">
        <is>
          <t>Step 2:  Navigate to the 'GCP Evaluation' sheet to complete all five assessment sections</t>
        </is>
      </c>
      <c r="B66" s="76" t="n"/>
      <c r="C66" s="76" t="n"/>
      <c r="D66" s="76" t="n"/>
      <c r="E66" s="77" t="n"/>
    </row>
    <row r="67">
      <c r="A67" s="11" t="inlineStr">
        <is>
          <t>Step 3:  Present findings and Fit Score to executive leadership for migration approval</t>
        </is>
      </c>
      <c r="B67" s="76" t="n"/>
      <c r="C67" s="76" t="n"/>
      <c r="D67" s="76" t="n"/>
      <c r="E67" s="77" t="n"/>
    </row>
    <row r="68">
      <c r="A68" s="9" t="n"/>
      <c r="B68" s="76" t="n"/>
      <c r="C68" s="76" t="n"/>
      <c r="D68" s="76" t="n"/>
      <c r="E68" s="77" t="n"/>
    </row>
    <row r="69">
      <c r="A69" s="11" t="inlineStr">
        <is>
          <t>⚠️  IMPORTANT NOTES</t>
        </is>
      </c>
      <c r="B69" s="11" t="n"/>
      <c r="C69" s="11" t="n"/>
      <c r="D69" s="11" t="n"/>
      <c r="E69" s="11" t="n"/>
    </row>
    <row r="70">
      <c r="A70" s="11" t="inlineStr">
        <is>
          <t>•  This evaluation framework is for initial assessment purposes. Final decisions require detailed technical due diligence.</t>
        </is>
      </c>
      <c r="B70" s="76" t="n"/>
      <c r="C70" s="76" t="n"/>
      <c r="D70" s="76" t="n"/>
      <c r="E70" s="77" t="n"/>
    </row>
    <row r="71">
      <c r="A71" s="11" t="inlineStr">
        <is>
          <t>•  Cost estimates are based on publicly available Google Cloud pricing. Select currency (USD, GBP, EUR, etc.) based on customer region.</t>
        </is>
      </c>
      <c r="B71" s="76" t="n"/>
      <c r="C71" s="76" t="n"/>
      <c r="D71" s="76" t="n"/>
      <c r="E71" s="77" t="n"/>
    </row>
    <row r="72">
      <c r="A72" s="11" t="inlineStr">
        <is>
          <t>•  Discount rates (CUD / enterprise agreements) require validation from Google/partner account team before publication.</t>
        </is>
      </c>
      <c r="B72" s="76" t="n"/>
      <c r="C72" s="76" t="n"/>
      <c r="D72" s="76" t="n"/>
      <c r="E72" s="77" t="n"/>
    </row>
    <row r="73">
      <c r="A73" s="11" t="inlineStr">
        <is>
          <t>•  Data residency and regulatory compliance requirements must be validated with Legal and Compliance teams.</t>
        </is>
      </c>
      <c r="B73" s="76" t="n"/>
      <c r="C73" s="76" t="n"/>
      <c r="D73" s="76" t="n"/>
      <c r="E73" s="77" t="n"/>
    </row>
    <row r="74">
      <c r="A74" s="11" t="n"/>
      <c r="B74" s="11" t="n"/>
      <c r="C74" s="11" t="n"/>
      <c r="D74" s="11" t="n"/>
      <c r="E74" s="11" t="n"/>
    </row>
    <row r="75">
      <c r="A75" s="11" t="n"/>
      <c r="B75" s="11" t="n"/>
      <c r="C75" s="11" t="n"/>
      <c r="D75" s="11" t="n"/>
      <c r="E75" s="11" t="n"/>
    </row>
    <row r="76">
      <c r="A76" s="7" t="n"/>
      <c r="B76" s="7" t="n"/>
      <c r="C76" s="7" t="n"/>
      <c r="D76" s="7" t="n"/>
      <c r="E76" s="7" t="n"/>
    </row>
    <row r="77">
      <c r="A77" s="13" t="inlineStr">
        <is>
          <t>━━━━━━━━━━━━━━━━━━━━━━━━━━━━━━━━━━━━━━━━━━━━━━━━━━━━━━━━━━━━━━━━━━━━━━━━━━━━━━━━━━━━━━━━━━━━━━━━━━━━━━━━</t>
        </is>
      </c>
    </row>
    <row r="78">
      <c r="A78" s="13" t="inlineStr">
        <is>
          <t>Cloud Readiness Accelerator Framework  |  GCP Evaluation Framework  |  Version 1.0  |  April 2026</t>
        </is>
      </c>
    </row>
    <row r="79">
      <c r="A79" s="13" t="inlineStr">
        <is>
          <t>© 2026 Cloud Readiness Accelerator Framework  |  Confidential — For Authorized Use Only</t>
        </is>
      </c>
    </row>
    <row r="80">
      <c r="A80" s="13" t="inlineStr">
        <is>
          <t>Prepared in alignment with Google Cloud Architecture Framework &amp; Cloud Adoption best practices</t>
        </is>
      </c>
    </row>
    <row r="81" ht="15" customHeight="1">
      <c r="A81" s="1" t="n"/>
      <c r="B81" s="1" t="n"/>
      <c r="C81" s="1" t="n"/>
      <c r="D81" s="1" t="n"/>
      <c r="E81" s="1" t="n"/>
    </row>
    <row r="82" ht="15" customHeight="1">
      <c r="A82" s="1" t="n"/>
      <c r="B82" s="1" t="n"/>
      <c r="C82" s="1" t="n"/>
      <c r="D82" s="1" t="n"/>
      <c r="E82" s="1" t="n"/>
    </row>
    <row r="83" ht="15" customHeight="1">
      <c r="A83" s="1" t="n"/>
      <c r="B83" s="1" t="n"/>
      <c r="C83" s="1" t="n"/>
      <c r="D83" s="1" t="n"/>
      <c r="E83" s="1" t="n"/>
    </row>
    <row r="84" ht="15" customHeight="1">
      <c r="A84" s="1" t="n"/>
      <c r="B84" s="1" t="n"/>
      <c r="C84" s="1" t="n"/>
      <c r="D84" s="1" t="n"/>
      <c r="E84" s="1" t="n"/>
    </row>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mergeCells count="22">
    <mergeCell ref="A77:E77"/>
    <mergeCell ref="A73:E73"/>
    <mergeCell ref="A64:E64"/>
    <mergeCell ref="A1:E1"/>
    <mergeCell ref="A6:E6"/>
    <mergeCell ref="A70:E70"/>
    <mergeCell ref="A79:E79"/>
    <mergeCell ref="A65:E65"/>
    <mergeCell ref="A78:E78"/>
    <mergeCell ref="A54:E54"/>
    <mergeCell ref="A46:E46"/>
    <mergeCell ref="A66:E66"/>
    <mergeCell ref="A80:E80"/>
    <mergeCell ref="A18:E18"/>
    <mergeCell ref="A3:E3"/>
    <mergeCell ref="A2:E2"/>
    <mergeCell ref="A71:E71"/>
    <mergeCell ref="A5:E5"/>
    <mergeCell ref="A8:E8"/>
    <mergeCell ref="A72:E72"/>
    <mergeCell ref="A68:E68"/>
    <mergeCell ref="A67:E67"/>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133"/>
  <sheetViews>
    <sheetView tabSelected="1" topLeftCell="A28" workbookViewId="0">
      <selection activeCell="A1" sqref="A1:E1"/>
    </sheetView>
  </sheetViews>
  <sheetFormatPr baseColWidth="8" defaultRowHeight="14.5"/>
  <cols>
    <col width="59.7265625" customWidth="1" min="1" max="1"/>
    <col width="53" customWidth="1" min="2" max="2"/>
    <col width="51.08984375" bestFit="1" customWidth="1" min="3" max="3"/>
    <col width="35.81640625" bestFit="1" customWidth="1" min="4" max="4"/>
    <col width="31.36328125" bestFit="1" customWidth="1" min="5" max="5"/>
  </cols>
  <sheetData>
    <row r="1" ht="38" customFormat="1" customHeight="1" s="36">
      <c r="A1" s="37" t="inlineStr">
        <is>
          <t>📋 GCP MIGRATION TCO ASSUMPTIONS</t>
        </is>
      </c>
    </row>
    <row r="2" ht="26" customFormat="1" customHeight="1" s="36">
      <c r="A2" s="16" t="inlineStr">
        <is>
          <t>Like-to-Like (On-Demand &amp; 3-Year) vs Optimized View  |  Migration Center / Discovery Export Parameters</t>
        </is>
      </c>
    </row>
    <row r="3" ht="20" customFormat="1" customHeight="1" s="36">
      <c r="A3" s="17" t="inlineStr">
        <is>
          <t>💱 Currency: USD ($) — Select currency based on your customer's region (USD, GBP, EUR, etc.)</t>
        </is>
      </c>
    </row>
    <row r="4" ht="18" customFormat="1" customHeight="1" s="36">
      <c r="A4" s="4" t="n"/>
      <c r="B4" s="4" t="n"/>
      <c r="C4" s="4" t="n"/>
      <c r="D4" s="4" t="n"/>
      <c r="E4" s="4" t="n"/>
    </row>
    <row r="5" ht="18" customFormat="1" customHeight="1" s="36" thickBot="1">
      <c r="A5" s="5" t="inlineStr">
        <is>
          <t>Section 1 — Like-to-Like Option 1 (Part 1) - On-Demand Baseline</t>
        </is>
      </c>
    </row>
    <row r="6" ht="18" customFormat="1" customHeight="1" s="36">
      <c r="A6" s="29" t="inlineStr">
        <is>
          <t>Category</t>
        </is>
      </c>
      <c r="B6" s="30" t="inlineStr">
        <is>
          <t>Parameter</t>
        </is>
      </c>
      <c r="C6" s="30" t="inlineStr">
        <is>
          <t>Region A</t>
        </is>
      </c>
      <c r="D6" s="30" t="inlineStr">
        <is>
          <t>Region B</t>
        </is>
      </c>
      <c r="E6" s="38" t="inlineStr">
        <is>
          <t>Region C</t>
        </is>
      </c>
    </row>
    <row r="7" ht="18" customFormat="1" customHeight="1" s="36">
      <c r="A7" s="26" t="inlineStr">
        <is>
          <t>▸ Target and Pricing</t>
        </is>
      </c>
      <c r="B7" s="78" t="n"/>
      <c r="C7" s="78" t="n"/>
      <c r="D7" s="78" t="n"/>
      <c r="E7" s="79" t="n"/>
    </row>
    <row r="8" ht="18" customFormat="1" customHeight="1" s="36">
      <c r="A8" s="19" t="inlineStr">
        <is>
          <t>Target and pricing</t>
        </is>
      </c>
      <c r="B8" s="20" t="inlineStr">
        <is>
          <t>Default target location</t>
        </is>
      </c>
      <c r="C8" s="20" t="inlineStr">
        <is>
          <t>Region A</t>
        </is>
      </c>
      <c r="D8" s="20" t="inlineStr">
        <is>
          <t>Region B</t>
        </is>
      </c>
      <c r="E8" s="21" t="inlineStr">
        <is>
          <t>Region C</t>
        </is>
      </c>
    </row>
    <row r="9" ht="18" customFormat="1" customHeight="1" s="36">
      <c r="A9" s="19" t="inlineStr">
        <is>
          <t>Target and pricing</t>
        </is>
      </c>
      <c r="B9" s="20" t="inlineStr">
        <is>
          <t>Default environment</t>
        </is>
      </c>
      <c r="C9" s="20" t="inlineStr">
        <is>
          <t>Production</t>
        </is>
      </c>
      <c r="D9" s="20" t="inlineStr">
        <is>
          <t>Production</t>
        </is>
      </c>
      <c r="E9" s="21" t="inlineStr">
        <is>
          <t>Production</t>
        </is>
      </c>
    </row>
    <row r="10" ht="18" customFormat="1" customHeight="1" s="36">
      <c r="A10" s="19" t="inlineStr">
        <is>
          <t>Target and pricing</t>
        </is>
      </c>
      <c r="B10" s="20" t="inlineStr">
        <is>
          <t>Currency</t>
        </is>
      </c>
      <c r="C10" s="20" t="inlineStr">
        <is>
          <t>US Dollar (USD)</t>
        </is>
      </c>
      <c r="D10" s="20" t="inlineStr">
        <is>
          <t>US Dollar (USD)</t>
        </is>
      </c>
      <c r="E10" s="21" t="inlineStr">
        <is>
          <t>US Dollar (USD)</t>
        </is>
      </c>
    </row>
    <row r="11" ht="18" customFormat="1" customHeight="1" s="36">
      <c r="A11" s="19" t="inlineStr">
        <is>
          <t>Target and pricing</t>
        </is>
      </c>
      <c r="B11" s="20" t="inlineStr">
        <is>
          <t>Program/offer</t>
        </is>
      </c>
      <c r="C11" s="20" t="inlineStr">
        <is>
          <t>On-Demand</t>
        </is>
      </c>
      <c r="D11" s="20" t="inlineStr">
        <is>
          <t>On-Demand</t>
        </is>
      </c>
      <c r="E11" s="21" t="inlineStr">
        <is>
          <t>On-Demand</t>
        </is>
      </c>
    </row>
    <row r="12" ht="18" customFormat="1" customHeight="1" s="36">
      <c r="A12" s="19" t="inlineStr">
        <is>
          <t>Target and pricing</t>
        </is>
      </c>
      <c r="B12" s="20" t="inlineStr">
        <is>
          <t>Default savings option</t>
        </is>
      </c>
      <c r="C12" s="20" t="inlineStr">
        <is>
          <t>None</t>
        </is>
      </c>
      <c r="D12" s="20" t="inlineStr">
        <is>
          <t>None</t>
        </is>
      </c>
      <c r="E12" s="21" t="inlineStr">
        <is>
          <t>None</t>
        </is>
      </c>
    </row>
    <row r="13" customFormat="1" s="36">
      <c r="A13" s="19" t="inlineStr">
        <is>
          <t>Target and pricing</t>
        </is>
      </c>
      <c r="B13" s="20" t="inlineStr">
        <is>
          <t>Enterprise discount (%)</t>
        </is>
      </c>
      <c r="C13" s="20" t="n">
        <v>0</v>
      </c>
      <c r="D13" s="20" t="n">
        <v>0</v>
      </c>
      <c r="E13" s="21" t="n">
        <v>0</v>
      </c>
    </row>
    <row r="14" customFormat="1" s="36">
      <c r="A14" s="19" t="inlineStr">
        <is>
          <t>Target and pricing</t>
        </is>
      </c>
      <c r="B14" s="20" t="inlineStr">
        <is>
          <t>Uptime (days per month)</t>
        </is>
      </c>
      <c r="C14" s="20" t="n">
        <v>31</v>
      </c>
      <c r="D14" s="20" t="n">
        <v>31</v>
      </c>
      <c r="E14" s="21" t="n">
        <v>31</v>
      </c>
    </row>
    <row r="15" customFormat="1" s="36">
      <c r="A15" s="19" t="inlineStr">
        <is>
          <t>Target and pricing</t>
        </is>
      </c>
      <c r="B15" s="20" t="inlineStr">
        <is>
          <t>Hours per day</t>
        </is>
      </c>
      <c r="C15" s="20" t="n">
        <v>24</v>
      </c>
      <c r="D15" s="20" t="n">
        <v>24</v>
      </c>
      <c r="E15" s="21" t="n">
        <v>24</v>
      </c>
    </row>
    <row r="16" customFormat="1" s="36">
      <c r="A16" s="26" t="inlineStr">
        <is>
          <t>▸ Assessment Criteria</t>
        </is>
      </c>
      <c r="B16" s="78" t="n"/>
      <c r="C16" s="78" t="n"/>
      <c r="D16" s="78" t="n"/>
      <c r="E16" s="79" t="n"/>
    </row>
    <row r="17" customFormat="1" s="36">
      <c r="A17" s="19" t="inlineStr">
        <is>
          <t>Assessment criteria</t>
        </is>
      </c>
      <c r="B17" s="20" t="inlineStr">
        <is>
          <t>Sizing criteria</t>
        </is>
      </c>
      <c r="C17" s="20" t="inlineStr">
        <is>
          <t>Performance-based</t>
        </is>
      </c>
      <c r="D17" s="20" t="inlineStr">
        <is>
          <t>Performance-based</t>
        </is>
      </c>
      <c r="E17" s="21" t="inlineStr">
        <is>
          <t>Performance-based</t>
        </is>
      </c>
    </row>
    <row r="18" customFormat="1" s="36">
      <c r="A18" s="19" t="inlineStr">
        <is>
          <t>Assessment criteria</t>
        </is>
      </c>
      <c r="B18" s="20" t="inlineStr">
        <is>
          <t>Performance history</t>
        </is>
      </c>
      <c r="C18" s="20" t="inlineStr">
        <is>
          <t>30 days</t>
        </is>
      </c>
      <c r="D18" s="20" t="inlineStr">
        <is>
          <t>30 days</t>
        </is>
      </c>
      <c r="E18" s="21" t="inlineStr">
        <is>
          <t>30 days</t>
        </is>
      </c>
    </row>
    <row r="19" customFormat="1" s="36">
      <c r="A19" s="19" t="inlineStr">
        <is>
          <t>Assessment criteria</t>
        </is>
      </c>
      <c r="B19" s="20" t="inlineStr">
        <is>
          <t>Percentile utilization</t>
        </is>
      </c>
      <c r="C19" s="20" t="inlineStr">
        <is>
          <t>95th</t>
        </is>
      </c>
      <c r="D19" s="20" t="inlineStr">
        <is>
          <t>95th</t>
        </is>
      </c>
      <c r="E19" s="21" t="inlineStr">
        <is>
          <t>95th</t>
        </is>
      </c>
    </row>
    <row r="20" customFormat="1" s="36">
      <c r="A20" s="19" t="inlineStr">
        <is>
          <t>Assessment criteria</t>
        </is>
      </c>
      <c r="B20" s="20" t="inlineStr">
        <is>
          <t>Safety factor (buffer)</t>
        </is>
      </c>
      <c r="C20" s="20" t="inlineStr">
        <is>
          <t>1.0x</t>
        </is>
      </c>
      <c r="D20" s="20" t="inlineStr">
        <is>
          <t>1.0x</t>
        </is>
      </c>
      <c r="E20" s="21" t="inlineStr">
        <is>
          <t>1.0x</t>
        </is>
      </c>
    </row>
    <row r="21" customFormat="1" s="36">
      <c r="A21" s="26" t="inlineStr">
        <is>
          <t>▸ Storage / Disks</t>
        </is>
      </c>
      <c r="B21" s="78" t="n"/>
      <c r="C21" s="78" t="n"/>
      <c r="D21" s="78" t="n"/>
      <c r="E21" s="79" t="n"/>
    </row>
    <row r="22" customFormat="1" s="36">
      <c r="A22" s="19" t="inlineStr">
        <is>
          <t>Storage / disks</t>
        </is>
      </c>
      <c r="B22" s="20" t="inlineStr">
        <is>
          <t>Persistent disk type</t>
        </is>
      </c>
      <c r="C22" s="20" t="inlineStr">
        <is>
          <t>Balanced PD, SSD PD</t>
        </is>
      </c>
      <c r="D22" s="20" t="inlineStr">
        <is>
          <t>Balanced PD, SSD PD</t>
        </is>
      </c>
      <c r="E22" s="21" t="inlineStr">
        <is>
          <t>Balanced PD, SSD PD</t>
        </is>
      </c>
    </row>
    <row r="23" customFormat="1" s="36">
      <c r="A23" s="26" t="inlineStr">
        <is>
          <t>▸ Discounts (CUD / SUD)</t>
        </is>
      </c>
      <c r="B23" s="78" t="n"/>
      <c r="C23" s="78" t="n"/>
      <c r="D23" s="78" t="n"/>
      <c r="E23" s="79" t="n"/>
    </row>
    <row r="24" customFormat="1" s="36">
      <c r="A24" s="19" t="inlineStr">
        <is>
          <t>Discounts</t>
        </is>
      </c>
      <c r="B24" s="20" t="inlineStr">
        <is>
          <t>Committed Use Discount applied?</t>
        </is>
      </c>
      <c r="C24" s="20" t="inlineStr">
        <is>
          <t>No</t>
        </is>
      </c>
      <c r="D24" s="20" t="inlineStr">
        <is>
          <t>No</t>
        </is>
      </c>
      <c r="E24" s="21" t="inlineStr">
        <is>
          <t>No</t>
        </is>
      </c>
    </row>
    <row r="25" customFormat="1" s="36">
      <c r="A25" s="19" t="inlineStr">
        <is>
          <t>Discounts</t>
        </is>
      </c>
      <c r="B25" s="20" t="inlineStr">
        <is>
          <t>Sustained Use Discount assumed?</t>
        </is>
      </c>
      <c r="C25" s="20" t="inlineStr">
        <is>
          <t>No</t>
        </is>
      </c>
      <c r="D25" s="20" t="inlineStr">
        <is>
          <t>No</t>
        </is>
      </c>
      <c r="E25" s="21" t="inlineStr">
        <is>
          <t>No</t>
        </is>
      </c>
    </row>
    <row r="26" customFormat="1" s="36">
      <c r="A26" s="26" t="inlineStr">
        <is>
          <t>▸ Licensing</t>
        </is>
      </c>
      <c r="B26" s="78" t="n"/>
      <c r="C26" s="78" t="n"/>
      <c r="D26" s="78" t="n"/>
      <c r="E26" s="79" t="n"/>
    </row>
    <row r="27" customFormat="1" s="36">
      <c r="A27" s="19" t="inlineStr">
        <is>
          <t>Licensing</t>
        </is>
      </c>
      <c r="B27" s="20" t="inlineStr">
        <is>
          <t>Windows / SQL licensing model</t>
        </is>
      </c>
      <c r="C27" s="20" t="inlineStr">
        <is>
          <t>BYOL (document separately)</t>
        </is>
      </c>
      <c r="D27" s="20" t="inlineStr">
        <is>
          <t>BYOL (document separately)</t>
        </is>
      </c>
      <c r="E27" s="21" t="inlineStr">
        <is>
          <t>BYOL (document separately)</t>
        </is>
      </c>
    </row>
    <row r="28" customFormat="1" s="36">
      <c r="A28" s="26" t="inlineStr">
        <is>
          <t>▸ Security</t>
        </is>
      </c>
      <c r="B28" s="78" t="n"/>
      <c r="C28" s="78" t="n"/>
      <c r="D28" s="78" t="n"/>
      <c r="E28" s="79" t="n"/>
    </row>
    <row r="29" customFormat="1" s="36">
      <c r="A29" s="19" t="inlineStr">
        <is>
          <t>Security</t>
        </is>
      </c>
      <c r="B29" s="20" t="inlineStr">
        <is>
          <t>Include Security Command Center / premium add-ons?</t>
        </is>
      </c>
      <c r="C29" s="20" t="inlineStr">
        <is>
          <t>No</t>
        </is>
      </c>
      <c r="D29" s="20" t="inlineStr">
        <is>
          <t>No</t>
        </is>
      </c>
      <c r="E29" s="21" t="inlineStr">
        <is>
          <t>No</t>
        </is>
      </c>
    </row>
    <row r="30" customFormat="1" s="36">
      <c r="A30" s="26" t="inlineStr">
        <is>
          <t>▸ Additional Baseline Rules</t>
        </is>
      </c>
      <c r="B30" s="78" t="n"/>
      <c r="C30" s="78" t="n"/>
      <c r="D30" s="78" t="n"/>
      <c r="E30" s="79" t="n"/>
    </row>
    <row r="31" customFormat="1" s="36">
      <c r="A31" s="19" t="inlineStr">
        <is>
          <t>Baseline rules</t>
        </is>
      </c>
      <c r="B31" s="20" t="inlineStr">
        <is>
          <t>VM sizing method</t>
        </is>
      </c>
      <c r="C31" s="20" t="inlineStr">
        <is>
          <t>Right-size using utilization data (where available)</t>
        </is>
      </c>
      <c r="D31" s="20" t="inlineStr">
        <is>
          <t>Same</t>
        </is>
      </c>
      <c r="E31" s="21" t="inlineStr">
        <is>
          <t>Same</t>
        </is>
      </c>
    </row>
    <row r="32" customFormat="1" s="36">
      <c r="A32" s="19" t="inlineStr">
        <is>
          <t>Baseline rules</t>
        </is>
      </c>
      <c r="B32" s="20" t="inlineStr">
        <is>
          <t>On-prem SKU mapping</t>
        </is>
      </c>
      <c r="C32" s="20" t="inlineStr">
        <is>
          <t>Do not map on-prem to identical cloud SKU</t>
        </is>
      </c>
      <c r="D32" s="20" t="inlineStr">
        <is>
          <t>Same</t>
        </is>
      </c>
      <c r="E32" s="21" t="inlineStr">
        <is>
          <t>Same</t>
        </is>
      </c>
    </row>
    <row r="33" ht="15" customFormat="1" customHeight="1" s="36" thickBot="1">
      <c r="A33" s="22" t="inlineStr">
        <is>
          <t>Baseline rules</t>
        </is>
      </c>
      <c r="B33" s="23" t="inlineStr">
        <is>
          <t>Storage type</t>
        </is>
      </c>
      <c r="C33" s="23" t="inlineStr">
        <is>
          <t>Use Balanced and SSD PD (no Ultra/Extreme)</t>
        </is>
      </c>
      <c r="D33" s="23" t="inlineStr">
        <is>
          <t>Same</t>
        </is>
      </c>
      <c r="E33" s="24" t="inlineStr">
        <is>
          <t>Same</t>
        </is>
      </c>
    </row>
    <row r="34" customFormat="1" s="36">
      <c r="A34" s="4" t="n"/>
      <c r="B34" s="4" t="n"/>
      <c r="C34" s="4" t="n"/>
      <c r="D34" s="4" t="n"/>
      <c r="E34" s="4" t="n"/>
    </row>
    <row r="35" ht="15" customFormat="1" customHeight="1" s="36" thickBot="1">
      <c r="A35" s="5" t="inlineStr">
        <is>
          <t>Section 2 — Like-to-Like Option 1 (Part 2) - 3-Year Commitment Baseline (CUD)</t>
        </is>
      </c>
    </row>
    <row r="36" customFormat="1" s="36">
      <c r="A36" s="29" t="inlineStr">
        <is>
          <t>Category</t>
        </is>
      </c>
      <c r="B36" s="30" t="inlineStr">
        <is>
          <t>Parameter</t>
        </is>
      </c>
      <c r="C36" s="30" t="inlineStr">
        <is>
          <t>Region A</t>
        </is>
      </c>
      <c r="D36" s="30" t="inlineStr">
        <is>
          <t>Region B</t>
        </is>
      </c>
      <c r="E36" s="38" t="inlineStr">
        <is>
          <t>Region C</t>
        </is>
      </c>
    </row>
    <row r="37" customFormat="1" s="36">
      <c r="A37" s="26" t="inlineStr">
        <is>
          <t>▸ Target and Pricing</t>
        </is>
      </c>
      <c r="B37" s="78" t="n"/>
      <c r="C37" s="78" t="n"/>
      <c r="D37" s="78" t="n"/>
      <c r="E37" s="79" t="n"/>
    </row>
    <row r="38" customFormat="1" s="36">
      <c r="A38" s="19" t="inlineStr">
        <is>
          <t>Target and pricing</t>
        </is>
      </c>
      <c r="B38" s="20" t="inlineStr">
        <is>
          <t>Default target location</t>
        </is>
      </c>
      <c r="C38" s="20" t="inlineStr">
        <is>
          <t>Region A</t>
        </is>
      </c>
      <c r="D38" s="20" t="inlineStr">
        <is>
          <t>Region B</t>
        </is>
      </c>
      <c r="E38" s="21" t="inlineStr">
        <is>
          <t>Region C</t>
        </is>
      </c>
    </row>
    <row r="39" customFormat="1" s="36">
      <c r="A39" s="19" t="inlineStr">
        <is>
          <t>Target and pricing</t>
        </is>
      </c>
      <c r="B39" s="20" t="inlineStr">
        <is>
          <t>Default environment</t>
        </is>
      </c>
      <c r="C39" s="20" t="inlineStr">
        <is>
          <t>Production</t>
        </is>
      </c>
      <c r="D39" s="20" t="inlineStr">
        <is>
          <t>Production</t>
        </is>
      </c>
      <c r="E39" s="21" t="inlineStr">
        <is>
          <t>Production</t>
        </is>
      </c>
    </row>
    <row r="40" customFormat="1" s="36">
      <c r="A40" s="19" t="inlineStr">
        <is>
          <t>Target and pricing</t>
        </is>
      </c>
      <c r="B40" s="20" t="inlineStr">
        <is>
          <t>Currency</t>
        </is>
      </c>
      <c r="C40" s="20" t="inlineStr">
        <is>
          <t>US Dollar (USD)</t>
        </is>
      </c>
      <c r="D40" s="20" t="inlineStr">
        <is>
          <t>US Dollar (USD)</t>
        </is>
      </c>
      <c r="E40" s="21" t="inlineStr">
        <is>
          <t>US Dollar (USD)</t>
        </is>
      </c>
    </row>
    <row r="41" customFormat="1" s="36">
      <c r="A41" s="19" t="inlineStr">
        <is>
          <t>Target and pricing</t>
        </is>
      </c>
      <c r="B41" s="20" t="inlineStr">
        <is>
          <t>Program/offer</t>
        </is>
      </c>
      <c r="C41" s="20" t="inlineStr">
        <is>
          <t>On-Demand</t>
        </is>
      </c>
      <c r="D41" s="20" t="inlineStr">
        <is>
          <t>On-Demand</t>
        </is>
      </c>
      <c r="E41" s="21" t="inlineStr">
        <is>
          <t>On-Demand</t>
        </is>
      </c>
    </row>
    <row r="42" customFormat="1" s="36">
      <c r="A42" s="19" t="inlineStr">
        <is>
          <t>Target and pricing</t>
        </is>
      </c>
      <c r="B42" s="20" t="inlineStr">
        <is>
          <t>Default savings option</t>
        </is>
      </c>
      <c r="C42" s="20" t="inlineStr">
        <is>
          <t>3-Year CUD</t>
        </is>
      </c>
      <c r="D42" s="20" t="inlineStr">
        <is>
          <t>Same</t>
        </is>
      </c>
      <c r="E42" s="21" t="inlineStr">
        <is>
          <t>Same</t>
        </is>
      </c>
    </row>
    <row r="43" customFormat="1" s="36">
      <c r="A43" s="19" t="inlineStr">
        <is>
          <t>Target and pricing</t>
        </is>
      </c>
      <c r="B43" s="20" t="inlineStr">
        <is>
          <t>Committed Use term</t>
        </is>
      </c>
      <c r="C43" s="20" t="inlineStr">
        <is>
          <t>3 years</t>
        </is>
      </c>
      <c r="D43" s="20" t="inlineStr">
        <is>
          <t>3 years</t>
        </is>
      </c>
      <c r="E43" s="21" t="inlineStr">
        <is>
          <t>3 years</t>
        </is>
      </c>
    </row>
    <row r="44" customFormat="1" s="36">
      <c r="A44" s="19" t="inlineStr">
        <is>
          <t>Target and pricing</t>
        </is>
      </c>
      <c r="B44" s="20" t="inlineStr">
        <is>
          <t>Uptime assumption</t>
        </is>
      </c>
      <c r="C44" s="20" t="inlineStr">
        <is>
          <t>24x7 (744 hrs/month)</t>
        </is>
      </c>
      <c r="D44" s="20" t="inlineStr">
        <is>
          <t>Same</t>
        </is>
      </c>
      <c r="E44" s="21" t="inlineStr">
        <is>
          <t>Same</t>
        </is>
      </c>
    </row>
    <row r="45" customFormat="1" s="36">
      <c r="A45" s="26" t="inlineStr">
        <is>
          <t>▸ Assessment Criteria</t>
        </is>
      </c>
      <c r="B45" s="78" t="n"/>
      <c r="C45" s="78" t="n"/>
      <c r="D45" s="78" t="n"/>
      <c r="E45" s="79" t="n"/>
    </row>
    <row r="46" customFormat="1" s="36">
      <c r="A46" s="19" t="inlineStr">
        <is>
          <t>Assessment criteria</t>
        </is>
      </c>
      <c r="B46" s="20" t="inlineStr">
        <is>
          <t>Sizing criteria</t>
        </is>
      </c>
      <c r="C46" s="20" t="inlineStr">
        <is>
          <t>Performance-based</t>
        </is>
      </c>
      <c r="D46" s="20" t="inlineStr">
        <is>
          <t>Performance-based</t>
        </is>
      </c>
      <c r="E46" s="21" t="inlineStr">
        <is>
          <t>Performance-based</t>
        </is>
      </c>
    </row>
    <row r="47" customFormat="1" s="36">
      <c r="A47" s="19" t="inlineStr">
        <is>
          <t>Assessment criteria</t>
        </is>
      </c>
      <c r="B47" s="20" t="inlineStr">
        <is>
          <t>Performance history</t>
        </is>
      </c>
      <c r="C47" s="20" t="inlineStr">
        <is>
          <t>30 days</t>
        </is>
      </c>
      <c r="D47" s="20" t="inlineStr">
        <is>
          <t>30 days</t>
        </is>
      </c>
      <c r="E47" s="21" t="inlineStr">
        <is>
          <t>30 days</t>
        </is>
      </c>
    </row>
    <row r="48" customFormat="1" s="36">
      <c r="A48" s="19" t="inlineStr">
        <is>
          <t>Assessment criteria</t>
        </is>
      </c>
      <c r="B48" s="20" t="inlineStr">
        <is>
          <t>Percentile utilization</t>
        </is>
      </c>
      <c r="C48" s="20" t="inlineStr">
        <is>
          <t>95th</t>
        </is>
      </c>
      <c r="D48" s="20" t="inlineStr">
        <is>
          <t>95th</t>
        </is>
      </c>
      <c r="E48" s="21" t="inlineStr">
        <is>
          <t>95th</t>
        </is>
      </c>
    </row>
    <row r="49" customFormat="1" s="36">
      <c r="A49" s="19" t="inlineStr">
        <is>
          <t>Assessment criteria</t>
        </is>
      </c>
      <c r="B49" s="20" t="inlineStr">
        <is>
          <t>Safety factor (buffer)</t>
        </is>
      </c>
      <c r="C49" s="20" t="inlineStr">
        <is>
          <t>1.0x</t>
        </is>
      </c>
      <c r="D49" s="20" t="inlineStr">
        <is>
          <t>1.0x</t>
        </is>
      </c>
      <c r="E49" s="21" t="inlineStr">
        <is>
          <t>1.0x</t>
        </is>
      </c>
    </row>
    <row r="50" customFormat="1" s="36">
      <c r="A50" s="26" t="inlineStr">
        <is>
          <t>▸ Discounts (CUD / SUD)</t>
        </is>
      </c>
      <c r="B50" s="78" t="n"/>
      <c r="C50" s="78" t="n"/>
      <c r="D50" s="78" t="n"/>
      <c r="E50" s="79" t="n"/>
    </row>
    <row r="51">
      <c r="A51" s="19" t="inlineStr">
        <is>
          <t>Discounts</t>
        </is>
      </c>
      <c r="B51" s="20" t="inlineStr">
        <is>
          <t>Committed Use Discount applied?</t>
        </is>
      </c>
      <c r="C51" s="20" t="inlineStr">
        <is>
          <t>Yes</t>
        </is>
      </c>
      <c r="D51" s="20" t="inlineStr">
        <is>
          <t>Yes</t>
        </is>
      </c>
      <c r="E51" s="21" t="inlineStr">
        <is>
          <t>Yes</t>
        </is>
      </c>
    </row>
    <row r="52">
      <c r="A52" s="19" t="inlineStr">
        <is>
          <t>Discounts</t>
        </is>
      </c>
      <c r="B52" s="20" t="inlineStr">
        <is>
          <t>Sustained Use Discount assumed?</t>
        </is>
      </c>
      <c r="C52" s="20" t="inlineStr">
        <is>
          <t>No</t>
        </is>
      </c>
      <c r="D52" s="20" t="inlineStr">
        <is>
          <t>No</t>
        </is>
      </c>
      <c r="E52" s="21" t="inlineStr">
        <is>
          <t>No</t>
        </is>
      </c>
    </row>
    <row r="53">
      <c r="A53" s="26" t="inlineStr">
        <is>
          <t>▸ Security</t>
        </is>
      </c>
      <c r="B53" s="78" t="n"/>
      <c r="C53" s="78" t="n"/>
      <c r="D53" s="78" t="n"/>
      <c r="E53" s="79" t="n"/>
    </row>
    <row r="54">
      <c r="A54" s="19" t="inlineStr">
        <is>
          <t>Security</t>
        </is>
      </c>
      <c r="B54" s="20" t="inlineStr">
        <is>
          <t>Include Security Command Center / premium add-ons?</t>
        </is>
      </c>
      <c r="C54" s="20" t="inlineStr">
        <is>
          <t>No</t>
        </is>
      </c>
      <c r="D54" s="20" t="inlineStr">
        <is>
          <t>No</t>
        </is>
      </c>
      <c r="E54" s="21" t="inlineStr">
        <is>
          <t>No</t>
        </is>
      </c>
    </row>
    <row r="55">
      <c r="A55" s="26" t="inlineStr">
        <is>
          <t>▸ Storage / Disks</t>
        </is>
      </c>
      <c r="B55" s="78" t="n"/>
      <c r="C55" s="78" t="n"/>
      <c r="D55" s="78" t="n"/>
      <c r="E55" s="79" t="n"/>
    </row>
    <row r="56">
      <c r="A56" s="19" t="inlineStr">
        <is>
          <t>Storage / disks</t>
        </is>
      </c>
      <c r="B56" s="20" t="inlineStr">
        <is>
          <t>Persistent disk type</t>
        </is>
      </c>
      <c r="C56" s="20" t="inlineStr">
        <is>
          <t>Balanced PD, SSD PD</t>
        </is>
      </c>
      <c r="D56" s="20" t="inlineStr">
        <is>
          <t>Balanced PD, SSD PD</t>
        </is>
      </c>
      <c r="E56" s="21" t="inlineStr">
        <is>
          <t>Balanced PD, SSD PD</t>
        </is>
      </c>
    </row>
    <row r="57">
      <c r="A57" s="26" t="inlineStr">
        <is>
          <t>▸ Additional Baseline Rules</t>
        </is>
      </c>
      <c r="B57" s="78" t="n"/>
      <c r="C57" s="78" t="n"/>
      <c r="D57" s="78" t="n"/>
      <c r="E57" s="79" t="n"/>
    </row>
    <row r="58">
      <c r="A58" s="19" t="inlineStr">
        <is>
          <t>Baseline rules</t>
        </is>
      </c>
      <c r="B58" s="20" t="inlineStr">
        <is>
          <t>VM sizing method</t>
        </is>
      </c>
      <c r="C58" s="20" t="inlineStr">
        <is>
          <t>Right-size using utilization data (where available)</t>
        </is>
      </c>
      <c r="D58" s="20" t="inlineStr">
        <is>
          <t>Same</t>
        </is>
      </c>
      <c r="E58" s="21" t="inlineStr">
        <is>
          <t>Same</t>
        </is>
      </c>
    </row>
    <row r="59" ht="15" customHeight="1" thickBot="1">
      <c r="A59" s="22" t="inlineStr">
        <is>
          <t>Baseline rules</t>
        </is>
      </c>
      <c r="B59" s="23" t="inlineStr">
        <is>
          <t>Storage type</t>
        </is>
      </c>
      <c r="C59" s="23" t="inlineStr">
        <is>
          <t>Use Balanced and SSD PD (no Ultra/Extreme)</t>
        </is>
      </c>
      <c r="D59" s="23" t="inlineStr">
        <is>
          <t>Same</t>
        </is>
      </c>
      <c r="E59" s="24" t="inlineStr">
        <is>
          <t>Same</t>
        </is>
      </c>
    </row>
    <row r="60">
      <c r="A60" s="4" t="n"/>
      <c r="B60" s="4" t="n"/>
      <c r="C60" s="4" t="n"/>
      <c r="D60" s="4" t="n"/>
      <c r="E60" s="4" t="n"/>
    </row>
    <row r="61" ht="15" customHeight="1" thickBot="1">
      <c r="A61" s="5" t="inlineStr">
        <is>
          <t>Section 3 — Optimized Option - Migration Center / Discovery Settings (Target State)</t>
        </is>
      </c>
    </row>
    <row r="62">
      <c r="A62" s="29" t="inlineStr">
        <is>
          <t>Category</t>
        </is>
      </c>
      <c r="B62" s="30" t="inlineStr">
        <is>
          <t>Parameter</t>
        </is>
      </c>
      <c r="C62" s="30" t="inlineStr">
        <is>
          <t>Region A</t>
        </is>
      </c>
      <c r="D62" s="30" t="inlineStr">
        <is>
          <t>Region B</t>
        </is>
      </c>
      <c r="E62" s="38" t="inlineStr">
        <is>
          <t>Region C</t>
        </is>
      </c>
    </row>
    <row r="63">
      <c r="A63" s="26" t="inlineStr">
        <is>
          <t>▸ Optimization Framing</t>
        </is>
      </c>
      <c r="B63" s="78" t="n"/>
      <c r="C63" s="78" t="n"/>
      <c r="D63" s="78" t="n"/>
      <c r="E63" s="79" t="n"/>
    </row>
    <row r="64">
      <c r="A64" s="19" t="inlineStr">
        <is>
          <t>Optimization framing</t>
        </is>
      </c>
      <c r="B64" s="20" t="inlineStr">
        <is>
          <t>Commitment model</t>
        </is>
      </c>
      <c r="C64" s="20" t="inlineStr">
        <is>
          <t>3-Year CUD positioned as optimized baseline</t>
        </is>
      </c>
      <c r="D64" s="20" t="inlineStr">
        <is>
          <t>Same</t>
        </is>
      </c>
      <c r="E64" s="21" t="inlineStr">
        <is>
          <t>Same</t>
        </is>
      </c>
    </row>
    <row r="65">
      <c r="A65" s="19" t="inlineStr">
        <is>
          <t>Optimization framing</t>
        </is>
      </c>
      <c r="B65" s="20" t="inlineStr">
        <is>
          <t>Enterprise / Partner discount</t>
        </is>
      </c>
      <c r="C65" s="20" t="inlineStr">
        <is>
          <t>TBD (with Google/Partner)</t>
        </is>
      </c>
      <c r="D65" s="20" t="inlineStr">
        <is>
          <t>TBD</t>
        </is>
      </c>
      <c r="E65" s="21" t="inlineStr">
        <is>
          <t>TBD</t>
        </is>
      </c>
    </row>
    <row r="66">
      <c r="A66" s="19" t="inlineStr">
        <is>
          <t>Optimization framing</t>
        </is>
      </c>
      <c r="B66" s="20" t="inlineStr">
        <is>
          <t>Discount %</t>
        </is>
      </c>
      <c r="C66" s="20" t="inlineStr">
        <is>
          <t>TBD (commercial)</t>
        </is>
      </c>
      <c r="D66" s="20" t="inlineStr">
        <is>
          <t>Same</t>
        </is>
      </c>
      <c r="E66" s="21" t="inlineStr">
        <is>
          <t>Same</t>
        </is>
      </c>
    </row>
    <row r="67">
      <c r="A67" s="26" t="inlineStr">
        <is>
          <t>▸ VM Sizing</t>
        </is>
      </c>
      <c r="B67" s="78" t="n"/>
      <c r="C67" s="78" t="n"/>
      <c r="D67" s="78" t="n"/>
      <c r="E67" s="79" t="n"/>
    </row>
    <row r="68">
      <c r="A68" s="19" t="inlineStr">
        <is>
          <t>VM sizing</t>
        </is>
      </c>
      <c r="B68" s="20" t="inlineStr">
        <is>
          <t>Machine families allowed</t>
        </is>
      </c>
      <c r="C68" s="20" t="inlineStr">
        <is>
          <t>E2, N2, N2D, C2, C3, M2, Tau T2D</t>
        </is>
      </c>
      <c r="D68" s="20" t="inlineStr">
        <is>
          <t>Same</t>
        </is>
      </c>
      <c r="E68" s="21" t="inlineStr">
        <is>
          <t>Same</t>
        </is>
      </c>
    </row>
    <row r="69">
      <c r="A69" s="19" t="inlineStr">
        <is>
          <t>VM sizing</t>
        </is>
      </c>
      <c r="B69" s="20" t="inlineStr">
        <is>
          <t>Custom machine types allowed</t>
        </is>
      </c>
      <c r="C69" s="20" t="inlineStr">
        <is>
          <t>Yes</t>
        </is>
      </c>
      <c r="D69" s="20" t="inlineStr">
        <is>
          <t>Yes</t>
        </is>
      </c>
      <c r="E69" s="21" t="inlineStr">
        <is>
          <t>Yes</t>
        </is>
      </c>
    </row>
    <row r="70">
      <c r="A70" s="26" t="inlineStr">
        <is>
          <t>▸ Storage Sizing</t>
        </is>
      </c>
      <c r="B70" s="78" t="n"/>
      <c r="C70" s="78" t="n"/>
      <c r="D70" s="78" t="n"/>
      <c r="E70" s="79" t="n"/>
    </row>
    <row r="71">
      <c r="A71" s="19" t="inlineStr">
        <is>
          <t>Storage sizing</t>
        </is>
      </c>
      <c r="B71" s="20" t="inlineStr">
        <is>
          <t>Disk types allowed</t>
        </is>
      </c>
      <c r="C71" s="20" t="inlineStr">
        <is>
          <t>Balanced PD, SSD PD, Extreme PD (where needed)</t>
        </is>
      </c>
      <c r="D71" s="20" t="inlineStr">
        <is>
          <t>Same</t>
        </is>
      </c>
      <c r="E71" s="21" t="inlineStr">
        <is>
          <t>Same</t>
        </is>
      </c>
    </row>
    <row r="72">
      <c r="A72" s="26" t="inlineStr">
        <is>
          <t>▸ Discounts (CUD / SUD)</t>
        </is>
      </c>
      <c r="B72" s="78" t="n"/>
      <c r="C72" s="78" t="n"/>
      <c r="D72" s="78" t="n"/>
      <c r="E72" s="79" t="n"/>
    </row>
    <row r="73">
      <c r="A73" s="19" t="inlineStr">
        <is>
          <t>Discounts</t>
        </is>
      </c>
      <c r="B73" s="20" t="inlineStr">
        <is>
          <t>Committed Use Discount applied?</t>
        </is>
      </c>
      <c r="C73" s="20" t="inlineStr">
        <is>
          <t>Yes</t>
        </is>
      </c>
      <c r="D73" s="20" t="inlineStr">
        <is>
          <t>Yes</t>
        </is>
      </c>
      <c r="E73" s="21" t="inlineStr">
        <is>
          <t>Yes</t>
        </is>
      </c>
    </row>
    <row r="74">
      <c r="A74" s="19" t="inlineStr">
        <is>
          <t>Discounts</t>
        </is>
      </c>
      <c r="B74" s="20" t="inlineStr">
        <is>
          <t>Sustained Use Discount assumed?</t>
        </is>
      </c>
      <c r="C74" s="20" t="inlineStr">
        <is>
          <t>Yes (always-on compute)</t>
        </is>
      </c>
      <c r="D74" s="20" t="inlineStr">
        <is>
          <t>Same</t>
        </is>
      </c>
      <c r="E74" s="21" t="inlineStr">
        <is>
          <t>Same</t>
        </is>
      </c>
    </row>
    <row r="75">
      <c r="A75" s="26" t="inlineStr">
        <is>
          <t>▸ Security Settings</t>
        </is>
      </c>
      <c r="B75" s="78" t="n"/>
      <c r="C75" s="78" t="n"/>
      <c r="D75" s="78" t="n"/>
      <c r="E75" s="79" t="n"/>
    </row>
    <row r="76">
      <c r="A76" s="19" t="inlineStr">
        <is>
          <t>Security settings</t>
        </is>
      </c>
      <c r="B76" s="20" t="inlineStr">
        <is>
          <t>Shielded VM / secure boot</t>
        </is>
      </c>
      <c r="C76" s="20" t="inlineStr">
        <is>
          <t>Enabled where supported</t>
        </is>
      </c>
      <c r="D76" s="20" t="inlineStr">
        <is>
          <t>Same</t>
        </is>
      </c>
      <c r="E76" s="21" t="inlineStr">
        <is>
          <t>Same</t>
        </is>
      </c>
    </row>
    <row r="77">
      <c r="A77" s="19" t="inlineStr">
        <is>
          <t>Security settings</t>
        </is>
      </c>
      <c r="B77" s="20" t="inlineStr">
        <is>
          <t>Enable multi-region storage (where required)</t>
        </is>
      </c>
      <c r="C77" s="20" t="inlineStr">
        <is>
          <t>No</t>
        </is>
      </c>
      <c r="D77" s="20" t="inlineStr">
        <is>
          <t>No</t>
        </is>
      </c>
      <c r="E77" s="21" t="inlineStr">
        <is>
          <t>No</t>
        </is>
      </c>
    </row>
    <row r="78">
      <c r="A78" s="26" t="inlineStr">
        <is>
          <t>▸ Assessment Criteria</t>
        </is>
      </c>
      <c r="B78" s="78" t="n"/>
      <c r="C78" s="78" t="n"/>
      <c r="D78" s="78" t="n"/>
      <c r="E78" s="79" t="n"/>
    </row>
    <row r="79">
      <c r="A79" s="19" t="inlineStr">
        <is>
          <t>Assessment criteria</t>
        </is>
      </c>
      <c r="B79" s="20" t="inlineStr">
        <is>
          <t>Sizing criteria</t>
        </is>
      </c>
      <c r="C79" s="20" t="inlineStr">
        <is>
          <t>Performance-based</t>
        </is>
      </c>
      <c r="D79" s="20" t="inlineStr">
        <is>
          <t>Performance-based</t>
        </is>
      </c>
      <c r="E79" s="21" t="inlineStr">
        <is>
          <t>Performance-based</t>
        </is>
      </c>
    </row>
    <row r="80">
      <c r="A80" s="19" t="inlineStr">
        <is>
          <t>Assessment criteria</t>
        </is>
      </c>
      <c r="B80" s="20" t="inlineStr">
        <is>
          <t>Performance history</t>
        </is>
      </c>
      <c r="C80" s="20" t="inlineStr">
        <is>
          <t>30 days</t>
        </is>
      </c>
      <c r="D80" s="20" t="inlineStr">
        <is>
          <t>30 days</t>
        </is>
      </c>
      <c r="E80" s="21" t="inlineStr">
        <is>
          <t>30 days</t>
        </is>
      </c>
    </row>
    <row r="81">
      <c r="A81" s="19" t="inlineStr">
        <is>
          <t>Assessment criteria</t>
        </is>
      </c>
      <c r="B81" s="20" t="inlineStr">
        <is>
          <t>Percentile utilization</t>
        </is>
      </c>
      <c r="C81" s="20" t="inlineStr">
        <is>
          <t>95th</t>
        </is>
      </c>
      <c r="D81" s="20" t="inlineStr">
        <is>
          <t>95th</t>
        </is>
      </c>
      <c r="E81" s="21" t="inlineStr">
        <is>
          <t>95th</t>
        </is>
      </c>
    </row>
    <row r="82">
      <c r="A82" s="19" t="inlineStr">
        <is>
          <t>Assessment criteria</t>
        </is>
      </c>
      <c r="B82" s="20" t="inlineStr">
        <is>
          <t>Safety factor (buffer)</t>
        </is>
      </c>
      <c r="C82" s="20" t="inlineStr">
        <is>
          <t>1.0x</t>
        </is>
      </c>
      <c r="D82" s="20" t="inlineStr">
        <is>
          <t>1.0x</t>
        </is>
      </c>
      <c r="E82" s="21" t="inlineStr">
        <is>
          <t>1.0x</t>
        </is>
      </c>
    </row>
    <row r="83">
      <c r="A83" s="26" t="inlineStr">
        <is>
          <t>▸ Notes &amp; Best Practices</t>
        </is>
      </c>
      <c r="B83" s="78" t="n"/>
      <c r="C83" s="78" t="n"/>
      <c r="D83" s="78" t="n"/>
      <c r="E83" s="79" t="n"/>
    </row>
    <row r="84">
      <c r="A84" s="19" t="inlineStr">
        <is>
          <t>Notes</t>
        </is>
      </c>
      <c r="B84" s="20" t="inlineStr">
        <is>
          <t>Right-sizing</t>
        </is>
      </c>
      <c r="C84" s="20" t="inlineStr">
        <is>
          <t>Use utilization data and performance-based sizing</t>
        </is>
      </c>
      <c r="D84" s="20" t="inlineStr">
        <is>
          <t>Same</t>
        </is>
      </c>
      <c r="E84" s="21" t="inlineStr">
        <is>
          <t>Same</t>
        </is>
      </c>
    </row>
    <row r="85" ht="29.5" customHeight="1" thickBot="1">
      <c r="A85" s="22" t="inlineStr">
        <is>
          <t>Notes</t>
        </is>
      </c>
      <c r="B85" s="23" t="inlineStr">
        <is>
          <t>Discount strategy</t>
        </is>
      </c>
      <c r="C85" s="23" t="inlineStr">
        <is>
          <t>Use 3-Year CUD for steady state; rely on SUD for always-on</t>
        </is>
      </c>
      <c r="D85" s="23" t="inlineStr">
        <is>
          <t>Same</t>
        </is>
      </c>
      <c r="E85" s="24" t="inlineStr">
        <is>
          <t>Same</t>
        </is>
      </c>
    </row>
    <row r="86">
      <c r="A86" s="4" t="n"/>
      <c r="B86" s="4" t="n"/>
      <c r="C86" s="4" t="n"/>
      <c r="D86" s="4" t="n"/>
      <c r="E86" s="4" t="n"/>
    </row>
    <row r="87" ht="15" customHeight="1" thickBot="1">
      <c r="A87" s="5" t="inlineStr">
        <is>
          <t>Section 4 — Assumptions Summary (Applies to All TCOs Unless Stated)</t>
        </is>
      </c>
    </row>
    <row r="88">
      <c r="A88" s="29" t="inlineStr">
        <is>
          <t>Area</t>
        </is>
      </c>
      <c r="B88" s="30" t="inlineStr">
        <is>
          <t>Assumption</t>
        </is>
      </c>
      <c r="C88" s="30" t="inlineStr">
        <is>
          <t>Applies To</t>
        </is>
      </c>
      <c r="D88" s="30" t="inlineStr">
        <is>
          <t>Status</t>
        </is>
      </c>
      <c r="E88" s="38" t="inlineStr">
        <is>
          <t>Notes</t>
        </is>
      </c>
    </row>
    <row r="89">
      <c r="A89" s="19" t="inlineStr">
        <is>
          <t>Regions</t>
        </is>
      </c>
      <c r="B89" s="20" t="inlineStr">
        <is>
          <t>Generate TCOs for Region A, Region B, Region C</t>
        </is>
      </c>
      <c r="C89" s="20" t="inlineStr">
        <is>
          <t>All</t>
        </is>
      </c>
      <c r="D89" s="20" t="inlineStr">
        <is>
          <t>✅ Confirmed</t>
        </is>
      </c>
      <c r="E89" s="21" t="inlineStr">
        <is>
          <t>Three primary regions for customer</t>
        </is>
      </c>
    </row>
    <row r="90">
      <c r="A90" s="19" t="inlineStr">
        <is>
          <t>Currency</t>
        </is>
      </c>
      <c r="B90" s="20" t="inlineStr">
        <is>
          <t>Use USD for all regional TCOs (or customer-preferred currency)</t>
        </is>
      </c>
      <c r="C90" s="20" t="inlineStr">
        <is>
          <t>All</t>
        </is>
      </c>
      <c r="D90" s="20" t="inlineStr">
        <is>
          <t>✅ Confirmed</t>
        </is>
      </c>
      <c r="E90" s="21" t="inlineStr">
        <is>
          <t>Select based on customer region</t>
        </is>
      </c>
    </row>
    <row r="91">
      <c r="A91" s="19" t="inlineStr">
        <is>
          <t>Baseline structure</t>
        </is>
      </c>
      <c r="B91" s="20" t="inlineStr">
        <is>
          <t>Like-to-like baseline has 2 constructs: On-Demand and 3-year commitment (no extra optimizations)</t>
        </is>
      </c>
      <c r="C91" s="20" t="inlineStr">
        <is>
          <t>Baseline</t>
        </is>
      </c>
      <c r="D91" s="20" t="inlineStr">
        <is>
          <t>✅ Confirmed</t>
        </is>
      </c>
      <c r="E91" s="21" t="inlineStr">
        <is>
          <t>Two separate baseline views</t>
        </is>
      </c>
    </row>
    <row r="92">
      <c r="A92" s="19" t="inlineStr">
        <is>
          <t>Right-sizing</t>
        </is>
      </c>
      <c r="B92" s="20" t="inlineStr">
        <is>
          <t>Use utilization data (where available) and performance-based sizing. Do not map on-prem SKU 1:1</t>
        </is>
      </c>
      <c r="C92" s="20" t="inlineStr">
        <is>
          <t>All</t>
        </is>
      </c>
      <c r="D92" s="20" t="inlineStr">
        <is>
          <t>✅ Confirmed</t>
        </is>
      </c>
      <c r="E92" s="21" t="inlineStr">
        <is>
          <t>Performance-based approach</t>
        </is>
      </c>
    </row>
    <row r="93">
      <c r="A93" s="19" t="inlineStr">
        <is>
          <t>Baseline discounts</t>
        </is>
      </c>
      <c r="B93" s="20" t="inlineStr">
        <is>
          <t>Do not apply enterprise discounts or SUDs in LTL baseline scenarios</t>
        </is>
      </c>
      <c r="C93" s="20" t="inlineStr">
        <is>
          <t>Baseline</t>
        </is>
      </c>
      <c r="D93" s="20" t="inlineStr">
        <is>
          <t>✅ Confirmed</t>
        </is>
      </c>
      <c r="E93" s="21" t="inlineStr">
        <is>
          <t>Discounts only in Optimized view</t>
        </is>
      </c>
    </row>
    <row r="94">
      <c r="A94" s="19" t="inlineStr">
        <is>
          <t>Optimized discounts</t>
        </is>
      </c>
      <c r="B94" s="20" t="inlineStr">
        <is>
          <t>Apply 3-Year CUD + SUD assumptions + commercial discount (if provided)</t>
        </is>
      </c>
      <c r="C94" s="20" t="inlineStr">
        <is>
          <t>Optimized</t>
        </is>
      </c>
      <c r="D94" s="20" t="inlineStr">
        <is>
          <t>⏳ Pending</t>
        </is>
      </c>
      <c r="E94" s="21" t="inlineStr">
        <is>
          <t>Awaiting commercial confirmation</t>
        </is>
      </c>
    </row>
    <row r="95" ht="15" customHeight="1" thickBot="1">
      <c r="A95" s="22" t="inlineStr">
        <is>
          <t>Assessment tool</t>
        </is>
      </c>
      <c r="B95" s="23" t="inlineStr">
        <is>
          <t>Migration Center / discovery export used for all assessments</t>
        </is>
      </c>
      <c r="C95" s="23" t="inlineStr">
        <is>
          <t>All</t>
        </is>
      </c>
      <c r="D95" s="23" t="inlineStr">
        <is>
          <t>✅ Confirmed</t>
        </is>
      </c>
      <c r="E95" s="24" t="inlineStr">
        <is>
          <t>Standard discovery tool</t>
        </is>
      </c>
    </row>
    <row r="96">
      <c r="A96" s="4" t="n"/>
      <c r="B96" s="4" t="n"/>
      <c r="C96" s="4" t="n"/>
      <c r="D96" s="4" t="n"/>
      <c r="E96" s="4" t="n"/>
    </row>
    <row r="97" ht="15" customHeight="1" thickBot="1">
      <c r="A97" s="5" t="inlineStr">
        <is>
          <t>Section 5 — Key Differences: LTL On-Demand vs LTL 3-Year CUD vs Optimized</t>
        </is>
      </c>
    </row>
    <row r="98">
      <c r="A98" s="29" t="inlineStr">
        <is>
          <t>Parameter</t>
        </is>
      </c>
      <c r="B98" s="30" t="inlineStr">
        <is>
          <t>LTL Option 1 - On-Demand</t>
        </is>
      </c>
      <c r="C98" s="30" t="inlineStr">
        <is>
          <t>LTL Option 1 - 3 Year CUD</t>
        </is>
      </c>
      <c r="D98" s="30" t="inlineStr">
        <is>
          <t>Optimized Option</t>
        </is>
      </c>
      <c r="E98" s="38" t="inlineStr">
        <is>
          <t>Recommendation</t>
        </is>
      </c>
    </row>
    <row r="99" ht="29" customHeight="1">
      <c r="A99" s="19" t="inlineStr">
        <is>
          <t>Savings Option</t>
        </is>
      </c>
      <c r="B99" s="20" t="inlineStr">
        <is>
          <t>None (On-Demand)</t>
        </is>
      </c>
      <c r="C99" s="20" t="inlineStr">
        <is>
          <t>3-Year CUD</t>
        </is>
      </c>
      <c r="D99" s="20" t="inlineStr">
        <is>
          <t>3-Year CUD + SUD + Commercial Discount</t>
        </is>
      </c>
      <c r="E99" s="21" t="inlineStr">
        <is>
          <t>🟢 Optimized for max savings</t>
        </is>
      </c>
    </row>
    <row r="100">
      <c r="A100" s="19" t="inlineStr">
        <is>
          <t>Discount %</t>
        </is>
      </c>
      <c r="B100" s="20" t="inlineStr">
        <is>
          <t>0% [0%]</t>
        </is>
      </c>
      <c r="C100" s="20" t="inlineStr">
        <is>
          <t>0% [0%]</t>
        </is>
      </c>
      <c r="D100" s="20" t="inlineStr">
        <is>
          <t>TBD (commercial)</t>
        </is>
      </c>
      <c r="E100" s="21" t="inlineStr">
        <is>
          <t>Await quote</t>
        </is>
      </c>
    </row>
    <row r="101">
      <c r="A101" s="19" t="inlineStr">
        <is>
          <t>Sizing Criteria</t>
        </is>
      </c>
      <c r="B101" s="20" t="inlineStr">
        <is>
          <t>Performance-based</t>
        </is>
      </c>
      <c r="C101" s="20" t="inlineStr">
        <is>
          <t>Performance-based</t>
        </is>
      </c>
      <c r="D101" s="20" t="inlineStr">
        <is>
          <t>Performance-based</t>
        </is>
      </c>
      <c r="E101" s="21" t="inlineStr">
        <is>
          <t>Consistent approach</t>
        </is>
      </c>
    </row>
    <row r="102">
      <c r="A102" s="19" t="inlineStr">
        <is>
          <t>Performance History</t>
        </is>
      </c>
      <c r="B102" s="20" t="inlineStr">
        <is>
          <t>30 days</t>
        </is>
      </c>
      <c r="C102" s="20" t="inlineStr">
        <is>
          <t>30 days</t>
        </is>
      </c>
      <c r="D102" s="20" t="inlineStr">
        <is>
          <t>30 days</t>
        </is>
      </c>
      <c r="E102" s="21" t="inlineStr">
        <is>
          <t>30-day baseline</t>
        </is>
      </c>
    </row>
    <row r="103">
      <c r="A103" s="19" t="inlineStr">
        <is>
          <t>Percentile</t>
        </is>
      </c>
      <c r="B103" s="20" t="inlineStr">
        <is>
          <t>95th</t>
        </is>
      </c>
      <c r="C103" s="20" t="inlineStr">
        <is>
          <t>95th</t>
        </is>
      </c>
      <c r="D103" s="20" t="inlineStr">
        <is>
          <t>95th</t>
        </is>
      </c>
      <c r="E103" s="21" t="inlineStr">
        <is>
          <t>P95 for peak coverage</t>
        </is>
      </c>
    </row>
    <row r="104">
      <c r="A104" s="19" t="inlineStr">
        <is>
          <t>Safety Factor</t>
        </is>
      </c>
      <c r="B104" s="20" t="inlineStr">
        <is>
          <t>1.0x</t>
        </is>
      </c>
      <c r="C104" s="20" t="inlineStr">
        <is>
          <t>1.0x</t>
        </is>
      </c>
      <c r="D104" s="20" t="inlineStr">
        <is>
          <t>1.0x</t>
        </is>
      </c>
      <c r="E104" s="21" t="inlineStr">
        <is>
          <t>No additional buffer</t>
        </is>
      </c>
    </row>
    <row r="105">
      <c r="A105" s="19" t="inlineStr">
        <is>
          <t>Storage Type</t>
        </is>
      </c>
      <c r="B105" s="20" t="inlineStr">
        <is>
          <t>Balanced PD, SSD PD</t>
        </is>
      </c>
      <c r="C105" s="20" t="inlineStr">
        <is>
          <t>Balanced PD, SSD PD</t>
        </is>
      </c>
      <c r="D105" s="20" t="inlineStr">
        <is>
          <t>Balanced, SSD, Extreme (where needed)</t>
        </is>
      </c>
      <c r="E105" s="21" t="inlineStr">
        <is>
          <t>Optimized adds Extreme</t>
        </is>
      </c>
    </row>
    <row r="106">
      <c r="A106" s="19" t="inlineStr">
        <is>
          <t>SUD Assumption</t>
        </is>
      </c>
      <c r="B106" s="20" t="inlineStr">
        <is>
          <t>No</t>
        </is>
      </c>
      <c r="C106" s="20" t="inlineStr">
        <is>
          <t>No</t>
        </is>
      </c>
      <c r="D106" s="20" t="inlineStr">
        <is>
          <t>Yes (always-on compute)</t>
        </is>
      </c>
      <c r="E106" s="21" t="inlineStr">
        <is>
          <t>🟢 Optimized only</t>
        </is>
      </c>
    </row>
    <row r="107">
      <c r="A107" s="19" t="inlineStr">
        <is>
          <t>Machine Families</t>
        </is>
      </c>
      <c r="B107" s="20" t="inlineStr">
        <is>
          <t>General purpose defaults</t>
        </is>
      </c>
      <c r="C107" s="20" t="inlineStr">
        <is>
          <t>General purpose defaults</t>
        </is>
      </c>
      <c r="D107" s="20" t="inlineStr">
        <is>
          <t>Wider selection incl. custom</t>
        </is>
      </c>
      <c r="E107" s="21" t="inlineStr">
        <is>
          <t>🟢 Wider selection</t>
        </is>
      </c>
    </row>
    <row r="108">
      <c r="A108" s="19" t="inlineStr">
        <is>
          <t>Security Type</t>
        </is>
      </c>
      <c r="B108" s="20" t="inlineStr">
        <is>
          <t>Standard</t>
        </is>
      </c>
      <c r="C108" s="20" t="inlineStr">
        <is>
          <t>Standard</t>
        </is>
      </c>
      <c r="D108" s="20" t="inlineStr">
        <is>
          <t>Shielded VM (where supported)</t>
        </is>
      </c>
      <c r="E108" s="21" t="inlineStr">
        <is>
          <t>Enhanced in Optimized</t>
        </is>
      </c>
    </row>
    <row r="109" ht="15" customHeight="1" thickBot="1">
      <c r="A109" s="22" t="inlineStr">
        <is>
          <t>Use Case</t>
        </is>
      </c>
      <c r="B109" s="23" t="inlineStr">
        <is>
          <t>Baseline comparison</t>
        </is>
      </c>
      <c r="C109" s="23" t="inlineStr">
        <is>
          <t>Commitment baseline</t>
        </is>
      </c>
      <c r="D109" s="23" t="inlineStr">
        <is>
          <t>Target state</t>
        </is>
      </c>
      <c r="E109" s="24" t="inlineStr">
        <is>
          <t>🟢 Recommended target</t>
        </is>
      </c>
    </row>
    <row r="110">
      <c r="A110" s="4" t="n"/>
      <c r="B110" s="4" t="n"/>
      <c r="C110" s="4" t="n"/>
      <c r="D110" s="4" t="n"/>
      <c r="E110" s="4" t="n"/>
    </row>
    <row r="111" ht="15" customHeight="1" thickBot="1">
      <c r="A111" s="5" t="inlineStr">
        <is>
          <t>Section 6 — Assumptions Sign-Off &amp; Approval</t>
        </is>
      </c>
    </row>
    <row r="112">
      <c r="A112" s="29" t="inlineStr">
        <is>
          <t>Role</t>
        </is>
      </c>
      <c r="B112" s="30" t="inlineStr">
        <is>
          <t>Name</t>
        </is>
      </c>
      <c r="C112" s="30" t="inlineStr">
        <is>
          <t>Date</t>
        </is>
      </c>
      <c r="D112" s="30" t="inlineStr">
        <is>
          <t>Signature / Approval</t>
        </is>
      </c>
      <c r="E112" s="38" t="inlineStr">
        <is>
          <t>Status</t>
        </is>
      </c>
    </row>
    <row r="113">
      <c r="A113" s="19" t="inlineStr">
        <is>
          <t>Cloud Solutions Architect</t>
        </is>
      </c>
      <c r="B113" s="20" t="inlineStr">
        <is>
          <t>[Enter Name]</t>
        </is>
      </c>
      <c r="C113" s="20" t="inlineStr">
        <is>
          <t>[Enter Date]</t>
        </is>
      </c>
      <c r="D113" s="20" t="n"/>
      <c r="E113" s="21" t="inlineStr">
        <is>
          <t>⏳ Pending</t>
        </is>
      </c>
    </row>
    <row r="114">
      <c r="A114" s="19" t="inlineStr">
        <is>
          <t>Project Manager</t>
        </is>
      </c>
      <c r="B114" s="20" t="inlineStr">
        <is>
          <t>[Enter Name]</t>
        </is>
      </c>
      <c r="C114" s="20" t="inlineStr">
        <is>
          <t>[Enter Date]</t>
        </is>
      </c>
      <c r="D114" s="20" t="n"/>
      <c r="E114" s="21" t="inlineStr">
        <is>
          <t>⏳ Pending</t>
        </is>
      </c>
    </row>
    <row r="115">
      <c r="A115" s="19" t="inlineStr">
        <is>
          <t>Finance Representative</t>
        </is>
      </c>
      <c r="B115" s="20" t="inlineStr">
        <is>
          <t>[Enter Name]</t>
        </is>
      </c>
      <c r="C115" s="20" t="inlineStr">
        <is>
          <t>[Enter Date]</t>
        </is>
      </c>
      <c r="D115" s="20" t="n"/>
      <c r="E115" s="21" t="inlineStr">
        <is>
          <t>⏳ Pending</t>
        </is>
      </c>
    </row>
    <row r="116">
      <c r="A116" s="19" t="inlineStr">
        <is>
          <t>Google/Partner Account Team</t>
        </is>
      </c>
      <c r="B116" s="20" t="inlineStr">
        <is>
          <t>[Enter Name]</t>
        </is>
      </c>
      <c r="C116" s="20" t="inlineStr">
        <is>
          <t>[Enter Date]</t>
        </is>
      </c>
      <c r="D116" s="20" t="n"/>
      <c r="E116" s="21" t="inlineStr">
        <is>
          <t>⏳ Pending</t>
        </is>
      </c>
    </row>
    <row r="117">
      <c r="A117" s="19" t="inlineStr">
        <is>
          <t>Application Owner</t>
        </is>
      </c>
      <c r="B117" s="20" t="inlineStr">
        <is>
          <t>[Enter Name]</t>
        </is>
      </c>
      <c r="C117" s="20" t="inlineStr">
        <is>
          <t>[Enter Date]</t>
        </is>
      </c>
      <c r="D117" s="20" t="n"/>
      <c r="E117" s="21" t="inlineStr">
        <is>
          <t>⏳ Pending</t>
        </is>
      </c>
    </row>
    <row r="118" ht="15" customHeight="1" thickBot="1">
      <c r="A118" s="22" t="inlineStr">
        <is>
          <t>Executive Sponsor</t>
        </is>
      </c>
      <c r="B118" s="23" t="inlineStr">
        <is>
          <t>[Enter Name]</t>
        </is>
      </c>
      <c r="C118" s="23" t="inlineStr">
        <is>
          <t>[Enter Date]</t>
        </is>
      </c>
      <c r="D118" s="23" t="n"/>
      <c r="E118" s="24" t="inlineStr">
        <is>
          <t>⏳ Pending</t>
        </is>
      </c>
    </row>
    <row r="119">
      <c r="A119" s="4" t="n"/>
      <c r="B119" s="4" t="n"/>
      <c r="C119" s="4" t="n"/>
      <c r="D119" s="4" t="n"/>
      <c r="E119" s="4" t="n"/>
    </row>
    <row r="120">
      <c r="A120" s="5" t="inlineStr">
        <is>
          <t>⚠️ IMPORTANT NOTES</t>
        </is>
      </c>
    </row>
    <row r="121">
      <c r="A121" s="6" t="inlineStr">
        <is>
          <t>• All assumptions must be validated and approved before finalizing the GCP TCO analysis.</t>
        </is>
      </c>
      <c r="B121" s="6" t="n"/>
      <c r="C121" s="6" t="n"/>
      <c r="D121" s="6" t="n"/>
      <c r="E121" s="6" t="n"/>
    </row>
    <row r="122">
      <c r="A122" s="11" t="inlineStr">
        <is>
          <t>• Any commercial discount % requires validation from Google/partner account team before publication.</t>
        </is>
      </c>
      <c r="B122" s="11" t="n"/>
      <c r="C122" s="11" t="n"/>
      <c r="D122" s="11" t="n"/>
      <c r="E122" s="11" t="n"/>
    </row>
    <row r="123">
      <c r="A123" s="11" t="inlineStr">
        <is>
          <t>• Both LTL (On-Demand &amp; 3-Year) and Optimized views should be presented to stakeholders for comparison.</t>
        </is>
      </c>
      <c r="B123" s="11" t="n"/>
      <c r="C123" s="11" t="n"/>
      <c r="D123" s="11" t="n"/>
      <c r="E123" s="11" t="n"/>
    </row>
    <row r="124">
      <c r="A124" s="11" t="inlineStr">
        <is>
          <t>• Migration Center assessments should be regenerated if infrastructure changes significantly.</t>
        </is>
      </c>
      <c r="B124" s="11" t="n"/>
      <c r="C124" s="11" t="n"/>
      <c r="D124" s="11" t="n"/>
      <c r="E124" s="11" t="n"/>
    </row>
    <row r="125">
      <c r="A125" s="11" t="inlineStr">
        <is>
          <t>• Currency must match across all TCO documents and the GCP Evaluation sheet.</t>
        </is>
      </c>
      <c r="B125" s="11" t="n"/>
      <c r="C125" s="11" t="n"/>
      <c r="D125" s="11" t="n"/>
      <c r="E125" s="11" t="n"/>
    </row>
    <row r="126">
      <c r="A126" s="7" t="n"/>
      <c r="B126" s="7" t="n"/>
      <c r="C126" s="7" t="n"/>
      <c r="D126" s="7" t="n"/>
      <c r="E126" s="7" t="n"/>
    </row>
    <row r="127">
      <c r="A127" s="25" t="inlineStr">
        <is>
          <t>━━━━━━━━━━━━━━━━━━━━━━━━━━━━━━━━━━━━━━━━━━━━━━━━━━━━━━━━━━━━━━━━━━━━━━━━━━━━━━━━━━━━━━━━━</t>
        </is>
      </c>
    </row>
    <row r="128">
      <c r="A128" s="13" t="inlineStr">
        <is>
          <t>➡️  Navigate to 'GCP Evaluation' sheet to apply these assumptions and complete the assessment</t>
        </is>
      </c>
    </row>
    <row r="129">
      <c r="A129" s="13" t="n"/>
      <c r="B129" s="13" t="n"/>
      <c r="C129" s="13" t="n"/>
      <c r="D129" s="13" t="n"/>
      <c r="E129" s="13" t="n"/>
    </row>
    <row r="130">
      <c r="A130" s="13" t="inlineStr">
        <is>
          <t>© 2026 Cloud Readiness Accelerator Framework | GCP Migration TCO Assumptions | Version 1.0 | All Rights Reserved</t>
        </is>
      </c>
      <c r="B130" s="13" t="n"/>
      <c r="C130" s="13" t="n"/>
      <c r="D130" s="13" t="n"/>
      <c r="E130" s="13" t="n"/>
    </row>
    <row r="131" ht="15" customHeight="1">
      <c r="A131" s="1" t="n"/>
      <c r="B131" s="1" t="n"/>
      <c r="C131" s="1" t="n"/>
      <c r="D131" s="1" t="n"/>
      <c r="E131" s="1" t="n"/>
    </row>
    <row r="132" ht="15" customHeight="1">
      <c r="A132" s="1" t="n"/>
      <c r="B132" s="1" t="n"/>
      <c r="C132" s="1" t="n"/>
      <c r="D132" s="1" t="n"/>
      <c r="E132" s="1" t="n"/>
    </row>
    <row r="133" ht="15" customHeight="1">
      <c r="A133" s="1" t="n"/>
      <c r="B133" s="1" t="n"/>
      <c r="C133" s="1" t="n"/>
      <c r="D133" s="1" t="n"/>
      <c r="E133" s="1" t="n"/>
    </row>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mergeCells count="32">
    <mergeCell ref="A30:E30"/>
    <mergeCell ref="A83:E83"/>
    <mergeCell ref="A45:E45"/>
    <mergeCell ref="A1:E1"/>
    <mergeCell ref="A61:E61"/>
    <mergeCell ref="A70:E70"/>
    <mergeCell ref="A87:E87"/>
    <mergeCell ref="A78:E78"/>
    <mergeCell ref="A16:E16"/>
    <mergeCell ref="A7:E7"/>
    <mergeCell ref="A128:E128"/>
    <mergeCell ref="A75:E75"/>
    <mergeCell ref="A37:E37"/>
    <mergeCell ref="A120:E120"/>
    <mergeCell ref="A3:E3"/>
    <mergeCell ref="A21:E21"/>
    <mergeCell ref="A55:E55"/>
    <mergeCell ref="A50:E50"/>
    <mergeCell ref="A57:E57"/>
    <mergeCell ref="A26:E26"/>
    <mergeCell ref="A2:E2"/>
    <mergeCell ref="A5:E5"/>
    <mergeCell ref="A23:E23"/>
    <mergeCell ref="A97:E97"/>
    <mergeCell ref="A53:E53"/>
    <mergeCell ref="A35:E35"/>
    <mergeCell ref="A72:E72"/>
    <mergeCell ref="A28:E28"/>
    <mergeCell ref="A63:E63"/>
    <mergeCell ref="A111:E111"/>
    <mergeCell ref="A127:E127"/>
    <mergeCell ref="A67:E67"/>
  </mergeCells>
  <pageMargins left="0.7" right="0.7" top="0.75" bottom="0.75" header="0.3" footer="0.3"/>
</worksheet>
</file>

<file path=xl/worksheets/sheet5.xml><?xml version="1.0" encoding="utf-8"?>
<worksheet xmlns="http://schemas.openxmlformats.org/spreadsheetml/2006/main">
  <sheetPr>
    <tabColor rgb="FF1F4E79"/>
    <outlinePr summaryBelow="1" summaryRight="1"/>
    <pageSetUpPr/>
  </sheetPr>
  <dimension ref="A1:F24"/>
  <sheetViews>
    <sheetView showGridLines="0" topLeftCell="A14" workbookViewId="0">
      <selection activeCell="A1" sqref="A1:F1"/>
    </sheetView>
  </sheetViews>
  <sheetFormatPr baseColWidth="8" defaultRowHeight="14.5"/>
  <cols>
    <col width="22.36328125" bestFit="1" customWidth="1" min="1" max="1"/>
    <col width="17.81640625" customWidth="1" min="2" max="2"/>
    <col width="24.90625" bestFit="1" customWidth="1" min="3" max="3"/>
    <col width="44.26953125" customWidth="1" min="4" max="4"/>
    <col width="40.90625" customWidth="1" min="5" max="5"/>
    <col width="72.36328125" customWidth="1" min="6" max="6"/>
  </cols>
  <sheetData>
    <row r="1" ht="38" customHeight="1">
      <c r="A1" s="49" t="inlineStr">
        <is>
          <t>🚫 GCP UNSUPPORTED OS &amp; REGIONS (REFERENCE)</t>
        </is>
      </c>
      <c r="B1" s="78" t="n"/>
      <c r="C1" s="78" t="n"/>
      <c r="D1" s="78" t="n"/>
      <c r="E1" s="78" t="n"/>
      <c r="F1" s="79" t="n"/>
    </row>
    <row r="2" ht="26" customHeight="1">
      <c r="A2" s="50" t="inlineStr">
        <is>
          <t>Official support caveats based on Compute Engine OS image policy and Google Cloud Locations list (April 2026)</t>
        </is>
      </c>
      <c r="B2" s="78" t="n"/>
      <c r="C2" s="78" t="n"/>
      <c r="D2" s="78" t="n"/>
      <c r="E2" s="78" t="n"/>
      <c r="F2" s="79" t="n"/>
    </row>
    <row r="3" ht="20" customHeight="1">
      <c r="A3" s="51" t="inlineStr">
        <is>
          <t>Use this sheet as a risk register: if an OS / Region is not officially supported, plan remediation (upgrade / custom image) or a nearest-region architecture with compliance sign-off.</t>
        </is>
      </c>
      <c r="B3" s="78" t="n"/>
      <c r="C3" s="78" t="n"/>
      <c r="D3" s="78" t="n"/>
      <c r="E3" s="78" t="n"/>
      <c r="F3" s="79" t="n"/>
    </row>
    <row r="4" ht="18" customHeight="1">
      <c r="A4" s="47" t="n"/>
      <c r="B4" s="47" t="n"/>
      <c r="C4" s="47" t="n"/>
      <c r="D4" s="47" t="n"/>
      <c r="E4" s="47" t="n"/>
      <c r="F4" s="47" t="n"/>
    </row>
    <row r="5" ht="18" customHeight="1">
      <c r="A5" s="52" t="inlineStr">
        <is>
          <t>SECTION A — Operating Systems NOT officially supported (or End-of-Support)</t>
        </is>
      </c>
      <c r="B5" s="80" t="n"/>
      <c r="C5" s="80" t="n"/>
      <c r="D5" s="80" t="n"/>
      <c r="E5" s="80" t="n"/>
      <c r="F5" s="81" t="n"/>
    </row>
    <row r="6" ht="22" customHeight="1">
      <c r="A6" s="55" t="inlineStr">
        <is>
          <t>OS Family</t>
        </is>
      </c>
      <c r="B6" s="56" t="inlineStr">
        <is>
          <t>Version / Type</t>
        </is>
      </c>
      <c r="C6" s="56" t="inlineStr">
        <is>
          <t>Status</t>
        </is>
      </c>
      <c r="D6" s="56" t="inlineStr">
        <is>
          <t>Impact on Google Cloud</t>
        </is>
      </c>
      <c r="E6" s="56" t="inlineStr">
        <is>
          <t>Recommended Action</t>
        </is>
      </c>
      <c r="F6" s="57" t="inlineStr">
        <is>
          <t>Source (URL)</t>
        </is>
      </c>
    </row>
    <row r="7" ht="18" customHeight="1">
      <c r="A7" s="42" t="inlineStr">
        <is>
          <t>Windows Server</t>
        </is>
      </c>
      <c r="B7" s="41" t="inlineStr">
        <is>
          <t>2012 R2</t>
        </is>
      </c>
      <c r="C7" s="41" t="inlineStr">
        <is>
          <t>EOS (Oct 10, 2023)</t>
        </is>
      </c>
      <c r="D7" s="41" t="inlineStr">
        <is>
          <t>No longer supported by Microsoft; public images removed after EOS. Running VMs continue, but updates/patches unavailable via Google.</t>
        </is>
      </c>
      <c r="E7" s="41" t="inlineStr">
        <is>
          <t>Upgrade to Windows Server 2016+; if unavoidable, use ESU + harden access.</t>
        </is>
      </c>
      <c r="F7" s="58" t="inlineStr">
        <is>
          <t>https://docs.cloud.google.com/compute/docs/instances/windows/end-of-support</t>
        </is>
      </c>
    </row>
    <row r="8" ht="18" customHeight="1">
      <c r="A8" s="42" t="inlineStr">
        <is>
          <t>Windows Server</t>
        </is>
      </c>
      <c r="B8" s="41" t="inlineStr">
        <is>
          <t>2008 / 2008 R2</t>
        </is>
      </c>
      <c r="C8" s="41" t="inlineStr">
        <is>
          <t>EOS (Jan 14, 2020)</t>
        </is>
      </c>
      <c r="D8" s="41" t="inlineStr">
        <is>
          <t>Unsupported &amp; unpatched OS increases security risk; images removed after EOS.</t>
        </is>
      </c>
      <c r="E8" s="41" t="inlineStr">
        <is>
          <t>Migrate/upgrade urgently; isolate network; remove public IPs.</t>
        </is>
      </c>
      <c r="F8" s="58" t="inlineStr">
        <is>
          <t>https://docs.cloud.google.com/compute/docs/instances/windows/end-of-support</t>
        </is>
      </c>
    </row>
    <row r="9" ht="18" customHeight="1">
      <c r="A9" s="42" t="inlineStr">
        <is>
          <t>Windows Server</t>
        </is>
      </c>
      <c r="B9" s="41" t="inlineStr">
        <is>
          <t>2003 / 2003 R2</t>
        </is>
      </c>
      <c r="C9" s="41" t="inlineStr">
        <is>
          <t>EOS (Jul 14, 2015)</t>
        </is>
      </c>
      <c r="D9" s="41" t="inlineStr">
        <is>
          <t>Unsupported legacy OS; high security exposure; images removed after EOS.</t>
        </is>
      </c>
      <c r="E9" s="41" t="inlineStr">
        <is>
          <t>Replatform or refactor; if required temporarily, run in isolated segment only.</t>
        </is>
      </c>
      <c r="F9" s="58" t="inlineStr">
        <is>
          <t>https://docs.cloud.google.com/compute/docs/instances/windows/end-of-support</t>
        </is>
      </c>
    </row>
    <row r="10" ht="18" customHeight="1">
      <c r="A10" s="42" t="inlineStr">
        <is>
          <t>CentOS Linux</t>
        </is>
      </c>
      <c r="B10" s="41" t="inlineStr">
        <is>
          <t>CentOS Linux (classic)</t>
        </is>
      </c>
      <c r="C10" s="41" t="inlineStr">
        <is>
          <t>End of development/support</t>
        </is>
      </c>
      <c r="D10" s="41" t="inlineStr">
        <is>
          <t>CentOS Linux is EOS; not recommended for new deployments.</t>
        </is>
      </c>
      <c r="E10" s="41" t="inlineStr">
        <is>
          <t>Move to Rocky Linux / AlmaLinux / RHEL / Ubuntu LTS.</t>
        </is>
      </c>
      <c r="F10" s="58" t="inlineStr">
        <is>
          <t>https://docs.cloud.google.com/compute/docs/images/os-details?hl=en</t>
        </is>
      </c>
    </row>
    <row r="11" ht="18" customHeight="1">
      <c r="A11" s="42" t="inlineStr">
        <is>
          <t>Ubuntu</t>
        </is>
      </c>
      <c r="B11" s="41" t="inlineStr">
        <is>
          <t>16.04 LTS (standard)</t>
        </is>
      </c>
      <c r="C11" s="41" t="inlineStr">
        <is>
          <t>Standard support ended</t>
        </is>
      </c>
      <c r="D11" s="41" t="inlineStr">
        <is>
          <t>Continuing without Ubuntu Pro/ESM increases risk; may be blocked by internal security policies.</t>
        </is>
      </c>
      <c r="E11" s="41" t="inlineStr">
        <is>
          <t>Upgrade to 20.04/22.04/24.04 LTS or use Ubuntu Pro image.</t>
        </is>
      </c>
      <c r="F11" s="58" t="inlineStr">
        <is>
          <t>https://docs.cloud.google.com/compute/docs/images/os-details?hl=en</t>
        </is>
      </c>
    </row>
    <row r="12" ht="18" customHeight="1">
      <c r="A12" s="42" t="inlineStr">
        <is>
          <t>Ubuntu</t>
        </is>
      </c>
      <c r="B12" s="41" t="inlineStr">
        <is>
          <t>18.04 LTS (standard)</t>
        </is>
      </c>
      <c r="C12" s="41" t="inlineStr">
        <is>
          <t>Standard support ended</t>
        </is>
      </c>
      <c r="D12" s="41" t="inlineStr">
        <is>
          <t>Standard LTS support ended; requires Ubuntu Pro/ESM to keep patching.</t>
        </is>
      </c>
      <c r="E12" s="41" t="inlineStr">
        <is>
          <t>Upgrade to 22.04/24.04 LTS or use Ubuntu Pro image.</t>
        </is>
      </c>
      <c r="F12" s="58" t="inlineStr">
        <is>
          <t>https://docs.cloud.google.com/compute/docs/images/os-details?hl=en</t>
        </is>
      </c>
    </row>
    <row r="13" ht="29" customHeight="1">
      <c r="A13" s="42" t="inlineStr">
        <is>
          <t>Windows Client</t>
        </is>
      </c>
      <c r="B13" s="41" t="inlineStr">
        <is>
          <t>Windows 10/11 images</t>
        </is>
      </c>
      <c r="C13" s="41" t="inlineStr">
        <is>
          <t>No Google-provided images</t>
        </is>
      </c>
      <c r="D13" s="41" t="inlineStr">
        <is>
          <t>Google does not provide Windows client images by default; must import/bring your own.</t>
        </is>
      </c>
      <c r="E13" s="41" t="inlineStr">
        <is>
          <t>Use BYOL custom images; validate licensing + vTPM/Secure Boot requirements.</t>
        </is>
      </c>
      <c r="F13" s="58" t="inlineStr">
        <is>
          <t>https://docs.cloud.google.com/compute/docs/images/os-details?hl=en</t>
        </is>
      </c>
    </row>
    <row r="14" ht="43.5" customHeight="1">
      <c r="A14" s="44" t="inlineStr">
        <is>
          <t>SQL Server on Linux</t>
        </is>
      </c>
      <c r="B14" s="45" t="inlineStr">
        <is>
          <t>Pre-configured VM images</t>
        </is>
      </c>
      <c r="C14" s="45" t="inlineStr">
        <is>
          <t>Not provided</t>
        </is>
      </c>
      <c r="D14" s="45" t="inlineStr">
        <is>
          <t>Google does not provide pre-configured SQL Server-on-Linux images; licensing must be added separately.</t>
        </is>
      </c>
      <c r="E14" s="45" t="inlineStr">
        <is>
          <t>Install SQL Server yourself or use Cloud SQL / managed options.</t>
        </is>
      </c>
      <c r="F14" s="59" t="inlineStr">
        <is>
          <t>https://docs.cloud.google.com/compute/docs/images/os-details?hl=en</t>
        </is>
      </c>
    </row>
    <row r="15">
      <c r="A15" s="48" t="n"/>
      <c r="B15" s="48" t="n"/>
      <c r="C15" s="48" t="n"/>
      <c r="D15" s="48" t="n"/>
      <c r="E15" s="48" t="n"/>
      <c r="F15" s="48" t="n"/>
    </row>
    <row r="16" ht="15.5" customHeight="1">
      <c r="A16" s="53" t="inlineStr">
        <is>
          <t>SECTION B — Regions NOT supported (no Google Cloud region)</t>
        </is>
      </c>
      <c r="B16" s="78" t="n"/>
      <c r="C16" s="78" t="n"/>
      <c r="D16" s="78" t="n"/>
      <c r="E16" s="78" t="n"/>
      <c r="F16" s="79" t="n"/>
    </row>
    <row r="17">
      <c r="A17" s="54" t="inlineStr">
        <is>
          <t>Google Cloud supports deployment ONLY in the published Google Cloud Regions list. If a requested country/area is not listed as a region, it is not supported as an in-country region (use nearest region + compliance approval).</t>
        </is>
      </c>
      <c r="B17" s="80" t="n"/>
      <c r="C17" s="80" t="n"/>
      <c r="D17" s="80" t="n"/>
      <c r="E17" s="80" t="n"/>
      <c r="F17" s="81" t="n"/>
    </row>
    <row r="18" ht="22" customHeight="1">
      <c r="A18" s="55" t="inlineStr">
        <is>
          <t>Location Requested</t>
        </is>
      </c>
      <c r="B18" s="56" t="inlineStr">
        <is>
          <t>Status</t>
        </is>
      </c>
      <c r="C18" s="56" t="inlineStr">
        <is>
          <t>Nearest GCP Region(s)</t>
        </is>
      </c>
      <c r="D18" s="56" t="inlineStr">
        <is>
          <t>Design Considerations</t>
        </is>
      </c>
      <c r="E18" s="56" t="inlineStr">
        <is>
          <t>Validation Link</t>
        </is>
      </c>
      <c r="F18" s="57" t="inlineStr">
        <is>
          <t>Notes</t>
        </is>
      </c>
    </row>
    <row r="19" ht="29" customHeight="1">
      <c r="A19" s="42" t="inlineStr">
        <is>
          <t>Any location not in the GCP Regions list</t>
        </is>
      </c>
      <c r="B19" s="41" t="inlineStr">
        <is>
          <t>Not supported as a GCP Region</t>
        </is>
      </c>
      <c r="C19" s="41" t="inlineStr">
        <is>
          <t>Choose nearest published region</t>
        </is>
      </c>
      <c r="D19" s="41" t="inlineStr">
        <is>
          <t>Assess latency + data residency + DR pairing; confirm service availability by region.</t>
        </is>
      </c>
      <c r="E19" s="60" t="inlineStr">
        <is>
          <t>https://cloud.google.com/about/locations</t>
        </is>
      </c>
      <c r="F19" s="43" t="inlineStr">
        <is>
          <t>Authoritative regions list (updated by Google)</t>
        </is>
      </c>
    </row>
    <row r="20" ht="43.5" customHeight="1">
      <c r="A20" s="42" t="inlineStr">
        <is>
          <t>Pakistan</t>
        </is>
      </c>
      <c r="B20" s="41" t="inlineStr">
        <is>
          <t>No in-country GCP region (as of Apr 2026)</t>
        </is>
      </c>
      <c r="C20" s="41" t="inlineStr">
        <is>
          <t>Delhi (asia-south2) / Mumbai (asia-south1)</t>
        </is>
      </c>
      <c r="D20" s="41" t="inlineStr">
        <is>
          <t>Cross-border data residency review required; validate connectivity strategy.</t>
        </is>
      </c>
      <c r="E20" s="60" t="inlineStr">
        <is>
          <t>https://cloud.google.com/about/locations</t>
        </is>
      </c>
      <c r="F20" s="43" t="inlineStr">
        <is>
          <t>Use nearest India region if allowed</t>
        </is>
      </c>
    </row>
    <row r="21" ht="43.5" customHeight="1">
      <c r="A21" s="42" t="inlineStr">
        <is>
          <t>Bangladesh</t>
        </is>
      </c>
      <c r="B21" s="41" t="inlineStr">
        <is>
          <t>No in-country GCP region (as of Apr 2026)</t>
        </is>
      </c>
      <c r="C21" s="41" t="inlineStr">
        <is>
          <t>Delhi (asia-south2) / Mumbai (asia-south1)</t>
        </is>
      </c>
      <c r="D21" s="41" t="inlineStr">
        <is>
          <t>Consider latency + regulatory controls; review DR secondary region.</t>
        </is>
      </c>
      <c r="E21" s="60" t="inlineStr">
        <is>
          <t>https://cloud.google.com/about/locations</t>
        </is>
      </c>
      <c r="F21" s="43" t="inlineStr">
        <is>
          <t>Nearest India region</t>
        </is>
      </c>
    </row>
    <row r="22" ht="43.5" customHeight="1">
      <c r="A22" s="42" t="inlineStr">
        <is>
          <t>Sri Lanka</t>
        </is>
      </c>
      <c r="B22" s="41" t="inlineStr">
        <is>
          <t>No in-country GCP region (as of Apr 2026)</t>
        </is>
      </c>
      <c r="C22" s="41" t="inlineStr">
        <is>
          <t>Mumbai (asia-south1) / Delhi (asia-south2)</t>
        </is>
      </c>
      <c r="D22" s="41" t="inlineStr">
        <is>
          <t>Validate network paths; consider dual-region HA for resilience.</t>
        </is>
      </c>
      <c r="E22" s="60" t="inlineStr">
        <is>
          <t>https://cloud.google.com/about/locations</t>
        </is>
      </c>
      <c r="F22" s="43" t="inlineStr">
        <is>
          <t>Nearest India region</t>
        </is>
      </c>
    </row>
    <row r="23" ht="43.5" customHeight="1">
      <c r="A23" s="42" t="inlineStr">
        <is>
          <t>Nepal</t>
        </is>
      </c>
      <c r="B23" s="41" t="inlineStr">
        <is>
          <t>No in-country GCP region (as of Apr 2026)</t>
        </is>
      </c>
      <c r="C23" s="41" t="inlineStr">
        <is>
          <t>Delhi (asia-south2) / Mumbai (asia-south1)</t>
        </is>
      </c>
      <c r="D23" s="41" t="inlineStr">
        <is>
          <t>Data residency and latency check; use private connectivity where possible.</t>
        </is>
      </c>
      <c r="E23" s="60" t="inlineStr">
        <is>
          <t>https://cloud.google.com/about/locations</t>
        </is>
      </c>
      <c r="F23" s="43" t="inlineStr">
        <is>
          <t>Nearest India region</t>
        </is>
      </c>
    </row>
    <row r="24" ht="29" customHeight="1">
      <c r="A24" s="44" t="inlineStr">
        <is>
          <t>Russia</t>
        </is>
      </c>
      <c r="B24" s="45" t="inlineStr">
        <is>
          <t>No public GCP region listed</t>
        </is>
      </c>
      <c r="C24" s="45" t="inlineStr">
        <is>
          <t>Europe (europe-west*) if permitted</t>
        </is>
      </c>
      <c r="D24" s="45" t="inlineStr">
        <is>
          <t>Regulatory and legal restrictions may apply; validate compliance early.</t>
        </is>
      </c>
      <c r="E24" s="61" t="inlineStr">
        <is>
          <t>https://cloud.google.com/about/locations</t>
        </is>
      </c>
      <c r="F24" s="46" t="inlineStr">
        <is>
          <t>Confirm with legal/compliance</t>
        </is>
      </c>
    </row>
  </sheetData>
  <mergeCells count="6">
    <mergeCell ref="A2:F2"/>
    <mergeCell ref="A16:F16"/>
    <mergeCell ref="A1:F1"/>
    <mergeCell ref="A5:F5"/>
    <mergeCell ref="A17:F17"/>
    <mergeCell ref="A3:F3"/>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sheetPr>
  <dimension ref="A1:H14"/>
  <sheetViews>
    <sheetView showGridLines="0" workbookViewId="0">
      <pane ySplit="3" topLeftCell="A4" activePane="bottomLeft" state="frozen"/>
      <selection pane="bottomLeft" activeCell="A1" sqref="A1"/>
    </sheetView>
  </sheetViews>
  <sheetFormatPr baseColWidth="8" defaultRowHeight="15"/>
  <cols>
    <col width="30" customWidth="1" min="1" max="1"/>
    <col width="25" customWidth="1" min="2" max="2"/>
    <col width="18" customWidth="1" min="3" max="3"/>
    <col width="16" customWidth="1" min="4" max="4"/>
    <col width="18" customWidth="1" min="5" max="5"/>
    <col width="22" customWidth="1" min="6" max="6"/>
    <col width="22" customWidth="1" min="7" max="7"/>
    <col width="12" customWidth="1" min="8" max="8"/>
  </cols>
  <sheetData>
    <row r="1" ht="22" customHeight="1">
      <c r="A1" s="82" t="inlineStr">
        <is>
          <t>GCP 3-Year Committed Use Discounts (CUDs) — Resource-Based Commitment</t>
        </is>
      </c>
    </row>
    <row r="2" ht="50" customHeight="1">
      <c r="A2" s="83" t="inlineStr">
        <is>
          <t>GCP CUDs commit to a specific amount of vCPU and memory in a region for 1 or 3 years — NOT to a specific instance type. This gives more flexibility than AWS Reserved Instances. Typical 3yr CUD saving: 37-55% vs On-Demand. CUDs apply to GCE instances; Preemptible/Spot VMs are not eligible.</t>
        </is>
      </c>
    </row>
    <row r="3">
      <c r="A3" s="84" t="inlineStr">
        <is>
          <t>VM / Workload Name</t>
        </is>
      </c>
      <c r="B3" s="84" t="inlineStr">
        <is>
          <t>GCE Machine Type (Optimised)</t>
        </is>
      </c>
      <c r="C3" s="84" t="inlineStr">
        <is>
          <t>Region</t>
        </is>
      </c>
      <c r="D3" s="84" t="inlineStr">
        <is>
          <t>Committed vCPU</t>
        </is>
      </c>
      <c r="E3" s="84" t="inlineStr">
        <is>
          <t>Committed RAM (GB)</t>
        </is>
      </c>
      <c r="F3" s="84" t="inlineStr">
        <is>
          <t>On-Demand Monthly</t>
        </is>
      </c>
      <c r="G3" s="84" t="inlineStr">
        <is>
          <t>3yr CUD Monthly</t>
        </is>
      </c>
      <c r="H3" s="84" t="inlineStr">
        <is>
          <t>Saving %</t>
        </is>
      </c>
    </row>
    <row r="4"/>
    <row r="8">
      <c r="A8" s="82" t="inlineStr">
        <is>
          <t>CUD Commitment Planning — Aggregate Regional CPU/RAM Required</t>
        </is>
      </c>
    </row>
    <row r="9">
      <c r="A9" s="84" t="inlineStr">
        <is>
          <t>Resource Type</t>
        </is>
      </c>
      <c r="B9" s="84" t="inlineStr">
        <is>
          <t>Region</t>
        </is>
      </c>
      <c r="C9" s="84" t="inlineStr">
        <is>
          <t>Total Committed Units</t>
        </is>
      </c>
      <c r="D9" s="84" t="inlineStr">
        <is>
          <t>CUD Commitment (3yr)</t>
        </is>
      </c>
      <c r="E9" s="84" t="inlineStr">
        <is>
          <t>On-Demand Equivalent</t>
        </is>
      </c>
      <c r="F9" s="84" t="inlineStr">
        <is>
          <t>3yr CUD Total Cost</t>
        </is>
      </c>
      <c r="G9" s="84" t="inlineStr">
        <is>
          <t>On-Demand 3yr Total</t>
        </is>
      </c>
      <c r="H9" s="84" t="inlineStr">
        <is>
          <t>CUD Saving</t>
        </is>
      </c>
    </row>
    <row r="10">
      <c r="A10" s="85" t="inlineStr">
        <is>
          <t>vCPU (General Purpose — n2)</t>
        </is>
      </c>
      <c r="B10" s="85" t="inlineStr">
        <is>
          <t>europe-west2</t>
        </is>
      </c>
      <c r="C10" s="85" t="inlineStr">
        <is>
          <t>[Total vCPU]</t>
        </is>
      </c>
      <c r="D10" s="85" t="inlineStr">
        <is>
          <t>[£/hr]</t>
        </is>
      </c>
      <c r="E10" s="85" t="inlineStr">
        <is>
          <t>[£/hr]</t>
        </is>
      </c>
      <c r="F10" s="85" t="inlineStr"/>
      <c r="G10" s="85" t="inlineStr"/>
      <c r="H10" s="85" t="inlineStr"/>
    </row>
    <row r="11">
      <c r="A11" s="86" t="inlineStr">
        <is>
          <t>Memory GB (General Purpose — n2)</t>
        </is>
      </c>
      <c r="B11" s="86" t="inlineStr">
        <is>
          <t>europe-west2</t>
        </is>
      </c>
      <c r="C11" s="86" t="inlineStr">
        <is>
          <t>[Total RAM GB]</t>
        </is>
      </c>
      <c r="D11" s="86" t="inlineStr">
        <is>
          <t>[£/GB-hr]</t>
        </is>
      </c>
      <c r="E11" s="86" t="inlineStr">
        <is>
          <t>[£/GB-hr]</t>
        </is>
      </c>
      <c r="F11" s="86" t="inlineStr"/>
      <c r="G11" s="86" t="inlineStr"/>
      <c r="H11" s="86" t="inlineStr"/>
    </row>
    <row r="12">
      <c r="A12" s="85" t="inlineStr">
        <is>
          <t>vCPU (Memory-Optimised — n2-highmem)</t>
        </is>
      </c>
      <c r="B12" s="85" t="inlineStr">
        <is>
          <t>europe-west2</t>
        </is>
      </c>
      <c r="C12" s="85" t="inlineStr">
        <is>
          <t>[Total vCPU]</t>
        </is>
      </c>
      <c r="D12" s="85" t="inlineStr">
        <is>
          <t>[£/hr]</t>
        </is>
      </c>
      <c r="E12" s="85" t="inlineStr">
        <is>
          <t>[£/hr]</t>
        </is>
      </c>
      <c r="F12" s="85" t="inlineStr"/>
      <c r="G12" s="85" t="inlineStr"/>
      <c r="H12" s="85" t="inlineStr"/>
    </row>
    <row r="14">
      <c r="A14" s="87" t="inlineStr">
        <is>
          <t>Source: cloud.google.com/compute/docs/instances/committed-use-discounts-overview — verify current rates at start of Phase 3</t>
        </is>
      </c>
    </row>
  </sheetData>
  <mergeCells count="4">
    <mergeCell ref="A8:H8"/>
    <mergeCell ref="A2:G2"/>
    <mergeCell ref="A14:H14"/>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showGridLines="0" workbookViewId="0">
      <selection activeCell="A1" sqref="A1"/>
    </sheetView>
  </sheetViews>
  <sheetFormatPr baseColWidth="8" defaultRowHeight="15"/>
  <cols>
    <col width="25" customWidth="1" min="1" max="1"/>
    <col width="22" customWidth="1" min="2" max="2"/>
    <col width="25" customWidth="1" min="3" max="3"/>
    <col width="30" customWidth="1" min="4" max="4"/>
    <col width="25" customWidth="1" min="5" max="5"/>
    <col width="30" customWidth="1" min="6" max="6"/>
  </cols>
  <sheetData>
    <row r="1">
      <c r="A1" s="82" t="inlineStr">
        <is>
          <t>GCP Managed Service Alternatives — OSS Licence Risk Resolution</t>
        </is>
      </c>
    </row>
    <row r="2" ht="40" customHeight="1">
      <c r="A2" s="83" t="inlineStr">
        <is>
          <t>For workloads flagged with OSS Licence Risk (Redis, Elasticsearch, MongoDB, Kafka, HashiCorp Vault), model the GCP managed service alternative cost here. Include this in the Layer (d) Licensing Overlay of the business-case-tco-roi.xlsx.</t>
        </is>
      </c>
    </row>
    <row r="3">
      <c r="A3" s="84" t="inlineStr">
        <is>
          <t>On-Prem Workload</t>
        </is>
      </c>
      <c r="B3" s="84" t="inlineStr">
        <is>
          <t>OSS Product</t>
        </is>
      </c>
      <c r="C3" s="84" t="inlineStr">
        <is>
          <t>Licence Risk</t>
        </is>
      </c>
      <c r="D3" s="84" t="inlineStr">
        <is>
          <t>GCP Managed Alternative</t>
        </is>
      </c>
      <c r="E3" s="84" t="inlineStr">
        <is>
          <t>Monthly Cost Estimate</t>
        </is>
      </c>
      <c r="F3" s="84" t="inlineStr">
        <is>
          <t>Notes</t>
        </is>
      </c>
    </row>
    <row r="4" ht="25" customHeight="1">
      <c r="A4" s="85" t="inlineStr">
        <is>
          <t>[e.g., Caching layer]</t>
        </is>
      </c>
      <c r="B4" s="85" t="inlineStr">
        <is>
          <t>Redis OSS (post v7.4)</t>
        </is>
      </c>
      <c r="C4" s="85" t="inlineStr">
        <is>
          <t>SSPL — commercial restrictions</t>
        </is>
      </c>
      <c r="D4" s="85" t="inlineStr">
        <is>
          <t>Memorystore for Redis / Valkey</t>
        </is>
      </c>
      <c r="E4" s="85" t="inlineStr">
        <is>
          <t>[Enter from GCP Calculator]</t>
        </is>
      </c>
      <c r="F4" s="85" t="inlineStr">
        <is>
          <t>Resolves OSS licence risk</t>
        </is>
      </c>
    </row>
    <row r="5" ht="25" customHeight="1">
      <c r="A5" s="86" t="inlineStr">
        <is>
          <t>[e.g., Search service]</t>
        </is>
      </c>
      <c r="B5" s="86" t="inlineStr">
        <is>
          <t>Elasticsearch (post 7.10)</t>
        </is>
      </c>
      <c r="C5" s="86" t="inlineStr">
        <is>
          <t>SSPL — commercial restrictions</t>
        </is>
      </c>
      <c r="D5" s="86" t="inlineStr">
        <is>
          <t>Elastic on GCP Marketplace / Vector Search</t>
        </is>
      </c>
      <c r="E5" s="86" t="inlineStr">
        <is>
          <t>[Enter from GCP Calculator]</t>
        </is>
      </c>
      <c r="F5" s="86" t="inlineStr">
        <is>
          <t>Native Elastic partnership</t>
        </is>
      </c>
    </row>
    <row r="6" ht="25" customHeight="1">
      <c r="A6" s="85" t="inlineStr">
        <is>
          <t>[e.g., Secret vault]</t>
        </is>
      </c>
      <c r="B6" s="85" t="inlineStr">
        <is>
          <t>HashiCorp Vault (BSL)</t>
        </is>
      </c>
      <c r="C6" s="85" t="inlineStr">
        <is>
          <t>BSL — commercial use restrictions</t>
        </is>
      </c>
      <c r="D6" s="85" t="inlineStr">
        <is>
          <t>Secret Manager / Berglas</t>
        </is>
      </c>
      <c r="E6" s="85" t="inlineStr">
        <is>
          <t>[Enter from GCP Calculator]</t>
        </is>
      </c>
      <c r="F6" s="85" t="inlineStr">
        <is>
          <t>GCP-native, no licence concern</t>
        </is>
      </c>
    </row>
    <row r="7" ht="25" customHeight="1">
      <c r="A7" s="86" t="inlineStr">
        <is>
          <t>[e.g., Message queue]</t>
        </is>
      </c>
      <c r="B7" s="86" t="inlineStr">
        <is>
          <t>Apache Kafka</t>
        </is>
      </c>
      <c r="C7" s="86" t="inlineStr">
        <is>
          <t>No licence risk</t>
        </is>
      </c>
      <c r="D7" s="86" t="inlineStr">
        <is>
          <t>Pub/Sub + Dataflow</t>
        </is>
      </c>
      <c r="E7" s="86" t="inlineStr">
        <is>
          <t>[Enter from GCP Calculator]</t>
        </is>
      </c>
      <c r="F7" s="86" t="inlineStr">
        <is>
          <t>Natural Kafka replacement on GCP</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2026-04-25T12:28:26Z</dcterms:created>
  <dcterms:modified xmlns:dcterms="http://purl.org/dc/terms/" xmlns:xsi="http://www.w3.org/2001/XMLSchema-instance" xsi:type="dcterms:W3CDTF">2026-06-03T05:46:09Z</dcterms:modified>
  <cp:lastModifiedBy>Upendra Kumar</cp:lastModifiedBy>
  <cp:revision>0</cp:revision>
</cp:coreProperties>
</file>