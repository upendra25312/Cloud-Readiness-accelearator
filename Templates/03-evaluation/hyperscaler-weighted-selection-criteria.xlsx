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xglobal-my.sharepoint.com/personal/upendra_kumar_rackspace_com1/Documents/Projects/DMG/Cloud Readiness acceleartor/"/>
    </mc:Choice>
  </mc:AlternateContent>
  <xr:revisionPtr revIDLastSave="5887" documentId="8_{7EFF9CCB-1410-4A56-98E6-B0E50788BA2F}" xr6:coauthVersionLast="47" xr6:coauthVersionMax="47" xr10:uidLastSave="{2771E03B-9A50-40E6-B716-30EA8BEB4152}"/>
  <bookViews>
    <workbookView xWindow="28680" yWindow="-120" windowWidth="29040" windowHeight="15720" activeTab="3" xr2:uid="{00000000-000D-0000-FFFF-FFFF00000000}"/>
  </bookViews>
  <sheets>
    <sheet name="Strategic View" sheetId="1" r:id="rId1"/>
    <sheet name="ScoringSummary" sheetId="4" r:id="rId2"/>
    <sheet name="High+VHigh" sheetId="5" r:id="rId3"/>
    <sheet name="Selection Criteria" sheetId="2" r:id="rId4"/>
    <sheet name="Lookup" sheetId="3" r:id="rId5"/>
  </sheets>
  <definedNames>
    <definedName name="_xlnm._FilterDatabase" localSheetId="2" hidden="1">'High+VHigh'!$A$2:$P$38</definedName>
    <definedName name="_xlnm._FilterDatabase" localSheetId="3" hidden="1">'Selection Criteria'!$A$2:$P$62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K3" i="2"/>
  <c r="J3" i="2"/>
  <c r="I3" i="2"/>
  <c r="H3" i="2"/>
  <c r="F3" i="2"/>
  <c r="L61" i="2"/>
  <c r="J61" i="2"/>
  <c r="H61" i="2"/>
  <c r="L60" i="2"/>
  <c r="J60" i="2"/>
  <c r="H60" i="2"/>
  <c r="L59" i="2"/>
  <c r="J59" i="2"/>
  <c r="H59" i="2"/>
  <c r="L58" i="2"/>
  <c r="J58" i="2"/>
  <c r="H58" i="2"/>
  <c r="L57" i="2"/>
  <c r="J57" i="2"/>
  <c r="H57" i="2"/>
  <c r="L56" i="2"/>
  <c r="J56" i="2"/>
  <c r="H56" i="2"/>
  <c r="L55" i="2"/>
  <c r="J55" i="2"/>
  <c r="H55" i="2"/>
  <c r="L54" i="2"/>
  <c r="J54" i="2"/>
  <c r="H54" i="2"/>
  <c r="L53" i="2"/>
  <c r="J53" i="2"/>
  <c r="H53" i="2"/>
  <c r="L52" i="2"/>
  <c r="J52" i="2"/>
  <c r="H52" i="2"/>
  <c r="L51" i="2"/>
  <c r="J51" i="2"/>
  <c r="H51" i="2"/>
  <c r="L50" i="2"/>
  <c r="J50" i="2"/>
  <c r="H50" i="2"/>
  <c r="L49" i="2"/>
  <c r="J49" i="2"/>
  <c r="H49" i="2"/>
  <c r="L48" i="2"/>
  <c r="J48" i="2"/>
  <c r="H48" i="2"/>
  <c r="L47" i="2"/>
  <c r="J47" i="2"/>
  <c r="H47" i="2"/>
  <c r="L46" i="2"/>
  <c r="J46" i="2"/>
  <c r="H46" i="2"/>
  <c r="L45" i="2"/>
  <c r="J45" i="2"/>
  <c r="H45" i="2"/>
  <c r="L44" i="2"/>
  <c r="J44" i="2"/>
  <c r="H44" i="2"/>
  <c r="L43" i="2"/>
  <c r="J43" i="2"/>
  <c r="H43" i="2"/>
  <c r="L42" i="2"/>
  <c r="J42" i="2"/>
  <c r="H42" i="2"/>
  <c r="L41" i="2"/>
  <c r="J41" i="2"/>
  <c r="H41" i="2"/>
  <c r="L40" i="2"/>
  <c r="J40" i="2"/>
  <c r="H40" i="2"/>
  <c r="L39" i="2"/>
  <c r="J39" i="2"/>
  <c r="H39" i="2"/>
  <c r="L38" i="2"/>
  <c r="J38" i="2"/>
  <c r="H38" i="2"/>
  <c r="L37" i="2"/>
  <c r="J37" i="2"/>
  <c r="H37" i="2"/>
  <c r="L36" i="2"/>
  <c r="J36" i="2"/>
  <c r="H36" i="2"/>
  <c r="L35" i="2"/>
  <c r="J35" i="2"/>
  <c r="H35" i="2"/>
  <c r="L34" i="2"/>
  <c r="J34" i="2"/>
  <c r="H34" i="2"/>
  <c r="L33" i="2"/>
  <c r="J33" i="2"/>
  <c r="H33" i="2"/>
  <c r="L32" i="2"/>
  <c r="J32" i="2"/>
  <c r="H32" i="2"/>
  <c r="L31" i="2"/>
  <c r="J31" i="2"/>
  <c r="H31" i="2"/>
  <c r="L30" i="2"/>
  <c r="J30" i="2"/>
  <c r="H30" i="2"/>
  <c r="L29" i="2"/>
  <c r="J29" i="2"/>
  <c r="H29" i="2"/>
  <c r="L28" i="2"/>
  <c r="J28" i="2"/>
  <c r="H28" i="2"/>
  <c r="L27" i="2"/>
  <c r="J27" i="2"/>
  <c r="H27" i="2"/>
  <c r="L26" i="2"/>
  <c r="J26" i="2"/>
  <c r="H26" i="2"/>
  <c r="L25" i="2"/>
  <c r="J25" i="2"/>
  <c r="H25" i="2"/>
  <c r="L24" i="2"/>
  <c r="J24" i="2"/>
  <c r="H24" i="2"/>
  <c r="L23" i="2"/>
  <c r="J23" i="2"/>
  <c r="H23" i="2"/>
  <c r="L22" i="2"/>
  <c r="J22" i="2"/>
  <c r="H22" i="2"/>
  <c r="L21" i="2"/>
  <c r="J21" i="2"/>
  <c r="H21" i="2"/>
  <c r="L20" i="2"/>
  <c r="J20" i="2"/>
  <c r="H20" i="2"/>
  <c r="L19" i="2"/>
  <c r="J19" i="2"/>
  <c r="H19" i="2"/>
  <c r="L18" i="2"/>
  <c r="J18" i="2"/>
  <c r="H18" i="2"/>
  <c r="L17" i="2"/>
  <c r="J17" i="2"/>
  <c r="H17" i="2"/>
  <c r="L16" i="2"/>
  <c r="J16" i="2"/>
  <c r="H16" i="2"/>
  <c r="L15" i="2"/>
  <c r="J15" i="2"/>
  <c r="H15" i="2"/>
  <c r="L14" i="2"/>
  <c r="J14" i="2"/>
  <c r="H14" i="2"/>
  <c r="L13" i="2"/>
  <c r="J13" i="2"/>
  <c r="H13" i="2"/>
  <c r="L12" i="2"/>
  <c r="J12" i="2"/>
  <c r="H12" i="2"/>
  <c r="L11" i="2"/>
  <c r="J11" i="2"/>
  <c r="H11" i="2"/>
  <c r="L10" i="2"/>
  <c r="J10" i="2"/>
  <c r="H10" i="2"/>
  <c r="L9" i="2"/>
  <c r="J9" i="2"/>
  <c r="H9" i="2"/>
  <c r="L8" i="2"/>
  <c r="J8" i="2"/>
  <c r="H8" i="2"/>
  <c r="L7" i="2"/>
  <c r="J7" i="2"/>
  <c r="H7" i="2"/>
  <c r="L6" i="2"/>
  <c r="J6" i="2"/>
  <c r="H6" i="2"/>
  <c r="L5" i="2"/>
  <c r="J5" i="2"/>
  <c r="H5" i="2"/>
  <c r="G3" i="2"/>
  <c r="M3" i="5"/>
  <c r="L3" i="5"/>
  <c r="K3" i="5"/>
  <c r="J3" i="5"/>
  <c r="I3" i="5"/>
  <c r="H3" i="5"/>
  <c r="G3" i="5"/>
  <c r="E20" i="1" l="1"/>
  <c r="D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G19" i="4"/>
  <c r="G20" i="1" s="1"/>
  <c r="F19" i="4"/>
  <c r="F20" i="1" s="1"/>
  <c r="E19" i="4"/>
  <c r="H19" i="4" s="1"/>
  <c r="H20" i="1" s="1"/>
  <c r="D19" i="4"/>
  <c r="C19" i="4"/>
  <c r="C20" i="1" s="1"/>
  <c r="E18" i="4"/>
  <c r="H18" i="4" s="1"/>
  <c r="H19" i="1" s="1"/>
  <c r="D18" i="4"/>
  <c r="H20" i="4" s="1"/>
  <c r="H21" i="1" s="1"/>
  <c r="C18" i="4"/>
  <c r="F20" i="4" s="1"/>
  <c r="F21" i="1" s="1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C19" i="1" l="1"/>
  <c r="F18" i="4"/>
  <c r="F19" i="1" s="1"/>
  <c r="D19" i="1"/>
  <c r="G18" i="4"/>
  <c r="G19" i="1" s="1"/>
  <c r="E19" i="1"/>
  <c r="G20" i="4"/>
  <c r="G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tc={CFF35DEE-BB25-4688-B51C-6F3788799EE0}</author>
  </authors>
  <commentList>
    <comment ref="I7" authorId="0" shapeId="0" xr:uid="{CFF35DEE-BB25-4688-B51C-6F3788799EE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 Breaking news needs sub-60s scaling. AWS Karpenter leads (30-60s node provisioning). AKS now has Karpenter via Node Auto Provisioning (NAP) in GA - closing the gap with AWS. GKE Autopilot offers simplest managed experience for small K8s teams. All three now competitive on autoscaling.
Reply:
    @Upendra Kumar - Adjust weights and rationale accordingly in the selection criteria sheet please. Removing the Azure lags line.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tc={42E1A169-D379-AA4F-AA62-FE36410D59C9}</author>
  </authors>
  <commentList>
    <comment ref="O36" authorId="0" shapeId="0" xr:uid="{42E1A169-D379-AA4F-AA62-FE36410D59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@Scott Beckford if we are presenting this to the customer my view is the justifications need to be in the same format. Right now, Azure is structured totally differently. </t>
      </text>
    </comment>
  </commentList>
</comments>
</file>

<file path=xl/sharedStrings.xml><?xml version="1.0" encoding="utf-8"?>
<sst xmlns="http://schemas.openxmlformats.org/spreadsheetml/2006/main" count="990" uniqueCount="309">
  <si>
    <t>Strategic Goal</t>
  </si>
  <si>
    <t>AWS</t>
  </si>
  <si>
    <t>Azure</t>
  </si>
  <si>
    <t>GCP</t>
  </si>
  <si>
    <t>AWS Fit</t>
  </si>
  <si>
    <t>Azure Fit</t>
  </si>
  <si>
    <t>GCP Fit</t>
  </si>
  <si>
    <t>Key Differentiator</t>
  </si>
  <si>
    <t>Uptime</t>
  </si>
  <si>
    <t>Reliability</t>
  </si>
  <si>
    <t>Scalability</t>
  </si>
  <si>
    <t>Security</t>
  </si>
  <si>
    <t>Performance</t>
  </si>
  <si>
    <t>Business Analytics</t>
  </si>
  <si>
    <t>Transparency</t>
  </si>
  <si>
    <t>Cost</t>
  </si>
  <si>
    <t>Sovereignty</t>
  </si>
  <si>
    <t>Sustainability</t>
  </si>
  <si>
    <t>Licensing</t>
  </si>
  <si>
    <t>Velocity</t>
  </si>
  <si>
    <t>Methodology:</t>
  </si>
  <si>
    <t>Value Dial</t>
  </si>
  <si>
    <t>AWS Score</t>
  </si>
  <si>
    <t>Azure Score</t>
  </si>
  <si>
    <t>GCP Score</t>
  </si>
  <si>
    <t>AWS Justification</t>
  </si>
  <si>
    <t>Azure Justification</t>
  </si>
  <si>
    <t>GCP Justification</t>
  </si>
  <si>
    <t>TOTAL</t>
  </si>
  <si>
    <t>UPT-1</t>
  </si>
  <si>
    <t>Moderate Importance</t>
  </si>
  <si>
    <t>UPT-2</t>
  </si>
  <si>
    <t>Low Importance</t>
  </si>
  <si>
    <t>UPT-3</t>
  </si>
  <si>
    <t>Multi-Region Resilience</t>
  </si>
  <si>
    <t>Required RTO/RPO targets. Is active-active multi-region failover mandatory? Automated or manual recovery?</t>
  </si>
  <si>
    <t>Very High Importance</t>
  </si>
  <si>
    <t>UPT-4</t>
  </si>
  <si>
    <t>Planned Maintenance Transparency</t>
  </si>
  <si>
    <t>Required advance notice for maintenance. Is zero-downtime patching mandatory?</t>
  </si>
  <si>
    <t>High Importance</t>
  </si>
  <si>
    <t>UPT-5</t>
  </si>
  <si>
    <t>Dependency Resilience</t>
  </si>
  <si>
    <t>Hyperscaler tolerance for outages in identity, DNS, or control plane services. Must services be independently redundant?</t>
  </si>
  <si>
    <t>REL-1</t>
  </si>
  <si>
    <t>Data Durability</t>
  </si>
  <si>
    <t>Evaluate the providers data durability features, eg: number of copies, replication across regions or availability zones to ensure the integrity of data over time.</t>
  </si>
  <si>
    <t>REL-2</t>
  </si>
  <si>
    <t>Backup and Recovery</t>
  </si>
  <si>
    <t>Measure the providers backup solutions, including frequency, data retention policies, and geographical replication to ensure data integrity and availability in case of failure.</t>
  </si>
  <si>
    <t>REL-3</t>
  </si>
  <si>
    <t>SCL-1</t>
  </si>
  <si>
    <t>SCL-2</t>
  </si>
  <si>
    <t>Very Low Importance</t>
  </si>
  <si>
    <t>SCL-3</t>
  </si>
  <si>
    <t>Data Scale Growth Curve</t>
  </si>
  <si>
    <t>Projected TB/PB growth per year. Archival and tiering requirements.</t>
  </si>
  <si>
    <t>SCL-4</t>
  </si>
  <si>
    <t>SEC-1</t>
  </si>
  <si>
    <t>Regulatory Compliance Alignment</t>
  </si>
  <si>
    <t>Evaluate the providers certifications (ISO 27001, SOC 2, PCI DSS) and regulatory compliance (e.g., GDPR, HIPAA, CCPA) with industry and regional requirements.</t>
  </si>
  <si>
    <t>SEC-2</t>
  </si>
  <si>
    <t>Identity &amp; Access Maturity</t>
  </si>
  <si>
    <t>Enterprise IdP integration. Zero-trust and conditional access requirements.</t>
  </si>
  <si>
    <t>SEC-3</t>
  </si>
  <si>
    <t>SEC-4</t>
  </si>
  <si>
    <t>Threat Detection &amp; SOC Integration</t>
  </si>
  <si>
    <t>Native SIEM/XDR maturity or integration with existing SOC tooling.</t>
  </si>
  <si>
    <t>SEC-5</t>
  </si>
  <si>
    <t>PERF-1</t>
  </si>
  <si>
    <t>Latency Sensitivity</t>
  </si>
  <si>
    <t>Maximum acceptable latency (ms). Requirement for edge locations or local zones.</t>
  </si>
  <si>
    <t>PERF-2</t>
  </si>
  <si>
    <t>PERF-3</t>
  </si>
  <si>
    <t>Storage Throughput</t>
  </si>
  <si>
    <t>Required IOPS and throughput for core databases or analytics platforms.</t>
  </si>
  <si>
    <t>PERF-4</t>
  </si>
  <si>
    <t>Network Backbone Quality</t>
  </si>
  <si>
    <t>Requirement for deterministic private backbone routing vs public internet transit.</t>
  </si>
  <si>
    <t>BA-1</t>
  </si>
  <si>
    <t>BA-2</t>
  </si>
  <si>
    <t>BA-3</t>
  </si>
  <si>
    <t>BA-4</t>
  </si>
  <si>
    <t>TRN-1</t>
  </si>
  <si>
    <t>TRN-2</t>
  </si>
  <si>
    <t>Incident Reporting Detail</t>
  </si>
  <si>
    <t>Required depth of RCA and incident transparency.</t>
  </si>
  <si>
    <t>TRN-3</t>
  </si>
  <si>
    <t>Billing Granularity</t>
  </si>
  <si>
    <t>Near-real-time cost visibility at workload or tag level required?</t>
  </si>
  <si>
    <t>CST-1</t>
  </si>
  <si>
    <t>TCO</t>
  </si>
  <si>
    <t>Evaluate overall TCO, including, infrastructure, storage, licensing, networking, backup, support and hyperscaler credits, over a 3-year period.</t>
  </si>
  <si>
    <t>CST-2</t>
  </si>
  <si>
    <t>Predictability vs Elasticity</t>
  </si>
  <si>
    <t>Preference for reserved/committed pricing vs fully elastic consumption, including spot pricing</t>
  </si>
  <si>
    <t>CST-3</t>
  </si>
  <si>
    <t>Egress Sensitivity</t>
  </si>
  <si>
    <t>Network Traffic Cost comparison:  Hybrid networking, Cross-cloud traffic, Data Egress</t>
  </si>
  <si>
    <t>CST-4</t>
  </si>
  <si>
    <t>Discount Programs</t>
  </si>
  <si>
    <t>Enterprise agreement leverage or committed spend incentives required?</t>
  </si>
  <si>
    <t>CST-5</t>
  </si>
  <si>
    <t>Migration Costs</t>
  </si>
  <si>
    <t>Assess one-time costs for migration, including tools, labor, re-architecting, and incentives offered by providers. (Data Center Exit incentives, Funding Programs.)</t>
  </si>
  <si>
    <t>CST-6</t>
  </si>
  <si>
    <t>FinOps Tooling</t>
  </si>
  <si>
    <t>Native cost optimization tooling sufficient or external integration required?</t>
  </si>
  <si>
    <t>SOV-1</t>
  </si>
  <si>
    <t>Data Residency Requirements</t>
  </si>
  <si>
    <t>Support for Mandated data storage countries or regions.</t>
  </si>
  <si>
    <t>SOV-2</t>
  </si>
  <si>
    <t>Operational Sovereignty</t>
  </si>
  <si>
    <t>SOV-3</t>
  </si>
  <si>
    <t>Business Fit</t>
  </si>
  <si>
    <t>FIT-3</t>
  </si>
  <si>
    <t>3rd Party Integration</t>
  </si>
  <si>
    <t>Does the provider offer native support for application layer tools (eg: CDN, DNS, Certificate Management, Firewall)</t>
  </si>
  <si>
    <t>FIT-5</t>
  </si>
  <si>
    <t>Partner &amp; Talent Availability</t>
  </si>
  <si>
    <t>Local skilled labor and partner ecosystem maturity. (SI Partners, MSPs etc)</t>
  </si>
  <si>
    <t>FIT-6</t>
  </si>
  <si>
    <t>Executive Relationship &amp; Strategic Alignment</t>
  </si>
  <si>
    <t>Does the provider demonstrate executive engagement aligned to the customers 35 year strategy? Is there a named account team and industry specialist coverage?</t>
  </si>
  <si>
    <t>FIT-8</t>
  </si>
  <si>
    <t>Day 0,1,2 Operations</t>
  </si>
  <si>
    <t>FIT-9</t>
  </si>
  <si>
    <t>Target Operating Model</t>
  </si>
  <si>
    <t>Evaluate customer ability to enforce new operating model and reduce shadow IT across each of the hypervisors</t>
  </si>
  <si>
    <t>SUS-1</t>
  </si>
  <si>
    <t>SUS-2</t>
  </si>
  <si>
    <t>LIC-1</t>
  </si>
  <si>
    <t>BYOL Flexibility</t>
  </si>
  <si>
    <t>Ability to port existing enterprise licenses without penalty.</t>
  </si>
  <si>
    <t>LIC-2</t>
  </si>
  <si>
    <t>Hybrid Licensing Benefits</t>
  </si>
  <si>
    <t>Cost advantages for hybrid/on-prem integrated usage. (eg: Oracle Licenses)</t>
  </si>
  <si>
    <t>LIC-3</t>
  </si>
  <si>
    <t>VEL-1</t>
  </si>
  <si>
    <t>DevOps Toolchain Integration</t>
  </si>
  <si>
    <t>Native integration with existing CI/CD and DevOps pipelines.</t>
  </si>
  <si>
    <t>VEL-2</t>
  </si>
  <si>
    <t>Infrastructure as Code Maturity</t>
  </si>
  <si>
    <t>Depth and maturity of native IaC tooling and ecosystem support.</t>
  </si>
  <si>
    <t>VEL-3</t>
  </si>
  <si>
    <t>Managed Service Abstraction</t>
  </si>
  <si>
    <t>Preference for PaaS/serverless over IaaS-heavy models.</t>
  </si>
  <si>
    <t>VEL-4</t>
  </si>
  <si>
    <t>Time-to-Prototype</t>
  </si>
  <si>
    <t>Expected time to deploy MVP workloads (days vs weeks).</t>
  </si>
  <si>
    <t>VEL-5</t>
  </si>
  <si>
    <t>AI Tooling Integration</t>
  </si>
  <si>
    <t>Availability, ease-of-use, and platform-wide-integration Cloud Native AI Development (vibe coding) Tooling</t>
  </si>
  <si>
    <t>FIT-10</t>
  </si>
  <si>
    <t>Database Migration Path</t>
  </si>
  <si>
    <t>Native tooling and managed services for migrating Oracle/SQL Server databases to cloud-native alternatives (e.g., PostgreSQL). Includes schema conversion, data replication, and performance validation.</t>
  </si>
  <si>
    <t>VEL-6</t>
  </si>
  <si>
    <t>Container &amp; Kubernetes Maturity</t>
  </si>
  <si>
    <t>Maturity of managed Kubernetes, serverless containers, and container ecosystem. Includes autoscaling, networking, observability, and operational overhead for container workloads.</t>
  </si>
  <si>
    <t>Priority</t>
  </si>
  <si>
    <t>Multiplier</t>
  </si>
  <si>
    <t>WEIGHTED AVERAGE</t>
  </si>
  <si>
    <t>ABSOLUTE SCORE</t>
  </si>
  <si>
    <t>Max</t>
  </si>
  <si>
    <t>PLACING</t>
  </si>
  <si>
    <t>Customer Priority</t>
  </si>
  <si>
    <t>Each value dial within a strategic goal is scored 1-5 per cloud by the architect team. The strategic goal score is a weighted average of its value dials, using Customer's assigned priority per dial. The overall total weights each strategic goal by its average priority. The Fit Meter shows the result as a percentage of the maximum possible score. Scores are linked to the Selection Criteria sheet.</t>
  </si>
  <si>
    <t xml:space="preserve">How well is Customer positioned to support Day 0/Day 1/Day 2 operations?   </t>
  </si>
  <si>
    <t>[Enter key differentiator analysis for this strategic goal...]</t>
  </si>
  <si>
    <t>[Select Importance]</t>
  </si>
  <si>
    <t>[1-5]</t>
  </si>
  <si>
    <t>[Auto]</t>
  </si>
  <si>
    <t>[Enter AWS assessment: capabilities, strengths, limitations, and scoring rationale...]</t>
  </si>
  <si>
    <t>[Enter Azure assessment: capabilities, strengths, limitations, and scoring rationale...]</t>
  </si>
  <si>
    <t>[Enter GCP assessment: capabilities, strengths, limitations, and scoring rationale...]</t>
  </si>
  <si>
    <t>Scale:</t>
  </si>
  <si>
    <t>LEGEND:</t>
  </si>
  <si>
    <t>TEAL = Input</t>
  </si>
  <si>
    <t>—</t>
  </si>
  <si>
    <t>TEAL = User Input</t>
  </si>
  <si>
    <t>ORANGE = AWS</t>
  </si>
  <si>
    <t>BLUE = Azure</t>
  </si>
  <si>
    <t>GREEN = GCP</t>
  </si>
  <si>
    <t>HYPERSCALER SELECTION TEMPLATE  |  Select scores 1-5 for each criterion</t>
  </si>
  <si>
    <t>SCORING SUMMARY  |  Enter scores 1-5 for each strategic goal</t>
  </si>
  <si>
    <t>HIGH PRIORITY CRITERIA  |  Enter Scores &amp; Justifications  |  Scale: 1=Low to 5=High</t>
  </si>
  <si>
    <t>1 = Low</t>
  </si>
  <si>
    <t>5 = High</t>
  </si>
  <si>
    <t>Replace [bracketed] placeholders</t>
  </si>
  <si>
    <t>FIT % = Score ÷ 5</t>
  </si>
  <si>
    <t>AWS Scores</t>
  </si>
  <si>
    <t>Azure Scores</t>
  </si>
  <si>
    <t>JUSTIFICATIONS (Provider Assessments)</t>
  </si>
  <si>
    <t>📚 LOOKUP REFERENCE TABLE  |  Priority to Multiplier Mapping (Do Not Modify)</t>
  </si>
  <si>
    <t>SELECTION CRITERIA  |  Complete Scoring Template  |  Scale: 1=Low to 5=High</t>
  </si>
  <si>
    <t>Criteria Code</t>
  </si>
  <si>
    <t>Question / Description</t>
  </si>
  <si>
    <t>Importance</t>
  </si>
  <si>
    <t>SLA Commitment</t>
  </si>
  <si>
    <t>Required SLA percentage (e.g., 99.95%, 99.99%). Financial penalty expectations if breached.</t>
  </si>
  <si>
    <t>[Enter AWS assessment...]</t>
  </si>
  <si>
    <t>[Enter Azure assessment...]</t>
  </si>
  <si>
    <t>[Enter GCP assessment...]</t>
  </si>
  <si>
    <t>Historical Availability</t>
  </si>
  <si>
    <t>Review provider's historical uptime and recent outages affecting critical services.</t>
  </si>
  <si>
    <t>Required RTO/RPO targets. Is active-active multi-region failover mandatory?</t>
  </si>
  <si>
    <t>Hyperscaler tolerance for outages in identity, DNS, or control plane services.</t>
  </si>
  <si>
    <t>Evaluate data durability features: number of copies, replication across regions/AZs.</t>
  </si>
  <si>
    <t>Backup solutions including frequency, retention policies, and geo-replication.</t>
  </si>
  <si>
    <t>Fault Isolation</t>
  </si>
  <si>
    <t>Evaluate blast radius containment and fault domain isolation capabilities.</t>
  </si>
  <si>
    <t>Horizontal Scaling</t>
  </si>
  <si>
    <t>Ability to scale out workloads automatically based on demand.</t>
  </si>
  <si>
    <t>Vertical Scaling</t>
  </si>
  <si>
    <t>Ability to scale up resources with minimal disruption.</t>
  </si>
  <si>
    <t>Global Distribution</t>
  </si>
  <si>
    <t>Multi-region deployment and data replication capabilities.</t>
  </si>
  <si>
    <t>Certifications (ISO 27001, SOC 2, PCI DSS) and compliance (GDPR, HIPAA, CCPA).</t>
  </si>
  <si>
    <t>Data Encryption</t>
  </si>
  <si>
    <t>Encryption at rest, in transit, and key management capabilities.</t>
  </si>
  <si>
    <t>Network Security</t>
  </si>
  <si>
    <t>VPC isolation, firewall capabilities, DDoS protection, and private connectivity.</t>
  </si>
  <si>
    <t>Maximum acceptable latency (ms). Requirement for edge locations.</t>
  </si>
  <si>
    <t>Compute Performance</t>
  </si>
  <si>
    <t>CPU, GPU, and specialized hardware availability and performance.</t>
  </si>
  <si>
    <t>Required IOPS and throughput for databases or analytics platforms.</t>
  </si>
  <si>
    <t>Deterministic private backbone routing vs public internet transit.</t>
  </si>
  <si>
    <t>Data Warehouse Capabilities</t>
  </si>
  <si>
    <t>Native data warehouse performance, scalability, and integration.</t>
  </si>
  <si>
    <t>ML/AI Services</t>
  </si>
  <si>
    <t>Machine learning platform maturity and pre-built AI services.</t>
  </si>
  <si>
    <t>BI Tool Integration</t>
  </si>
  <si>
    <t>Integration with Power BI, Tableau, Looker, and other BI tools.</t>
  </si>
  <si>
    <t>Real-time Analytics</t>
  </si>
  <si>
    <t>Streaming analytics and real-time data processing capabilities.</t>
  </si>
  <si>
    <t>Service Health Dashboard</t>
  </si>
  <si>
    <t>Real-time service health visibility and historical incident data.</t>
  </si>
  <si>
    <t>Near-real-time cost visibility at workload or tag level.</t>
  </si>
  <si>
    <t>Pricing Model Flexibility</t>
  </si>
  <si>
    <t>On-demand, reserved, spot/preemptible pricing options.</t>
  </si>
  <si>
    <t>Committed Use Discounts</t>
  </si>
  <si>
    <t>Savings plans, reserved instances, and commitment discounts.</t>
  </si>
  <si>
    <t>Egress Costs</t>
  </si>
  <si>
    <t>Data transfer and egress pricing competitiveness.</t>
  </si>
  <si>
    <t>Cost Management Tools</t>
  </si>
  <si>
    <t>Native cost optimization and FinOps tooling.</t>
  </si>
  <si>
    <t>License Portability</t>
  </si>
  <si>
    <t>BYOL options and existing license utilization.</t>
  </si>
  <si>
    <t>TCO Comparison</t>
  </si>
  <si>
    <t>Total cost of ownership analysis and migration cost considerations.</t>
  </si>
  <si>
    <t>Data Residency Controls</t>
  </si>
  <si>
    <t>Ability to guarantee data stays within specific geographic boundaries.</t>
  </si>
  <si>
    <t>Control over who can access and operate on your data.</t>
  </si>
  <si>
    <t>Regulatory Sovereignty</t>
  </si>
  <si>
    <t>Compliance with local regulations and government requirements.</t>
  </si>
  <si>
    <t>BF-1</t>
  </si>
  <si>
    <t>Industry Expertise</t>
  </si>
  <si>
    <t>Provider experience and solutions for your specific industry.</t>
  </si>
  <si>
    <t>BF-2</t>
  </si>
  <si>
    <t>Partner Ecosystem</t>
  </si>
  <si>
    <t>ISV and SI partner availability and integration options.</t>
  </si>
  <si>
    <t>BF-3</t>
  </si>
  <si>
    <t>Support Quality</t>
  </si>
  <si>
    <t>Enterprise support tiers, SLAs, and escalation paths.</t>
  </si>
  <si>
    <t>BF-4</t>
  </si>
  <si>
    <t>Migration Support</t>
  </si>
  <si>
    <t>Migration tools, services, and funding programs.</t>
  </si>
  <si>
    <t>BF-5</t>
  </si>
  <si>
    <t>Training &amp; Enablement</t>
  </si>
  <si>
    <t>Learning resources, certifications, and workforce enablement.</t>
  </si>
  <si>
    <t>BF-6</t>
  </si>
  <si>
    <t>Account Management</t>
  </si>
  <si>
    <t>Dedicated account team and strategic relationship quality.</t>
  </si>
  <si>
    <t>BF-7</t>
  </si>
  <si>
    <t>Innovation Roadmap</t>
  </si>
  <si>
    <t>Product roadmap alignment with your strategic direction.</t>
  </si>
  <si>
    <t>BF-8</t>
  </si>
  <si>
    <t>Existing Investments</t>
  </si>
  <si>
    <t>Leverage of current licenses, skills, and integrations.</t>
  </si>
  <si>
    <t>BF-9</t>
  </si>
  <si>
    <t>Contractual Flexibility</t>
  </si>
  <si>
    <t>Commercial terms, exit clauses, and negotiation flexibility.</t>
  </si>
  <si>
    <t>Carbon Footprint</t>
  </si>
  <si>
    <t>Carbon neutrality commitments and renewable energy usage.</t>
  </si>
  <si>
    <t>Sustainability Reporting</t>
  </si>
  <si>
    <t>Carbon reporting tools and sustainability dashboards.</t>
  </si>
  <si>
    <t>Microsoft License Integration</t>
  </si>
  <si>
    <t>Azure Hybrid Benefit and Microsoft 365 integration.</t>
  </si>
  <si>
    <t>Third-Party License Support</t>
  </si>
  <si>
    <t>Support for Oracle, SAP, VMware, and other enterprise licenses.</t>
  </si>
  <si>
    <t>Open Source Strategy</t>
  </si>
  <si>
    <t>Support for open-source technologies and avoiding lock-in.</t>
  </si>
  <si>
    <t>LIC-4</t>
  </si>
  <si>
    <t>License Compliance</t>
  </si>
  <si>
    <t>Tools and processes for license compliance and optimization.</t>
  </si>
  <si>
    <t>DevOps Toolchain</t>
  </si>
  <si>
    <t>CI/CD, IaC, and developer productivity tools.</t>
  </si>
  <si>
    <t>API Maturity</t>
  </si>
  <si>
    <t>API coverage, consistency, and SDK quality.</t>
  </si>
  <si>
    <t>Managed Services Breadth</t>
  </si>
  <si>
    <t>Range of PaaS and managed services to accelerate delivery.</t>
  </si>
  <si>
    <t>Deployment Speed</t>
  </si>
  <si>
    <t>Time to provision and deploy new resources.</t>
  </si>
  <si>
    <t>Documentation Quality</t>
  </si>
  <si>
    <t>Quality and completeness of technical documentation.</t>
  </si>
  <si>
    <t>AWS Weighted</t>
  </si>
  <si>
    <t>Azure Weighted</t>
  </si>
  <si>
    <t>GCP Weighted</t>
  </si>
  <si>
    <t>Customer  - Hyperscaler Selection: Strategic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</si>
</sst>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4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b/>
      <sz val="11"/>
      <color rgb="FFFFFFFF"/>
      <name val="Segoe UI Semibold"/>
    </font>
    <font>
      <b/>
      <sz val="10"/>
      <name val="Segoe UI"/>
    </font>
    <font>
      <b/>
      <sz val="10"/>
      <color rgb="FF2F2F2F"/>
      <name val="Segoe UI"/>
    </font>
    <font>
      <b/>
      <sz val="11"/>
      <color rgb="FF1F4E79"/>
      <name val="Segoe UI Semibold"/>
    </font>
    <font>
      <i/>
      <sz val="9"/>
      <color rgb="FF595959"/>
      <name val="Segoe UI"/>
    </font>
    <font>
      <b/>
      <sz val="10"/>
      <color rgb="FFFFFFFF"/>
      <name val="Segoe UI"/>
    </font>
    <font>
      <b/>
      <i/>
      <sz val="10"/>
      <color rgb="FF7B68A0"/>
      <name val="Segoe UI"/>
    </font>
    <font>
      <i/>
      <sz val="10"/>
      <color rgb="FF7B68A0"/>
      <name val="Segoe UI"/>
    </font>
    <font>
      <i/>
      <sz val="9"/>
      <color rgb="FF7B68A0"/>
      <name val="Segoe UI"/>
    </font>
    <font>
      <b/>
      <sz val="12"/>
      <color rgb="FF155724"/>
      <name val="Segoe UI Semibold"/>
    </font>
    <font>
      <b/>
      <i/>
      <sz val="10"/>
      <color rgb="FF4A4A4A"/>
      <name val="Segoe UI"/>
    </font>
    <font>
      <i/>
      <sz val="10"/>
      <color rgb="FF4A4A4A"/>
      <name val="Segoe UI"/>
    </font>
    <font>
      <b/>
      <i/>
      <sz val="10"/>
      <color rgb="FF1F4E79"/>
      <name val="Segoe UI"/>
    </font>
    <font>
      <b/>
      <sz val="11"/>
      <color rgb="FFFFFFFF"/>
      <name val="Segoe UI"/>
    </font>
    <font>
      <b/>
      <sz val="10"/>
      <color theme="1"/>
      <name val="Segoe UI"/>
    </font>
    <font>
      <b/>
      <i/>
      <sz val="10"/>
      <color rgb="FF888888"/>
      <name val="Segoe UI"/>
    </font>
    <font>
      <b/>
      <sz val="12"/>
      <color rgb="FFFFFFFF"/>
      <name val="Segoe UI"/>
    </font>
    <font>
      <b/>
      <sz val="9"/>
      <color rgb="FFFFFFFF"/>
      <name val="Calibri"/>
      <family val="2"/>
      <scheme val="minor"/>
    </font>
    <font>
      <b/>
      <sz val="12"/>
      <color rgb="FFFFFFFF"/>
      <name val="Segoe UI Semibold"/>
    </font>
    <font>
      <sz val="11"/>
      <color rgb="FF212121"/>
      <name val="Calibri"/>
      <family val="2"/>
      <scheme val="minor"/>
    </font>
    <font>
      <b/>
      <sz val="11"/>
      <color rgb="FF212121"/>
      <name val="Segoe UI Semibold"/>
    </font>
    <font>
      <b/>
      <sz val="10"/>
      <color rgb="FF212121"/>
      <name val="Segoe UI"/>
    </font>
    <font>
      <b/>
      <i/>
      <sz val="10"/>
      <color rgb="FF212121"/>
      <name val="Segoe UI"/>
    </font>
    <font>
      <i/>
      <sz val="10"/>
      <color rgb="FF212121"/>
      <name val="Segoe UI"/>
    </font>
    <font>
      <b/>
      <sz val="11"/>
      <color rgb="FFFFFFFF"/>
      <name val="Calibri"/>
      <family val="2"/>
      <scheme val="minor"/>
    </font>
    <font>
      <b/>
      <sz val="11"/>
      <color rgb="FF212121"/>
      <name val="Calibri"/>
      <family val="2"/>
      <scheme val="minor"/>
    </font>
    <font>
      <b/>
      <sz val="9"/>
      <color rgb="FF212121"/>
      <name val="Segoe UI"/>
    </font>
    <font>
      <sz val="9"/>
      <color rgb="FF212121"/>
      <name val="Consolas"/>
    </font>
    <font>
      <sz val="9"/>
      <color rgb="FF212121"/>
      <name val="Segoe UI"/>
    </font>
    <font>
      <b/>
      <i/>
      <sz val="9"/>
      <color rgb="FF212121"/>
      <name val="Segoe UI"/>
    </font>
    <font>
      <i/>
      <sz val="9"/>
      <color rgb="FF212121"/>
      <name val="Segoe UI"/>
    </font>
    <font>
      <sz val="11"/>
      <color rgb="FF006064"/>
      <name val="Calibri"/>
      <family val="2"/>
      <scheme val="minor"/>
    </font>
    <font>
      <b/>
      <sz val="11"/>
      <color rgb="FF006064"/>
      <name val="Calibri"/>
      <family val="2"/>
      <scheme val="minor"/>
    </font>
    <font>
      <sz val="11"/>
      <color rgb="FFE65100"/>
      <name val="Calibri"/>
      <family val="2"/>
      <scheme val="minor"/>
    </font>
    <font>
      <b/>
      <sz val="11"/>
      <color rgb="FFE65100"/>
      <name val="Calibri"/>
      <family val="2"/>
      <scheme val="minor"/>
    </font>
    <font>
      <sz val="11"/>
      <color rgb="FF0078D4"/>
      <name val="Calibri"/>
      <family val="2"/>
      <scheme val="minor"/>
    </font>
    <font>
      <b/>
      <sz val="11"/>
      <color rgb="FF0078D4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i/>
      <sz val="11"/>
      <color rgb="FF006064"/>
      <name val="Segoe UI Semibold"/>
    </font>
    <font>
      <b/>
      <i/>
      <sz val="11"/>
      <color rgb="FFE65100"/>
      <name val="Segoe UI Semibold"/>
    </font>
    <font>
      <b/>
      <i/>
      <sz val="11"/>
      <color rgb="FF0078D4"/>
      <name val="Segoe UI Semibold"/>
    </font>
    <font>
      <b/>
      <i/>
      <sz val="11"/>
      <color rgb="FF2E7D32"/>
      <name val="Segoe UI Semibold"/>
    </font>
    <font>
      <b/>
      <sz val="12"/>
      <color rgb="FFFFFFFF"/>
      <name val="Calibri"/>
      <family val="2"/>
      <scheme val="minor"/>
    </font>
    <font>
      <b/>
      <sz val="9"/>
      <color rgb="FF006064"/>
      <name val="Calibri"/>
      <family val="2"/>
      <scheme val="minor"/>
    </font>
    <font>
      <b/>
      <sz val="9"/>
      <color rgb="FFE65100"/>
      <name val="Calibri"/>
      <family val="2"/>
      <scheme val="minor"/>
    </font>
    <font>
      <b/>
      <sz val="9"/>
      <color rgb="FF0078D4"/>
      <name val="Calibri"/>
      <family val="2"/>
      <scheme val="minor"/>
    </font>
    <font>
      <b/>
      <sz val="9"/>
      <color rgb="FF2E7D3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424242"/>
      <name val="Calibri"/>
      <family val="2"/>
      <scheme val="minor"/>
    </font>
    <font>
      <b/>
      <sz val="9"/>
      <color rgb="FF424242"/>
      <name val="Calibri"/>
      <family val="2"/>
      <scheme val="minor"/>
    </font>
    <font>
      <b/>
      <sz val="11"/>
      <color rgb="FF37474F"/>
      <name val="Calibri"/>
      <family val="2"/>
      <scheme val="minor"/>
    </font>
    <font>
      <b/>
      <sz val="9"/>
      <color rgb="FF37474F"/>
      <name val="Calibri"/>
      <family val="2"/>
      <scheme val="minor"/>
    </font>
    <font>
      <b/>
      <sz val="9"/>
      <color rgb="FFF57C00"/>
      <name val="Calibri"/>
      <family val="2"/>
      <scheme val="minor"/>
    </font>
    <font>
      <b/>
      <i/>
      <sz val="9"/>
      <color rgb="FFF57C00"/>
      <name val="Calibri"/>
      <family val="2"/>
      <scheme val="minor"/>
    </font>
    <font>
      <sz val="10"/>
      <color rgb="FF006064"/>
      <name val="Segoe UI"/>
    </font>
    <font>
      <b/>
      <sz val="10"/>
      <color rgb="FF006064"/>
      <name val="Segoe UI"/>
    </font>
    <font>
      <sz val="10"/>
      <color rgb="FF004D40"/>
      <name val="Segoe UI"/>
    </font>
    <font>
      <b/>
      <sz val="10"/>
      <color rgb="FF004D40"/>
      <name val="Segoe UI"/>
    </font>
    <font>
      <sz val="11"/>
      <color rgb="FF006064"/>
      <name val="Consolas"/>
    </font>
    <font>
      <sz val="9"/>
      <color rgb="FF006064"/>
      <name val="Calibri"/>
      <family val="2"/>
      <scheme val="minor"/>
    </font>
    <font>
      <i/>
      <sz val="9"/>
      <color rgb="FF757575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E8E0F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6D00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80DEEA"/>
        <bgColor indexed="64"/>
      </patternFill>
    </fill>
    <fill>
      <patternFill patternType="solid">
        <fgColor rgb="FF26C6DA"/>
        <bgColor indexed="64"/>
      </patternFill>
    </fill>
    <fill>
      <patternFill patternType="solid">
        <fgColor rgb="FF00ACC1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37474F"/>
        <bgColor indexed="64"/>
      </patternFill>
    </fill>
  </fills>
  <borders count="1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4E79"/>
      </left>
      <right style="thin">
        <color rgb="FFFFFFFF"/>
      </right>
      <top style="medium">
        <color rgb="FF1F4E79"/>
      </top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/>
      <diagonal/>
    </border>
    <border>
      <left style="thin">
        <color rgb="FFFFFFFF"/>
      </left>
      <right style="medium">
        <color rgb="FF1F4E79"/>
      </right>
      <top style="medium">
        <color rgb="FF1F4E79"/>
      </top>
      <bottom/>
      <diagonal/>
    </border>
    <border>
      <left style="thin">
        <color rgb="FFE0E0E0"/>
      </left>
      <right style="thin">
        <color rgb="FFE0E0E0"/>
      </right>
      <top style="medium">
        <color rgb="FF1F4E79"/>
      </top>
      <bottom/>
      <diagonal/>
    </border>
    <border>
      <left style="thin">
        <color rgb="FFE0E0E0"/>
      </left>
      <right style="thin">
        <color rgb="FFD9D9D9"/>
      </right>
      <top style="medium">
        <color rgb="FF1F4E79"/>
      </top>
      <bottom/>
      <diagonal/>
    </border>
    <border>
      <left style="thin">
        <color rgb="FFE0E0E0"/>
      </left>
      <right style="thin">
        <color rgb="FFE0E0E0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D9D9D9"/>
      </top>
      <bottom/>
      <diagonal/>
    </border>
    <border>
      <left style="thin">
        <color rgb="FFE0E0E0"/>
      </left>
      <right style="thin">
        <color rgb="FFD9D9D9"/>
      </right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medium">
        <color rgb="FF2E75B6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2E75B6"/>
      </bottom>
      <diagonal/>
    </border>
    <border>
      <left style="thin">
        <color rgb="FFE8E8E8"/>
      </left>
      <right style="thin">
        <color rgb="FFE8E8E8"/>
      </right>
      <top style="medium">
        <color rgb="FF1F4E79"/>
      </top>
      <bottom style="thin">
        <color rgb="FFD9D9D9"/>
      </bottom>
      <diagonal/>
    </border>
    <border>
      <left style="thin">
        <color rgb="FFE8E8E8"/>
      </left>
      <right style="thin">
        <color rgb="FFE8E8E8"/>
      </right>
      <top style="medium">
        <color rgb="FF1F4E79"/>
      </top>
      <bottom/>
      <diagonal/>
    </border>
    <border>
      <left style="thin">
        <color rgb="FFE8E8E8"/>
      </left>
      <right style="thin">
        <color rgb="FFE8E8E8"/>
      </right>
      <top style="thin">
        <color rgb="FFD9D9D9"/>
      </top>
      <bottom style="thin">
        <color rgb="FFD9D9D9"/>
      </bottom>
      <diagonal/>
    </border>
    <border>
      <left style="thin">
        <color rgb="FFE8E8E8"/>
      </left>
      <right style="thin">
        <color rgb="FFE8E8E8"/>
      </right>
      <top style="thin">
        <color rgb="FFD9D9D9"/>
      </top>
      <bottom/>
      <diagonal/>
    </border>
    <border>
      <left style="medium">
        <color rgb="FF1F4E79"/>
      </left>
      <right style="thin">
        <color rgb="FFE8E8E8"/>
      </right>
      <top style="medium">
        <color rgb="FF1F4E79"/>
      </top>
      <bottom/>
      <diagonal/>
    </border>
    <border>
      <left style="medium">
        <color rgb="FF1F4E79"/>
      </left>
      <right style="thin">
        <color rgb="FFE8E8E8"/>
      </right>
      <top style="thin">
        <color rgb="FFD9D9D9"/>
      </top>
      <bottom/>
      <diagonal/>
    </border>
    <border>
      <left style="medium">
        <color rgb="FF1F4E79"/>
      </left>
      <right style="thin">
        <color rgb="FFE8E8E8"/>
      </right>
      <top style="thin">
        <color rgb="FFD9D9D9"/>
      </top>
      <bottom style="thin">
        <color rgb="FFD9D9D9"/>
      </bottom>
      <diagonal/>
    </border>
    <border>
      <left style="thin">
        <color rgb="FFE8E8E8"/>
      </left>
      <right style="medium">
        <color rgb="FF1F4E79"/>
      </right>
      <top style="medium">
        <color rgb="FF1F4E79"/>
      </top>
      <bottom/>
      <diagonal/>
    </border>
    <border>
      <left style="thin">
        <color rgb="FFE8E8E8"/>
      </left>
      <right style="medium">
        <color rgb="FF1F4E79"/>
      </right>
      <top style="thin">
        <color rgb="FFD9D9D9"/>
      </top>
      <bottom/>
      <diagonal/>
    </border>
    <border>
      <left style="thin">
        <color rgb="FFE8E8E8"/>
      </left>
      <right style="medium">
        <color rgb="FF1F4E79"/>
      </right>
      <top style="thin">
        <color rgb="FFD9D9D9"/>
      </top>
      <bottom style="thin">
        <color rgb="FFD9D9D9"/>
      </bottom>
      <diagonal/>
    </border>
    <border>
      <left style="medium">
        <color rgb="FF1F4E79"/>
      </left>
      <right style="thin">
        <color rgb="FFE8E8E8"/>
      </right>
      <top style="thin">
        <color rgb="FFD9D9D9"/>
      </top>
      <bottom style="medium">
        <color rgb="FF1F4E79"/>
      </bottom>
      <diagonal/>
    </border>
    <border>
      <left style="thin">
        <color rgb="FFE8E8E8"/>
      </left>
      <right style="thin">
        <color rgb="FFE8E8E8"/>
      </right>
      <top style="thin">
        <color rgb="FFD9D9D9"/>
      </top>
      <bottom style="medium">
        <color rgb="FF1F4E79"/>
      </bottom>
      <diagonal/>
    </border>
    <border>
      <left style="thin">
        <color rgb="FFE8E8E8"/>
      </left>
      <right style="medium">
        <color rgb="FF1F4E79"/>
      </right>
      <top style="thin">
        <color rgb="FFD9D9D9"/>
      </top>
      <bottom style="medium">
        <color rgb="FF1F4E79"/>
      </bottom>
      <diagonal/>
    </border>
    <border>
      <left style="medium">
        <color rgb="FF1F4E79"/>
      </left>
      <right style="thin">
        <color rgb="FFE8E8E8"/>
      </right>
      <top style="medium">
        <color rgb="FF1F4E79"/>
      </top>
      <bottom style="thin">
        <color rgb="FFD9D9D9"/>
      </bottom>
      <diagonal/>
    </border>
    <border>
      <left style="thin">
        <color rgb="FFE8E8E8"/>
      </left>
      <right style="medium">
        <color rgb="FF1F4E79"/>
      </right>
      <top style="medium">
        <color rgb="FF1F4E79"/>
      </top>
      <bottom style="thin">
        <color rgb="FFD9D9D9"/>
      </bottom>
      <diagonal/>
    </border>
    <border>
      <left style="thin">
        <color rgb="FFE8E8E8"/>
      </left>
      <right/>
      <top style="medium">
        <color rgb="FF1F4E79"/>
      </top>
      <bottom style="thin">
        <color rgb="FFD9D9D9"/>
      </bottom>
      <diagonal/>
    </border>
    <border>
      <left style="thin">
        <color rgb="FFE8E8E8"/>
      </left>
      <right/>
      <top style="thin">
        <color rgb="FFD9D9D9"/>
      </top>
      <bottom style="thin">
        <color rgb="FFD9D9D9"/>
      </bottom>
      <diagonal/>
    </border>
    <border>
      <left style="thin">
        <color rgb="FFE8E8E8"/>
      </left>
      <right/>
      <top style="thin">
        <color rgb="FFD9D9D9"/>
      </top>
      <bottom style="medium">
        <color rgb="FF1F4E79"/>
      </bottom>
      <diagonal/>
    </border>
    <border>
      <left/>
      <right style="thin">
        <color rgb="FFE8E8E8"/>
      </right>
      <top style="medium">
        <color rgb="FF1F4E79"/>
      </top>
      <bottom style="thin">
        <color rgb="FFD9D9D9"/>
      </bottom>
      <diagonal/>
    </border>
    <border>
      <left/>
      <right style="thin">
        <color rgb="FFE8E8E8"/>
      </right>
      <top style="thin">
        <color rgb="FFD9D9D9"/>
      </top>
      <bottom style="thin">
        <color rgb="FFD9D9D9"/>
      </bottom>
      <diagonal/>
    </border>
    <border>
      <left/>
      <right style="thin">
        <color rgb="FFE8E8E8"/>
      </right>
      <top style="thin">
        <color rgb="FFD9D9D9"/>
      </top>
      <bottom style="medium">
        <color rgb="FF1F4E79"/>
      </bottom>
      <diagonal/>
    </border>
    <border>
      <left/>
      <right style="thin">
        <color rgb="FFE8E8E8"/>
      </right>
      <top/>
      <bottom/>
      <diagonal/>
    </border>
    <border>
      <left style="thin">
        <color rgb="FFE8E8E8"/>
      </left>
      <right style="medium">
        <color rgb="FF2E75B6"/>
      </right>
      <top style="medium">
        <color rgb="FF1F4E79"/>
      </top>
      <bottom style="thin">
        <color rgb="FFD9D9D9"/>
      </bottom>
      <diagonal/>
    </border>
    <border>
      <left style="thin">
        <color rgb="FFE8E8E8"/>
      </left>
      <right style="medium">
        <color rgb="FF2E75B6"/>
      </right>
      <top style="thin">
        <color rgb="FFD9D9D9"/>
      </top>
      <bottom style="thin">
        <color rgb="FFD9D9D9"/>
      </bottom>
      <diagonal/>
    </border>
    <border>
      <left style="thin">
        <color rgb="FFE8E8E8"/>
      </left>
      <right style="medium">
        <color rgb="FF2E75B6"/>
      </right>
      <top style="thin">
        <color rgb="FFD9D9D9"/>
      </top>
      <bottom style="medium">
        <color rgb="FF1F4E79"/>
      </bottom>
      <diagonal/>
    </border>
    <border>
      <left style="medium">
        <color rgb="FF1F4E79"/>
      </left>
      <right style="thin">
        <color rgb="FFE8E8E8"/>
      </right>
      <top/>
      <bottom style="thin">
        <color rgb="FFD9D9D9"/>
      </bottom>
      <diagonal/>
    </border>
    <border>
      <left style="thin">
        <color rgb="FFE8E8E8"/>
      </left>
      <right style="thin">
        <color rgb="FFE8E8E8"/>
      </right>
      <top/>
      <bottom style="thin">
        <color rgb="FFD9D9D9"/>
      </bottom>
      <diagonal/>
    </border>
    <border>
      <left style="thin">
        <color rgb="FFE8E8E8"/>
      </left>
      <right/>
      <top/>
      <bottom style="thin">
        <color rgb="FFD9D9D9"/>
      </bottom>
      <diagonal/>
    </border>
    <border>
      <left style="thin">
        <color rgb="FFE8E8E8"/>
      </left>
      <right style="medium">
        <color rgb="FF2E75B6"/>
      </right>
      <top/>
      <bottom style="thin">
        <color rgb="FFD9D9D9"/>
      </bottom>
      <diagonal/>
    </border>
    <border>
      <left/>
      <right style="thin">
        <color rgb="FFE8E8E8"/>
      </right>
      <top/>
      <bottom style="thin">
        <color rgb="FFD9D9D9"/>
      </bottom>
      <diagonal/>
    </border>
    <border>
      <left style="thin">
        <color rgb="FFE8E8E8"/>
      </left>
      <right style="medium">
        <color rgb="FF1F4E79"/>
      </right>
      <top/>
      <bottom style="thin">
        <color rgb="FFD9D9D9"/>
      </bottom>
      <diagonal/>
    </border>
    <border>
      <left style="thin">
        <color rgb="FFE8E8E8"/>
      </left>
      <right/>
      <top style="thin">
        <color rgb="FFD9D9D9"/>
      </top>
      <bottom/>
      <diagonal/>
    </border>
    <border>
      <left style="thin">
        <color rgb="FFE8E8E8"/>
      </left>
      <right style="medium">
        <color rgb="FF2E75B6"/>
      </right>
      <top style="thin">
        <color rgb="FFD9D9D9"/>
      </top>
      <bottom/>
      <diagonal/>
    </border>
    <border>
      <left/>
      <right style="thin">
        <color rgb="FFE8E8E8"/>
      </right>
      <top style="thin">
        <color rgb="FFD9D9D9"/>
      </top>
      <bottom/>
      <diagonal/>
    </border>
    <border>
      <left style="thin">
        <color rgb="FFE8E8E8"/>
      </left>
      <right/>
      <top style="medium">
        <color rgb="FF1F4E79"/>
      </top>
      <bottom/>
      <diagonal/>
    </border>
    <border>
      <left style="thin">
        <color rgb="FFE8E8E8"/>
      </left>
      <right style="medium">
        <color rgb="FF2E75B6"/>
      </right>
      <top style="medium">
        <color rgb="FF1F4E79"/>
      </top>
      <bottom/>
      <diagonal/>
    </border>
    <border>
      <left/>
      <right style="thin">
        <color rgb="FFE8E8E8"/>
      </right>
      <top style="medium">
        <color rgb="FF1F4E79"/>
      </top>
      <bottom/>
      <diagonal/>
    </border>
    <border>
      <left style="medium">
        <color rgb="FF1F4E79"/>
      </left>
      <right style="thin">
        <color rgb="FFE8E8E8"/>
      </right>
      <top/>
      <bottom/>
      <diagonal/>
    </border>
    <border>
      <left style="thin">
        <color rgb="FFE8E8E8"/>
      </left>
      <right style="thin">
        <color rgb="FFE8E8E8"/>
      </right>
      <top/>
      <bottom/>
      <diagonal/>
    </border>
    <border>
      <left style="thin">
        <color rgb="FFE8E8E8"/>
      </left>
      <right/>
      <top/>
      <bottom/>
      <diagonal/>
    </border>
    <border>
      <left style="thin">
        <color rgb="FFE8E8E8"/>
      </left>
      <right style="medium">
        <color rgb="FF2E75B6"/>
      </right>
      <top/>
      <bottom/>
      <diagonal/>
    </border>
    <border>
      <left style="thin">
        <color rgb="FFE8E8E8"/>
      </left>
      <right style="medium">
        <color rgb="FF1F4E79"/>
      </right>
      <top/>
      <bottom/>
      <diagonal/>
    </border>
    <border>
      <left style="thin">
        <color rgb="FFD9D9D9"/>
      </left>
      <right/>
      <top style="medium">
        <color rgb="FF1F4E7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E0E0E0"/>
      </right>
      <top style="medium">
        <color rgb="FF1F4E79"/>
      </top>
      <bottom/>
      <diagonal/>
    </border>
    <border>
      <left/>
      <right style="thin">
        <color rgb="FFE0E0E0"/>
      </right>
      <top style="thin">
        <color rgb="FFD9D9D9"/>
      </top>
      <bottom/>
      <diagonal/>
    </border>
    <border>
      <left/>
      <right style="thin">
        <color rgb="FFE0E0E0"/>
      </right>
      <top style="thin">
        <color rgb="FFD9D9D9"/>
      </top>
      <bottom style="thin">
        <color rgb="FFD9D9D9"/>
      </bottom>
      <diagonal/>
    </border>
    <border>
      <left style="medium">
        <color rgb="FF00838F"/>
      </left>
      <right style="medium">
        <color rgb="FF00838F"/>
      </right>
      <top style="medium">
        <color rgb="FF1F4E79"/>
      </top>
      <bottom/>
      <diagonal/>
    </border>
    <border>
      <left style="medium">
        <color rgb="FF00838F"/>
      </left>
      <right style="medium">
        <color rgb="FF00838F"/>
      </right>
      <top style="thin">
        <color rgb="FFD9D9D9"/>
      </top>
      <bottom/>
      <diagonal/>
    </border>
    <border>
      <left style="medium">
        <color rgb="FF00838F"/>
      </left>
      <right style="medium">
        <color rgb="FF00838F"/>
      </right>
      <top style="thin">
        <color rgb="FFD9D9D9"/>
      </top>
      <bottom style="thin">
        <color rgb="FFD9D9D9"/>
      </bottom>
      <diagonal/>
    </border>
    <border>
      <left style="medium">
        <color rgb="FF00838F"/>
      </left>
      <right/>
      <top style="thin">
        <color rgb="FF00838F"/>
      </top>
      <bottom/>
      <diagonal/>
    </border>
    <border>
      <left style="medium">
        <color rgb="FF00838F"/>
      </left>
      <right/>
      <top style="thin">
        <color rgb="FFD9D9D9"/>
      </top>
      <bottom/>
      <diagonal/>
    </border>
    <border>
      <left style="medium">
        <color rgb="FF00838F"/>
      </left>
      <right/>
      <top style="thin">
        <color rgb="FFD9D9D9"/>
      </top>
      <bottom style="thin">
        <color rgb="FF00838F"/>
      </bottom>
      <diagonal/>
    </border>
    <border>
      <left style="medium">
        <color rgb="FF00838F"/>
      </left>
      <right/>
      <top style="medium">
        <color rgb="FF1F4E79"/>
      </top>
      <bottom/>
      <diagonal/>
    </border>
    <border>
      <left style="medium">
        <color rgb="FF00838F"/>
      </left>
      <right/>
      <top style="thin">
        <color rgb="FFD9D9D9"/>
      </top>
      <bottom style="thin">
        <color rgb="FFD9D9D9"/>
      </bottom>
      <diagonal/>
    </border>
    <border>
      <left style="thin">
        <color rgb="FF0078D4"/>
      </left>
      <right/>
      <top style="medium">
        <color rgb="FF1F4E79"/>
      </top>
      <bottom/>
      <diagonal/>
    </border>
    <border>
      <left style="thin">
        <color rgb="FF0078D4"/>
      </left>
      <right/>
      <top style="thin">
        <color rgb="FFD9D9D9"/>
      </top>
      <bottom/>
      <diagonal/>
    </border>
    <border>
      <left style="thin">
        <color rgb="FF0078D4"/>
      </left>
      <right/>
      <top style="thin">
        <color rgb="FFD9D9D9"/>
      </top>
      <bottom style="thin">
        <color rgb="FFD9D9D9"/>
      </bottom>
      <diagonal/>
    </border>
    <border>
      <left style="thin">
        <color rgb="FF2E7D32"/>
      </left>
      <right style="medium">
        <color rgb="FF2E7D32"/>
      </right>
      <top style="medium">
        <color rgb="FF1F4E79"/>
      </top>
      <bottom/>
      <diagonal/>
    </border>
    <border>
      <left style="thin">
        <color rgb="FF2E7D32"/>
      </left>
      <right style="medium">
        <color rgb="FF2E7D32"/>
      </right>
      <top style="thin">
        <color rgb="FFD9D9D9"/>
      </top>
      <bottom/>
      <diagonal/>
    </border>
    <border>
      <left style="thin">
        <color rgb="FF2E7D32"/>
      </left>
      <right style="medium">
        <color rgb="FF2E7D32"/>
      </right>
      <top style="thin">
        <color rgb="FFD9D9D9"/>
      </top>
      <bottom style="thin">
        <color rgb="FFD9D9D9"/>
      </bottom>
      <diagonal/>
    </border>
    <border>
      <left style="medium">
        <color rgb="FF006064"/>
      </left>
      <right style="thin">
        <color rgb="FF80CBC4"/>
      </right>
      <top/>
      <bottom style="medium">
        <color rgb="FF006064"/>
      </bottom>
      <diagonal/>
    </border>
    <border>
      <left style="thin">
        <color rgb="FF80CBC4"/>
      </left>
      <right style="medium">
        <color rgb="FF006064"/>
      </right>
      <top/>
      <bottom style="medium">
        <color rgb="FF006064"/>
      </bottom>
      <diagonal/>
    </border>
    <border>
      <left/>
      <right/>
      <top/>
      <bottom style="thin">
        <color rgb="FF006064"/>
      </bottom>
      <diagonal/>
    </border>
    <border>
      <left style="thin">
        <color rgb="FF006064"/>
      </left>
      <right style="thin">
        <color rgb="FF80DEEA"/>
      </right>
      <top style="thin">
        <color rgb="FF80DEEA"/>
      </top>
      <bottom style="thin">
        <color rgb="FF80DEEA"/>
      </bottom>
      <diagonal/>
    </border>
    <border>
      <left style="thin">
        <color rgb="FF80DEEA"/>
      </left>
      <right style="thin">
        <color rgb="FF80DEEA"/>
      </right>
      <top style="thin">
        <color rgb="FF80DEEA"/>
      </top>
      <bottom style="thin">
        <color rgb="FF80DEEA"/>
      </bottom>
      <diagonal/>
    </border>
    <border>
      <left style="thin">
        <color rgb="FF80DEEA"/>
      </left>
      <right style="thin">
        <color rgb="FF006064"/>
      </right>
      <top style="thin">
        <color rgb="FF80DEEA"/>
      </top>
      <bottom style="thin">
        <color rgb="FF80DEEA"/>
      </bottom>
      <diagonal/>
    </border>
    <border>
      <left style="thin">
        <color rgb="FF006064"/>
      </left>
      <right style="thin">
        <color rgb="FF80DEEA"/>
      </right>
      <top style="thin">
        <color rgb="FF80DEEA"/>
      </top>
      <bottom style="thin">
        <color rgb="FF006064"/>
      </bottom>
      <diagonal/>
    </border>
    <border>
      <left style="thin">
        <color rgb="FF80DEEA"/>
      </left>
      <right style="thin">
        <color rgb="FF80DEEA"/>
      </right>
      <top style="thin">
        <color rgb="FF80DEEA"/>
      </top>
      <bottom style="thin">
        <color rgb="FF006064"/>
      </bottom>
      <diagonal/>
    </border>
    <border>
      <left style="thin">
        <color rgb="FF80DEEA"/>
      </left>
      <right style="thin">
        <color rgb="FF006064"/>
      </right>
      <top style="thin">
        <color rgb="FF80DEEA"/>
      </top>
      <bottom style="thin">
        <color rgb="FF006064"/>
      </bottom>
      <diagonal/>
    </border>
    <border>
      <left style="thin">
        <color rgb="FF006064"/>
      </left>
      <right/>
      <top/>
      <bottom/>
      <diagonal/>
    </border>
    <border>
      <left style="medium">
        <color rgb="FF1F4E79"/>
      </left>
      <right/>
      <top style="medium">
        <color rgb="FF006064"/>
      </top>
      <bottom style="medium">
        <color rgb="FF006064"/>
      </bottom>
      <diagonal/>
    </border>
    <border>
      <left/>
      <right/>
      <top style="medium">
        <color rgb="FF006064"/>
      </top>
      <bottom style="medium">
        <color rgb="FF006064"/>
      </bottom>
      <diagonal/>
    </border>
    <border>
      <left/>
      <right style="medium">
        <color rgb="FF2E75B6"/>
      </right>
      <top style="medium">
        <color rgb="FF006064"/>
      </top>
      <bottom style="medium">
        <color rgb="FF006064"/>
      </bottom>
      <diagonal/>
    </border>
    <border>
      <left/>
      <right style="medium">
        <color auto="1"/>
      </right>
      <top style="medium">
        <color rgb="FF006064"/>
      </top>
      <bottom style="medium">
        <color rgb="FF006064"/>
      </bottom>
      <diagonal/>
    </border>
    <border>
      <left style="medium">
        <color auto="1"/>
      </left>
      <right/>
      <top style="medium">
        <color rgb="FF006064"/>
      </top>
      <bottom style="medium">
        <color rgb="FF006064"/>
      </bottom>
      <diagonal/>
    </border>
    <border>
      <left style="medium">
        <color auto="1"/>
      </left>
      <right style="medium">
        <color auto="1"/>
      </right>
      <top style="medium">
        <color rgb="FF006064"/>
      </top>
      <bottom style="medium">
        <color rgb="FF006064"/>
      </bottom>
      <diagonal/>
    </border>
    <border>
      <left style="medium">
        <color auto="1"/>
      </left>
      <right style="medium">
        <color rgb="FF1F4E79"/>
      </right>
      <top style="medium">
        <color rgb="FF006064"/>
      </top>
      <bottom style="medium">
        <color rgb="FF006064"/>
      </bottom>
      <diagonal/>
    </border>
    <border>
      <left style="medium">
        <color rgb="FF1F4E79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rgb="FF1F4E79"/>
      </right>
      <top/>
      <bottom/>
      <diagonal/>
    </border>
    <border>
      <left/>
      <right/>
      <top style="medium">
        <color rgb="FF0D3050"/>
      </top>
      <bottom style="medium">
        <color rgb="FF006064"/>
      </bottom>
      <diagonal/>
    </border>
    <border>
      <left/>
      <right/>
      <top style="medium">
        <color rgb="FFB8DAFF"/>
      </top>
      <bottom style="medium">
        <color rgb="FF006064"/>
      </bottom>
      <diagonal/>
    </border>
    <border>
      <left style="medium">
        <color rgb="FF006064"/>
      </left>
      <right style="thin">
        <color rgb="FFB0BEC5"/>
      </right>
      <top style="medium">
        <color rgb="FF006064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rgb="FF006064"/>
      </top>
      <bottom style="thin">
        <color rgb="FFB0BEC5"/>
      </bottom>
      <diagonal/>
    </border>
    <border>
      <left style="thin">
        <color rgb="FFB0BEC5"/>
      </left>
      <right style="medium">
        <color rgb="FF006064"/>
      </right>
      <top style="medium">
        <color rgb="FF006064"/>
      </top>
      <bottom style="thin">
        <color rgb="FFB0BEC5"/>
      </bottom>
      <diagonal/>
    </border>
    <border>
      <left style="medium">
        <color rgb="FF006064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rgb="FF006064"/>
      </right>
      <top style="thin">
        <color rgb="FFB0BEC5"/>
      </top>
      <bottom style="thin">
        <color rgb="FFB0BEC5"/>
      </bottom>
      <diagonal/>
    </border>
    <border>
      <left style="medium">
        <color rgb="FF006064"/>
      </left>
      <right style="thin">
        <color rgb="FFB0BEC5"/>
      </right>
      <top style="thin">
        <color rgb="FFB0BEC5"/>
      </top>
      <bottom style="medium">
        <color rgb="FF006064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006064"/>
      </bottom>
      <diagonal/>
    </border>
    <border>
      <left style="thin">
        <color rgb="FFB0BEC5"/>
      </left>
      <right style="medium">
        <color rgb="FF006064"/>
      </right>
      <top style="thin">
        <color rgb="FFB0BEC5"/>
      </top>
      <bottom style="medium">
        <color rgb="FF006064"/>
      </bottom>
      <diagonal/>
    </border>
    <border>
      <left style="medium">
        <color rgb="FF006064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medium">
        <color rgb="FF006064"/>
      </right>
      <top style="thin">
        <color rgb="FFB0BEC5"/>
      </top>
      <bottom/>
      <diagonal/>
    </border>
    <border>
      <left style="medium">
        <color rgb="FF006064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medium">
        <color rgb="FF006064"/>
      </right>
      <top/>
      <bottom style="thin">
        <color rgb="FFB0BEC5"/>
      </bottom>
      <diagonal/>
    </border>
    <border>
      <left style="medium">
        <color rgb="FF006064"/>
      </left>
      <right style="thin">
        <color rgb="FFB0BEC5"/>
      </right>
      <top/>
      <bottom/>
      <diagonal/>
    </border>
    <border>
      <left style="thin">
        <color rgb="FFB0BEC5"/>
      </left>
      <right style="thin">
        <color rgb="FFB0BEC5"/>
      </right>
      <top/>
      <bottom/>
      <diagonal/>
    </border>
    <border>
      <left style="thin">
        <color rgb="FFB0BEC5"/>
      </left>
      <right style="medium">
        <color rgb="FF006064"/>
      </right>
      <top/>
      <bottom/>
      <diagonal/>
    </border>
  </borders>
  <cellStyleXfs count="1">
    <xf numFmtId="0" fontId="0" fillId="0" borderId="0"/>
  </cellStyleXfs>
  <cellXfs count="411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1" xfId="0" applyFill="1" applyBorder="1"/>
    <xf numFmtId="0" fontId="0" fillId="6" borderId="12" xfId="0" applyFill="1" applyBorder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11" fillId="9" borderId="0" xfId="0" applyFont="1" applyFill="1" applyAlignment="1">
      <alignment horizontal="center" vertical="center"/>
    </xf>
    <xf numFmtId="0" fontId="7" fillId="2" borderId="11" xfId="0" applyFont="1" applyFill="1" applyBorder="1"/>
    <xf numFmtId="0" fontId="7" fillId="2" borderId="1" xfId="0" applyFont="1" applyFill="1" applyBorder="1"/>
    <xf numFmtId="0" fontId="7" fillId="2" borderId="12" xfId="0" applyFont="1" applyFill="1" applyBorder="1"/>
    <xf numFmtId="0" fontId="4" fillId="4" borderId="55" xfId="0" applyFont="1" applyFill="1" applyBorder="1" applyAlignment="1">
      <alignment horizontal="left" vertical="center" indent="1"/>
    </xf>
    <xf numFmtId="0" fontId="4" fillId="5" borderId="56" xfId="0" applyFont="1" applyFill="1" applyBorder="1" applyAlignment="1">
      <alignment horizontal="left" vertical="center" indent="1"/>
    </xf>
    <xf numFmtId="0" fontId="4" fillId="4" borderId="56" xfId="0" applyFont="1" applyFill="1" applyBorder="1" applyAlignment="1">
      <alignment horizontal="left" vertical="center" indent="1"/>
    </xf>
    <xf numFmtId="0" fontId="4" fillId="4" borderId="57" xfId="0" applyFont="1" applyFill="1" applyBorder="1" applyAlignment="1">
      <alignment horizontal="left" vertical="center" indent="1"/>
    </xf>
    <xf numFmtId="9" fontId="14" fillId="22" borderId="58" xfId="0" applyNumberFormat="1" applyFont="1" applyFill="1" applyBorder="1" applyAlignment="1">
      <alignment horizontal="center" vertical="center"/>
    </xf>
    <xf numFmtId="9" fontId="14" fillId="22" borderId="59" xfId="0" applyNumberFormat="1" applyFont="1" applyFill="1" applyBorder="1" applyAlignment="1">
      <alignment horizontal="center" vertical="center"/>
    </xf>
    <xf numFmtId="9" fontId="14" fillId="22" borderId="60" xfId="0" applyNumberFormat="1" applyFont="1" applyFill="1" applyBorder="1" applyAlignment="1">
      <alignment horizontal="center" vertical="center"/>
    </xf>
    <xf numFmtId="9" fontId="14" fillId="23" borderId="5" xfId="0" applyNumberFormat="1" applyFont="1" applyFill="1" applyBorder="1" applyAlignment="1">
      <alignment horizontal="center" vertical="center"/>
    </xf>
    <xf numFmtId="9" fontId="14" fillId="23" borderId="9" xfId="0" applyNumberFormat="1" applyFont="1" applyFill="1" applyBorder="1" applyAlignment="1">
      <alignment horizontal="center" vertical="center"/>
    </xf>
    <xf numFmtId="9" fontId="14" fillId="23" borderId="7" xfId="0" applyNumberFormat="1" applyFont="1" applyFill="1" applyBorder="1" applyAlignment="1">
      <alignment horizontal="center" vertical="center"/>
    </xf>
    <xf numFmtId="9" fontId="14" fillId="24" borderId="6" xfId="0" applyNumberFormat="1" applyFont="1" applyFill="1" applyBorder="1" applyAlignment="1">
      <alignment horizontal="center" vertical="center"/>
    </xf>
    <xf numFmtId="9" fontId="14" fillId="24" borderId="10" xfId="0" applyNumberFormat="1" applyFont="1" applyFill="1" applyBorder="1" applyAlignment="1">
      <alignment horizontal="center" vertical="center"/>
    </xf>
    <xf numFmtId="9" fontId="14" fillId="24" borderId="8" xfId="0" applyNumberFormat="1" applyFont="1" applyFill="1" applyBorder="1" applyAlignment="1">
      <alignment horizontal="center" vertical="center"/>
    </xf>
    <xf numFmtId="0" fontId="16" fillId="25" borderId="11" xfId="0" applyFont="1" applyFill="1" applyBorder="1"/>
    <xf numFmtId="0" fontId="16" fillId="25" borderId="1" xfId="0" applyFont="1" applyFill="1" applyBorder="1"/>
    <xf numFmtId="0" fontId="16" fillId="25" borderId="12" xfId="0" applyFont="1" applyFill="1" applyBorder="1"/>
    <xf numFmtId="2" fontId="17" fillId="26" borderId="11" xfId="0" applyNumberFormat="1" applyFont="1" applyFill="1" applyBorder="1" applyAlignment="1">
      <alignment horizontal="center"/>
    </xf>
    <xf numFmtId="164" fontId="17" fillId="26" borderId="1" xfId="0" applyNumberFormat="1" applyFont="1" applyFill="1" applyBorder="1" applyAlignment="1">
      <alignment horizontal="center"/>
    </xf>
    <xf numFmtId="164" fontId="3" fillId="26" borderId="12" xfId="0" applyNumberFormat="1" applyFont="1" applyFill="1" applyBorder="1" applyAlignment="1">
      <alignment horizontal="center"/>
    </xf>
    <xf numFmtId="2" fontId="17" fillId="27" borderId="11" xfId="0" applyNumberFormat="1" applyFont="1" applyFill="1" applyBorder="1" applyAlignment="1">
      <alignment horizontal="center"/>
    </xf>
    <xf numFmtId="164" fontId="17" fillId="27" borderId="1" xfId="0" applyNumberFormat="1" applyFont="1" applyFill="1" applyBorder="1" applyAlignment="1">
      <alignment horizontal="center"/>
    </xf>
    <xf numFmtId="164" fontId="3" fillId="27" borderId="12" xfId="0" applyNumberFormat="1" applyFont="1" applyFill="1" applyBorder="1" applyAlignment="1">
      <alignment horizontal="center"/>
    </xf>
    <xf numFmtId="2" fontId="17" fillId="28" borderId="11" xfId="0" applyNumberFormat="1" applyFont="1" applyFill="1" applyBorder="1" applyAlignment="1">
      <alignment horizontal="center"/>
    </xf>
    <xf numFmtId="164" fontId="17" fillId="28" borderId="1" xfId="0" applyNumberFormat="1" applyFont="1" applyFill="1" applyBorder="1" applyAlignment="1">
      <alignment horizontal="center"/>
    </xf>
    <xf numFmtId="164" fontId="3" fillId="28" borderId="12" xfId="0" applyNumberFormat="1" applyFont="1" applyFill="1" applyBorder="1" applyAlignment="1">
      <alignment horizontal="center"/>
    </xf>
    <xf numFmtId="9" fontId="14" fillId="26" borderId="11" xfId="0" applyNumberFormat="1" applyFont="1" applyFill="1" applyBorder="1" applyAlignment="1">
      <alignment horizontal="center"/>
    </xf>
    <xf numFmtId="9" fontId="14" fillId="26" borderId="1" xfId="0" applyNumberFormat="1" applyFont="1" applyFill="1" applyBorder="1" applyAlignment="1">
      <alignment horizontal="center"/>
    </xf>
    <xf numFmtId="1" fontId="17" fillId="26" borderId="12" xfId="0" applyNumberFormat="1" applyFont="1" applyFill="1" applyBorder="1" applyAlignment="1">
      <alignment horizontal="center"/>
    </xf>
    <xf numFmtId="9" fontId="14" fillId="27" borderId="11" xfId="0" applyNumberFormat="1" applyFont="1" applyFill="1" applyBorder="1" applyAlignment="1">
      <alignment horizontal="center"/>
    </xf>
    <xf numFmtId="9" fontId="14" fillId="27" borderId="1" xfId="0" applyNumberFormat="1" applyFont="1" applyFill="1" applyBorder="1" applyAlignment="1">
      <alignment horizontal="center"/>
    </xf>
    <xf numFmtId="1" fontId="17" fillId="27" borderId="12" xfId="0" applyNumberFormat="1" applyFont="1" applyFill="1" applyBorder="1" applyAlignment="1">
      <alignment horizontal="center"/>
    </xf>
    <xf numFmtId="9" fontId="14" fillId="28" borderId="11" xfId="0" applyNumberFormat="1" applyFont="1" applyFill="1" applyBorder="1" applyAlignment="1">
      <alignment horizontal="center"/>
    </xf>
    <xf numFmtId="9" fontId="14" fillId="28" borderId="1" xfId="0" applyNumberFormat="1" applyFont="1" applyFill="1" applyBorder="1" applyAlignment="1">
      <alignment horizontal="center"/>
    </xf>
    <xf numFmtId="1" fontId="17" fillId="28" borderId="12" xfId="0" applyNumberFormat="1" applyFont="1" applyFill="1" applyBorder="1" applyAlignment="1">
      <alignment horizontal="center"/>
    </xf>
    <xf numFmtId="0" fontId="20" fillId="11" borderId="0" xfId="0" applyFont="1" applyFill="1" applyAlignment="1">
      <alignment horizontal="center" vertical="center"/>
    </xf>
    <xf numFmtId="0" fontId="15" fillId="11" borderId="0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21" fillId="12" borderId="0" xfId="0" applyFont="1" applyFill="1"/>
    <xf numFmtId="0" fontId="22" fillId="29" borderId="2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23" fillId="5" borderId="55" xfId="0" applyFont="1" applyFill="1" applyBorder="1" applyAlignment="1">
      <alignment horizontal="left" vertical="center" indent="1"/>
    </xf>
    <xf numFmtId="164" fontId="24" fillId="13" borderId="58" xfId="0" applyNumberFormat="1" applyFont="1" applyFill="1" applyBorder="1" applyAlignment="1">
      <alignment horizontal="center" vertical="center"/>
    </xf>
    <xf numFmtId="164" fontId="24" fillId="14" borderId="5" xfId="0" applyNumberFormat="1" applyFont="1" applyFill="1" applyBorder="1" applyAlignment="1">
      <alignment horizontal="center" vertical="center"/>
    </xf>
    <xf numFmtId="164" fontId="24" fillId="15" borderId="5" xfId="0" applyNumberFormat="1" applyFont="1" applyFill="1" applyBorder="1" applyAlignment="1">
      <alignment horizontal="center" vertical="center"/>
    </xf>
    <xf numFmtId="9" fontId="24" fillId="13" borderId="5" xfId="0" applyNumberFormat="1" applyFont="1" applyFill="1" applyBorder="1" applyAlignment="1">
      <alignment horizontal="center" vertical="center"/>
    </xf>
    <xf numFmtId="9" fontId="24" fillId="14" borderId="5" xfId="0" applyNumberFormat="1" applyFont="1" applyFill="1" applyBorder="1" applyAlignment="1">
      <alignment horizontal="center" vertical="center"/>
    </xf>
    <xf numFmtId="9" fontId="24" fillId="15" borderId="5" xfId="0" applyNumberFormat="1" applyFont="1" applyFill="1" applyBorder="1" applyAlignment="1">
      <alignment horizontal="center" vertical="center"/>
    </xf>
    <xf numFmtId="0" fontId="23" fillId="29" borderId="56" xfId="0" applyFont="1" applyFill="1" applyBorder="1" applyAlignment="1">
      <alignment horizontal="left" vertical="center" indent="1"/>
    </xf>
    <xf numFmtId="164" fontId="24" fillId="13" borderId="59" xfId="0" applyNumberFormat="1" applyFont="1" applyFill="1" applyBorder="1" applyAlignment="1">
      <alignment horizontal="center" vertical="center"/>
    </xf>
    <xf numFmtId="164" fontId="24" fillId="14" borderId="9" xfId="0" applyNumberFormat="1" applyFont="1" applyFill="1" applyBorder="1" applyAlignment="1">
      <alignment horizontal="center" vertical="center"/>
    </xf>
    <xf numFmtId="164" fontId="24" fillId="15" borderId="9" xfId="0" applyNumberFormat="1" applyFont="1" applyFill="1" applyBorder="1" applyAlignment="1">
      <alignment horizontal="center" vertical="center"/>
    </xf>
    <xf numFmtId="9" fontId="24" fillId="13" borderId="9" xfId="0" applyNumberFormat="1" applyFont="1" applyFill="1" applyBorder="1" applyAlignment="1">
      <alignment horizontal="center" vertical="center"/>
    </xf>
    <xf numFmtId="9" fontId="24" fillId="14" borderId="9" xfId="0" applyNumberFormat="1" applyFont="1" applyFill="1" applyBorder="1" applyAlignment="1">
      <alignment horizontal="center" vertical="center"/>
    </xf>
    <xf numFmtId="9" fontId="24" fillId="15" borderId="9" xfId="0" applyNumberFormat="1" applyFont="1" applyFill="1" applyBorder="1" applyAlignment="1">
      <alignment horizontal="center" vertical="center"/>
    </xf>
    <xf numFmtId="0" fontId="23" fillId="5" borderId="56" xfId="0" applyFont="1" applyFill="1" applyBorder="1" applyAlignment="1">
      <alignment horizontal="left" vertical="center" indent="1"/>
    </xf>
    <xf numFmtId="164" fontId="8" fillId="5" borderId="59" xfId="0" applyNumberFormat="1" applyFont="1" applyFill="1" applyBorder="1" applyAlignment="1">
      <alignment horizontal="center" vertical="center"/>
    </xf>
    <xf numFmtId="164" fontId="8" fillId="5" borderId="9" xfId="0" applyNumberFormat="1" applyFont="1" applyFill="1" applyBorder="1" applyAlignment="1">
      <alignment horizontal="center" vertical="center"/>
    </xf>
    <xf numFmtId="9" fontId="14" fillId="5" borderId="9" xfId="0" applyNumberFormat="1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left" vertical="center" indent="1"/>
    </xf>
    <xf numFmtId="0" fontId="7" fillId="2" borderId="57" xfId="0" applyFont="1" applyFill="1" applyBorder="1" applyAlignment="1">
      <alignment horizontal="left" vertical="center" indent="1"/>
    </xf>
    <xf numFmtId="164" fontId="24" fillId="13" borderId="60" xfId="0" applyNumberFormat="1" applyFont="1" applyFill="1" applyBorder="1" applyAlignment="1">
      <alignment horizontal="center" vertical="center"/>
    </xf>
    <xf numFmtId="164" fontId="24" fillId="14" borderId="7" xfId="0" applyNumberFormat="1" applyFont="1" applyFill="1" applyBorder="1" applyAlignment="1">
      <alignment horizontal="center" vertical="center"/>
    </xf>
    <xf numFmtId="164" fontId="24" fillId="15" borderId="7" xfId="0" applyNumberFormat="1" applyFont="1" applyFill="1" applyBorder="1" applyAlignment="1">
      <alignment horizontal="center" vertical="center"/>
    </xf>
    <xf numFmtId="9" fontId="24" fillId="13" borderId="7" xfId="0" applyNumberFormat="1" applyFont="1" applyFill="1" applyBorder="1" applyAlignment="1">
      <alignment horizontal="center" vertical="center"/>
    </xf>
    <xf numFmtId="9" fontId="24" fillId="14" borderId="7" xfId="0" applyNumberFormat="1" applyFont="1" applyFill="1" applyBorder="1" applyAlignment="1">
      <alignment horizontal="center" vertical="center"/>
    </xf>
    <xf numFmtId="9" fontId="24" fillId="15" borderId="7" xfId="0" applyNumberFormat="1" applyFont="1" applyFill="1" applyBorder="1" applyAlignment="1">
      <alignment horizontal="center" vertical="center"/>
    </xf>
    <xf numFmtId="0" fontId="26" fillId="2" borderId="0" xfId="0" applyFont="1" applyFill="1"/>
    <xf numFmtId="0" fontId="27" fillId="13" borderId="0" xfId="0" applyFont="1" applyFill="1"/>
    <xf numFmtId="0" fontId="27" fillId="14" borderId="0" xfId="0" applyFont="1" applyFill="1"/>
    <xf numFmtId="0" fontId="27" fillId="15" borderId="0" xfId="0" applyFont="1" applyFill="1"/>
    <xf numFmtId="0" fontId="28" fillId="5" borderId="26" xfId="0" applyFont="1" applyFill="1" applyBorder="1" applyAlignment="1">
      <alignment horizontal="left" vertical="top" wrapText="1" indent="1"/>
    </xf>
    <xf numFmtId="0" fontId="29" fillId="5" borderId="13" xfId="0" applyFont="1" applyFill="1" applyBorder="1" applyAlignment="1">
      <alignment horizontal="center" vertical="top" wrapText="1"/>
    </xf>
    <xf numFmtId="0" fontId="28" fillId="5" borderId="28" xfId="0" applyFont="1" applyFill="1" applyBorder="1" applyAlignment="1">
      <alignment horizontal="center" vertical="top" wrapText="1"/>
    </xf>
    <xf numFmtId="0" fontId="30" fillId="12" borderId="35" xfId="0" applyFont="1" applyFill="1" applyBorder="1" applyAlignment="1">
      <alignment horizontal="left" vertical="top" wrapText="1"/>
    </xf>
    <xf numFmtId="1" fontId="30" fillId="13" borderId="35" xfId="0" applyNumberFormat="1" applyFont="1" applyFill="1" applyBorder="1" applyAlignment="1">
      <alignment horizontal="center" vertical="top" wrapText="1"/>
    </xf>
    <xf numFmtId="164" fontId="31" fillId="14" borderId="13" xfId="0" applyNumberFormat="1" applyFont="1" applyFill="1" applyBorder="1" applyAlignment="1">
      <alignment horizontal="center" vertical="top" wrapText="1"/>
    </xf>
    <xf numFmtId="0" fontId="31" fillId="14" borderId="13" xfId="0" applyFont="1" applyFill="1" applyBorder="1" applyAlignment="1">
      <alignment horizontal="center" vertical="top" wrapText="1"/>
    </xf>
    <xf numFmtId="164" fontId="31" fillId="15" borderId="35" xfId="0" applyNumberFormat="1" applyFont="1" applyFill="1" applyBorder="1" applyAlignment="1">
      <alignment horizontal="center" vertical="top" wrapText="1"/>
    </xf>
    <xf numFmtId="0" fontId="28" fillId="29" borderId="38" xfId="0" applyFont="1" applyFill="1" applyBorder="1" applyAlignment="1">
      <alignment horizontal="left" vertical="top" wrapText="1" indent="1"/>
    </xf>
    <xf numFmtId="0" fontId="29" fillId="29" borderId="39" xfId="0" applyFont="1" applyFill="1" applyBorder="1" applyAlignment="1">
      <alignment horizontal="center" vertical="top" wrapText="1"/>
    </xf>
    <xf numFmtId="0" fontId="28" fillId="29" borderId="40" xfId="0" applyFont="1" applyFill="1" applyBorder="1" applyAlignment="1">
      <alignment horizontal="center" vertical="top" wrapText="1"/>
    </xf>
    <xf numFmtId="0" fontId="30" fillId="12" borderId="41" xfId="0" applyFont="1" applyFill="1" applyBorder="1" applyAlignment="1">
      <alignment horizontal="left" vertical="top" wrapText="1"/>
    </xf>
    <xf numFmtId="1" fontId="30" fillId="13" borderId="41" xfId="0" applyNumberFormat="1" applyFont="1" applyFill="1" applyBorder="1" applyAlignment="1">
      <alignment horizontal="center" vertical="top" wrapText="1"/>
    </xf>
    <xf numFmtId="164" fontId="31" fillId="14" borderId="39" xfId="0" applyNumberFormat="1" applyFont="1" applyFill="1" applyBorder="1" applyAlignment="1">
      <alignment horizontal="center" vertical="top" wrapText="1"/>
    </xf>
    <xf numFmtId="0" fontId="31" fillId="14" borderId="39" xfId="0" applyFont="1" applyFill="1" applyBorder="1" applyAlignment="1">
      <alignment horizontal="center" vertical="top" wrapText="1"/>
    </xf>
    <xf numFmtId="164" fontId="31" fillId="15" borderId="41" xfId="0" applyNumberFormat="1" applyFont="1" applyFill="1" applyBorder="1" applyAlignment="1">
      <alignment horizontal="center" vertical="top" wrapText="1"/>
    </xf>
    <xf numFmtId="0" fontId="28" fillId="5" borderId="18" xfId="0" applyFont="1" applyFill="1" applyBorder="1" applyAlignment="1">
      <alignment horizontal="left" vertical="top" wrapText="1" indent="1"/>
    </xf>
    <xf numFmtId="0" fontId="29" fillId="5" borderId="16" xfId="0" applyFont="1" applyFill="1" applyBorder="1" applyAlignment="1">
      <alignment horizontal="center" vertical="top" wrapText="1"/>
    </xf>
    <xf numFmtId="0" fontId="28" fillId="5" borderId="44" xfId="0" applyFont="1" applyFill="1" applyBorder="1" applyAlignment="1">
      <alignment horizontal="center" vertical="top" wrapText="1"/>
    </xf>
    <xf numFmtId="0" fontId="30" fillId="12" borderId="45" xfId="0" applyFont="1" applyFill="1" applyBorder="1" applyAlignment="1">
      <alignment horizontal="left" vertical="top" wrapText="1"/>
    </xf>
    <xf numFmtId="1" fontId="30" fillId="13" borderId="45" xfId="0" applyNumberFormat="1" applyFont="1" applyFill="1" applyBorder="1" applyAlignment="1">
      <alignment horizontal="center" vertical="top" wrapText="1"/>
    </xf>
    <xf numFmtId="164" fontId="31" fillId="14" borderId="16" xfId="0" applyNumberFormat="1" applyFont="1" applyFill="1" applyBorder="1" applyAlignment="1">
      <alignment horizontal="center" vertical="top" wrapText="1"/>
    </xf>
    <xf numFmtId="0" fontId="31" fillId="14" borderId="16" xfId="0" applyFont="1" applyFill="1" applyBorder="1" applyAlignment="1">
      <alignment horizontal="center" vertical="top" wrapText="1"/>
    </xf>
    <xf numFmtId="164" fontId="31" fillId="15" borderId="45" xfId="0" applyNumberFormat="1" applyFont="1" applyFill="1" applyBorder="1" applyAlignment="1">
      <alignment horizontal="center" vertical="top" wrapText="1"/>
    </xf>
    <xf numFmtId="0" fontId="28" fillId="29" borderId="26" xfId="0" applyFont="1" applyFill="1" applyBorder="1" applyAlignment="1">
      <alignment horizontal="left" vertical="top" wrapText="1" indent="1"/>
    </xf>
    <xf numFmtId="0" fontId="29" fillId="29" borderId="13" xfId="0" applyFont="1" applyFill="1" applyBorder="1" applyAlignment="1">
      <alignment horizontal="center" vertical="top" wrapText="1"/>
    </xf>
    <xf numFmtId="0" fontId="28" fillId="29" borderId="28" xfId="0" applyFont="1" applyFill="1" applyBorder="1" applyAlignment="1">
      <alignment horizontal="center" vertical="top" wrapText="1"/>
    </xf>
    <xf numFmtId="0" fontId="28" fillId="5" borderId="50" xfId="0" applyFont="1" applyFill="1" applyBorder="1" applyAlignment="1">
      <alignment horizontal="left" vertical="top" wrapText="1" indent="1"/>
    </xf>
    <xf numFmtId="0" fontId="29" fillId="5" borderId="51" xfId="0" applyFont="1" applyFill="1" applyBorder="1" applyAlignment="1">
      <alignment horizontal="center" vertical="top" wrapText="1"/>
    </xf>
    <xf numFmtId="0" fontId="28" fillId="5" borderId="52" xfId="0" applyFont="1" applyFill="1" applyBorder="1" applyAlignment="1">
      <alignment horizontal="center" vertical="top" wrapText="1"/>
    </xf>
    <xf numFmtId="0" fontId="30" fillId="12" borderId="53" xfId="0" applyFont="1" applyFill="1" applyBorder="1" applyAlignment="1">
      <alignment horizontal="left" vertical="top" wrapText="1"/>
    </xf>
    <xf numFmtId="1" fontId="30" fillId="13" borderId="53" xfId="0" applyNumberFormat="1" applyFont="1" applyFill="1" applyBorder="1" applyAlignment="1">
      <alignment horizontal="center" vertical="top" wrapText="1"/>
    </xf>
    <xf numFmtId="164" fontId="31" fillId="14" borderId="51" xfId="0" applyNumberFormat="1" applyFont="1" applyFill="1" applyBorder="1" applyAlignment="1">
      <alignment horizontal="center" vertical="top" wrapText="1"/>
    </xf>
    <xf numFmtId="0" fontId="31" fillId="14" borderId="51" xfId="0" applyFont="1" applyFill="1" applyBorder="1" applyAlignment="1">
      <alignment horizontal="center" vertical="top" wrapText="1"/>
    </xf>
    <xf numFmtId="164" fontId="31" fillId="15" borderId="53" xfId="0" applyNumberFormat="1" applyFont="1" applyFill="1" applyBorder="1" applyAlignment="1">
      <alignment horizontal="center" vertical="top" wrapText="1"/>
    </xf>
    <xf numFmtId="0" fontId="28" fillId="29" borderId="17" xfId="0" applyFont="1" applyFill="1" applyBorder="1" applyAlignment="1">
      <alignment horizontal="left" vertical="top" wrapText="1" indent="1"/>
    </xf>
    <xf numFmtId="0" fontId="29" fillId="29" borderId="14" xfId="0" applyFont="1" applyFill="1" applyBorder="1" applyAlignment="1">
      <alignment horizontal="center" vertical="top" wrapText="1"/>
    </xf>
    <xf numFmtId="0" fontId="28" fillId="29" borderId="47" xfId="0" applyFont="1" applyFill="1" applyBorder="1" applyAlignment="1">
      <alignment horizontal="center" vertical="top" wrapText="1"/>
    </xf>
    <xf numFmtId="0" fontId="30" fillId="12" borderId="48" xfId="0" applyFont="1" applyFill="1" applyBorder="1" applyAlignment="1">
      <alignment horizontal="left" vertical="top" wrapText="1"/>
    </xf>
    <xf numFmtId="1" fontId="30" fillId="13" borderId="48" xfId="0" applyNumberFormat="1" applyFont="1" applyFill="1" applyBorder="1" applyAlignment="1">
      <alignment horizontal="center" vertical="top" wrapText="1"/>
    </xf>
    <xf numFmtId="164" fontId="31" fillId="14" borderId="14" xfId="0" applyNumberFormat="1" applyFont="1" applyFill="1" applyBorder="1" applyAlignment="1">
      <alignment horizontal="center" vertical="top" wrapText="1"/>
    </xf>
    <xf numFmtId="0" fontId="31" fillId="14" borderId="14" xfId="0" applyFont="1" applyFill="1" applyBorder="1" applyAlignment="1">
      <alignment horizontal="center" vertical="top" wrapText="1"/>
    </xf>
    <xf numFmtId="164" fontId="31" fillId="15" borderId="48" xfId="0" applyNumberFormat="1" applyFont="1" applyFill="1" applyBorder="1" applyAlignment="1">
      <alignment horizontal="center" vertical="top" wrapText="1"/>
    </xf>
    <xf numFmtId="0" fontId="28" fillId="5" borderId="38" xfId="0" applyFont="1" applyFill="1" applyBorder="1" applyAlignment="1">
      <alignment horizontal="left" vertical="top" wrapText="1" indent="1"/>
    </xf>
    <xf numFmtId="0" fontId="29" fillId="5" borderId="39" xfId="0" applyFont="1" applyFill="1" applyBorder="1" applyAlignment="1">
      <alignment horizontal="center" vertical="top" wrapText="1"/>
    </xf>
    <xf numFmtId="0" fontId="28" fillId="5" borderId="40" xfId="0" applyFont="1" applyFill="1" applyBorder="1" applyAlignment="1">
      <alignment horizontal="center" vertical="top" wrapText="1"/>
    </xf>
    <xf numFmtId="0" fontId="28" fillId="29" borderId="18" xfId="0" applyFont="1" applyFill="1" applyBorder="1" applyAlignment="1">
      <alignment horizontal="left" vertical="top" wrapText="1" indent="1"/>
    </xf>
    <xf numFmtId="0" fontId="29" fillId="29" borderId="16" xfId="0" applyFont="1" applyFill="1" applyBorder="1" applyAlignment="1">
      <alignment horizontal="center" vertical="top" wrapText="1"/>
    </xf>
    <xf numFmtId="0" fontId="28" fillId="29" borderId="44" xfId="0" applyFont="1" applyFill="1" applyBorder="1" applyAlignment="1">
      <alignment horizontal="center" vertical="top" wrapText="1"/>
    </xf>
    <xf numFmtId="0" fontId="28" fillId="29" borderId="50" xfId="0" applyFont="1" applyFill="1" applyBorder="1" applyAlignment="1">
      <alignment horizontal="left" vertical="top" wrapText="1" indent="1"/>
    </xf>
    <xf numFmtId="0" fontId="29" fillId="29" borderId="51" xfId="0" applyFont="1" applyFill="1" applyBorder="1" applyAlignment="1">
      <alignment horizontal="center" vertical="top" wrapText="1"/>
    </xf>
    <xf numFmtId="0" fontId="28" fillId="29" borderId="52" xfId="0" applyFont="1" applyFill="1" applyBorder="1" applyAlignment="1">
      <alignment horizontal="center" vertical="top" wrapText="1"/>
    </xf>
    <xf numFmtId="0" fontId="28" fillId="5" borderId="19" xfId="0" applyFont="1" applyFill="1" applyBorder="1" applyAlignment="1">
      <alignment horizontal="left" vertical="top" wrapText="1" indent="1"/>
    </xf>
    <xf numFmtId="0" fontId="29" fillId="5" borderId="15" xfId="0" applyFont="1" applyFill="1" applyBorder="1" applyAlignment="1">
      <alignment horizontal="center" vertical="top" wrapText="1"/>
    </xf>
    <xf numFmtId="0" fontId="28" fillId="5" borderId="29" xfId="0" applyFont="1" applyFill="1" applyBorder="1" applyAlignment="1">
      <alignment horizontal="center" vertical="top" wrapText="1"/>
    </xf>
    <xf numFmtId="0" fontId="30" fillId="12" borderId="36" xfId="0" applyFont="1" applyFill="1" applyBorder="1" applyAlignment="1">
      <alignment horizontal="left" vertical="top" wrapText="1"/>
    </xf>
    <xf numFmtId="1" fontId="30" fillId="13" borderId="36" xfId="0" applyNumberFormat="1" applyFont="1" applyFill="1" applyBorder="1" applyAlignment="1">
      <alignment horizontal="center" vertical="top" wrapText="1"/>
    </xf>
    <xf numFmtId="164" fontId="31" fillId="14" borderId="15" xfId="0" applyNumberFormat="1" applyFont="1" applyFill="1" applyBorder="1" applyAlignment="1">
      <alignment horizontal="center" vertical="top" wrapText="1"/>
    </xf>
    <xf numFmtId="0" fontId="31" fillId="14" borderId="15" xfId="0" applyFont="1" applyFill="1" applyBorder="1" applyAlignment="1">
      <alignment horizontal="center" vertical="top" wrapText="1"/>
    </xf>
    <xf numFmtId="164" fontId="31" fillId="15" borderId="36" xfId="0" applyNumberFormat="1" applyFont="1" applyFill="1" applyBorder="1" applyAlignment="1">
      <alignment horizontal="center" vertical="top" wrapText="1"/>
    </xf>
    <xf numFmtId="0" fontId="28" fillId="29" borderId="19" xfId="0" applyFont="1" applyFill="1" applyBorder="1" applyAlignment="1">
      <alignment horizontal="left" vertical="top" wrapText="1" indent="1"/>
    </xf>
    <xf numFmtId="0" fontId="29" fillId="29" borderId="15" xfId="0" applyFont="1" applyFill="1" applyBorder="1" applyAlignment="1">
      <alignment horizontal="center" vertical="top" wrapText="1"/>
    </xf>
    <xf numFmtId="0" fontId="28" fillId="29" borderId="29" xfId="0" applyFont="1" applyFill="1" applyBorder="1" applyAlignment="1">
      <alignment horizontal="center" vertical="top" wrapText="1"/>
    </xf>
    <xf numFmtId="0" fontId="28" fillId="5" borderId="17" xfId="0" applyFont="1" applyFill="1" applyBorder="1" applyAlignment="1">
      <alignment horizontal="left" vertical="top" wrapText="1" indent="1"/>
    </xf>
    <xf numFmtId="0" fontId="29" fillId="5" borderId="14" xfId="0" applyFont="1" applyFill="1" applyBorder="1" applyAlignment="1">
      <alignment horizontal="center" vertical="top" wrapText="1"/>
    </xf>
    <xf numFmtId="0" fontId="28" fillId="5" borderId="47" xfId="0" applyFont="1" applyFill="1" applyBorder="1" applyAlignment="1">
      <alignment horizontal="center" vertical="top" wrapText="1"/>
    </xf>
    <xf numFmtId="0" fontId="28" fillId="5" borderId="23" xfId="0" applyFont="1" applyFill="1" applyBorder="1" applyAlignment="1">
      <alignment horizontal="left" vertical="top" wrapText="1" indent="1"/>
    </xf>
    <xf numFmtId="0" fontId="29" fillId="5" borderId="24" xfId="0" applyFont="1" applyFill="1" applyBorder="1" applyAlignment="1">
      <alignment horizontal="center" vertical="top" wrapText="1"/>
    </xf>
    <xf numFmtId="0" fontId="28" fillId="5" borderId="30" xfId="0" applyFont="1" applyFill="1" applyBorder="1" applyAlignment="1">
      <alignment horizontal="center" vertical="top" wrapText="1"/>
    </xf>
    <xf numFmtId="0" fontId="30" fillId="12" borderId="37" xfId="0" applyFont="1" applyFill="1" applyBorder="1" applyAlignment="1">
      <alignment horizontal="left" vertical="top" wrapText="1"/>
    </xf>
    <xf numFmtId="1" fontId="30" fillId="13" borderId="37" xfId="0" applyNumberFormat="1" applyFont="1" applyFill="1" applyBorder="1" applyAlignment="1">
      <alignment horizontal="center" vertical="top" wrapText="1"/>
    </xf>
    <xf numFmtId="164" fontId="31" fillId="14" borderId="24" xfId="0" applyNumberFormat="1" applyFont="1" applyFill="1" applyBorder="1" applyAlignment="1">
      <alignment horizontal="center" vertical="top" wrapText="1"/>
    </xf>
    <xf numFmtId="0" fontId="31" fillId="14" borderId="24" xfId="0" applyFont="1" applyFill="1" applyBorder="1" applyAlignment="1">
      <alignment horizontal="center" vertical="top" wrapText="1"/>
    </xf>
    <xf numFmtId="164" fontId="31" fillId="15" borderId="37" xfId="0" applyNumberFormat="1" applyFont="1" applyFill="1" applyBorder="1" applyAlignment="1">
      <alignment horizontal="center" vertical="top" wrapText="1"/>
    </xf>
    <xf numFmtId="0" fontId="21" fillId="12" borderId="80" xfId="0" applyFont="1" applyFill="1" applyBorder="1"/>
    <xf numFmtId="0" fontId="21" fillId="30" borderId="80" xfId="0" applyFont="1" applyFill="1" applyBorder="1"/>
    <xf numFmtId="0" fontId="21" fillId="31" borderId="80" xfId="0" applyFont="1" applyFill="1" applyBorder="1"/>
    <xf numFmtId="0" fontId="21" fillId="32" borderId="80" xfId="0" applyFont="1" applyFill="1" applyBorder="1"/>
    <xf numFmtId="0" fontId="26" fillId="33" borderId="83" xfId="0" applyFont="1" applyFill="1" applyBorder="1"/>
    <xf numFmtId="0" fontId="15" fillId="11" borderId="84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2" fillId="11" borderId="85" xfId="0" applyFont="1" applyFill="1" applyBorder="1" applyAlignment="1">
      <alignment horizontal="center" vertical="center" wrapText="1"/>
    </xf>
    <xf numFmtId="0" fontId="22" fillId="11" borderId="86" xfId="0" applyFont="1" applyFill="1" applyBorder="1" applyAlignment="1">
      <alignment horizontal="center" vertical="center" wrapText="1"/>
    </xf>
    <xf numFmtId="0" fontId="22" fillId="11" borderId="87" xfId="0" applyFont="1" applyFill="1" applyBorder="1" applyAlignment="1">
      <alignment horizontal="center" vertical="center" wrapText="1"/>
    </xf>
    <xf numFmtId="0" fontId="22" fillId="11" borderId="88" xfId="0" applyFont="1" applyFill="1" applyBorder="1" applyAlignment="1">
      <alignment horizontal="center" vertical="center" wrapText="1"/>
    </xf>
    <xf numFmtId="164" fontId="41" fillId="12" borderId="87" xfId="0" applyNumberFormat="1" applyFont="1" applyFill="1" applyBorder="1" applyAlignment="1">
      <alignment horizontal="center" vertical="center" wrapText="1"/>
    </xf>
    <xf numFmtId="164" fontId="42" fillId="13" borderId="86" xfId="0" applyNumberFormat="1" applyFont="1" applyFill="1" applyBorder="1" applyAlignment="1">
      <alignment horizontal="center" vertical="center" wrapText="1"/>
    </xf>
    <xf numFmtId="164" fontId="43" fillId="14" borderId="89" xfId="0" applyNumberFormat="1" applyFont="1" applyFill="1" applyBorder="1" applyAlignment="1">
      <alignment horizontal="center" vertical="center" wrapText="1"/>
    </xf>
    <xf numFmtId="164" fontId="43" fillId="14" borderId="86" xfId="0" applyNumberFormat="1" applyFont="1" applyFill="1" applyBorder="1" applyAlignment="1">
      <alignment horizontal="center" vertical="center" wrapText="1"/>
    </xf>
    <xf numFmtId="164" fontId="44" fillId="15" borderId="89" xfId="0" applyNumberFormat="1" applyFont="1" applyFill="1" applyBorder="1" applyAlignment="1">
      <alignment horizontal="center" vertical="center" wrapText="1"/>
    </xf>
    <xf numFmtId="164" fontId="44" fillId="15" borderId="87" xfId="0" applyNumberFormat="1" applyFont="1" applyFill="1" applyBorder="1" applyAlignment="1">
      <alignment horizontal="center" vertical="center" wrapText="1"/>
    </xf>
    <xf numFmtId="0" fontId="2" fillId="11" borderId="88" xfId="0" applyFont="1" applyFill="1" applyBorder="1" applyAlignment="1">
      <alignment horizontal="center" vertical="center" wrapText="1"/>
    </xf>
    <xf numFmtId="0" fontId="2" fillId="11" borderId="90" xfId="0" applyFont="1" applyFill="1" applyBorder="1" applyAlignment="1">
      <alignment horizontal="center" vertical="center" wrapText="1"/>
    </xf>
    <xf numFmtId="0" fontId="2" fillId="11" borderId="91" xfId="0" applyFont="1" applyFill="1" applyBorder="1" applyAlignment="1">
      <alignment horizontal="center" vertical="center" wrapText="1"/>
    </xf>
    <xf numFmtId="0" fontId="2" fillId="3" borderId="92" xfId="0" applyFont="1" applyFill="1" applyBorder="1" applyAlignment="1">
      <alignment horizontal="center" vertical="center" wrapText="1"/>
    </xf>
    <xf numFmtId="0" fontId="2" fillId="16" borderId="93" xfId="0" applyFont="1" applyFill="1" applyBorder="1" applyAlignment="1">
      <alignment horizontal="center" vertical="center" wrapText="1"/>
    </xf>
    <xf numFmtId="0" fontId="2" fillId="17" borderId="93" xfId="0" applyFont="1" applyFill="1" applyBorder="1" applyAlignment="1">
      <alignment horizontal="center" vertical="center" wrapText="1"/>
    </xf>
    <xf numFmtId="0" fontId="2" fillId="7" borderId="93" xfId="0" applyFont="1" applyFill="1" applyBorder="1" applyAlignment="1">
      <alignment horizontal="center" vertical="center" wrapText="1"/>
    </xf>
    <xf numFmtId="0" fontId="2" fillId="18" borderId="93" xfId="0" applyFont="1" applyFill="1" applyBorder="1" applyAlignment="1">
      <alignment horizontal="center" vertical="center" wrapText="1"/>
    </xf>
    <xf numFmtId="0" fontId="2" fillId="19" borderId="93" xfId="0" applyFont="1" applyFill="1" applyBorder="1" applyAlignment="1">
      <alignment horizontal="center" vertical="center" wrapText="1"/>
    </xf>
    <xf numFmtId="0" fontId="2" fillId="20" borderId="93" xfId="0" applyFont="1" applyFill="1" applyBorder="1" applyAlignment="1">
      <alignment horizontal="center" vertical="center" wrapText="1"/>
    </xf>
    <xf numFmtId="0" fontId="2" fillId="21" borderId="94" xfId="0" applyFont="1" applyFill="1" applyBorder="1" applyAlignment="1">
      <alignment horizontal="center" vertical="center" wrapText="1"/>
    </xf>
    <xf numFmtId="0" fontId="45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46" fillId="12" borderId="77" xfId="0" applyFont="1" applyFill="1" applyBorder="1" applyAlignment="1">
      <alignment horizontal="center" vertical="center"/>
    </xf>
    <xf numFmtId="0" fontId="47" fillId="13" borderId="77" xfId="0" applyFont="1" applyFill="1" applyBorder="1" applyAlignment="1">
      <alignment horizontal="center" vertical="center"/>
    </xf>
    <xf numFmtId="0" fontId="48" fillId="14" borderId="77" xfId="0" applyFont="1" applyFill="1" applyBorder="1" applyAlignment="1">
      <alignment horizontal="center" vertical="center"/>
    </xf>
    <xf numFmtId="0" fontId="49" fillId="15" borderId="77" xfId="0" applyFont="1" applyFill="1" applyBorder="1" applyAlignment="1">
      <alignment horizontal="center" vertical="center"/>
    </xf>
    <xf numFmtId="0" fontId="54" fillId="34" borderId="77" xfId="0" applyFont="1" applyFill="1" applyBorder="1" applyAlignment="1">
      <alignment horizontal="center" vertical="center"/>
    </xf>
    <xf numFmtId="0" fontId="56" fillId="22" borderId="77" xfId="0" applyFont="1" applyFill="1" applyBorder="1" applyAlignment="1">
      <alignment horizontal="center" vertical="center"/>
    </xf>
    <xf numFmtId="0" fontId="0" fillId="5" borderId="77" xfId="0" applyFill="1" applyBorder="1"/>
    <xf numFmtId="0" fontId="46" fillId="12" borderId="95" xfId="0" applyFont="1" applyFill="1" applyBorder="1" applyAlignment="1">
      <alignment horizontal="center" vertical="center"/>
    </xf>
    <xf numFmtId="0" fontId="47" fillId="13" borderId="95" xfId="0" applyFont="1" applyFill="1" applyBorder="1" applyAlignment="1">
      <alignment horizontal="center" vertical="center"/>
    </xf>
    <xf numFmtId="0" fontId="48" fillId="14" borderId="95" xfId="0" applyFont="1" applyFill="1" applyBorder="1" applyAlignment="1">
      <alignment horizontal="center" vertical="center"/>
    </xf>
    <xf numFmtId="0" fontId="49" fillId="15" borderId="95" xfId="0" applyFont="1" applyFill="1" applyBorder="1" applyAlignment="1">
      <alignment horizontal="center" vertical="center"/>
    </xf>
    <xf numFmtId="0" fontId="52" fillId="10" borderId="96" xfId="0" applyFont="1" applyFill="1" applyBorder="1" applyAlignment="1">
      <alignment horizontal="center" vertical="center"/>
    </xf>
    <xf numFmtId="0" fontId="18" fillId="11" borderId="0" xfId="0" applyFont="1" applyFill="1" applyBorder="1" applyAlignment="1">
      <alignment horizontal="center" vertical="center"/>
    </xf>
    <xf numFmtId="0" fontId="19" fillId="11" borderId="77" xfId="0" applyFont="1" applyFill="1" applyBorder="1" applyAlignment="1">
      <alignment horizontal="center" vertical="center"/>
    </xf>
    <xf numFmtId="0" fontId="55" fillId="22" borderId="77" xfId="0" applyFont="1" applyFill="1" applyBorder="1" applyAlignment="1">
      <alignment horizontal="center" vertical="center"/>
    </xf>
    <xf numFmtId="0" fontId="2" fillId="11" borderId="78" xfId="0" applyFont="1" applyFill="1" applyBorder="1" applyAlignment="1">
      <alignment horizontal="center" vertical="center"/>
    </xf>
    <xf numFmtId="0" fontId="2" fillId="11" borderId="79" xfId="0" applyFont="1" applyFill="1" applyBorder="1" applyAlignment="1">
      <alignment horizontal="center" vertical="center"/>
    </xf>
    <xf numFmtId="0" fontId="58" fillId="12" borderId="79" xfId="0" applyFont="1" applyFill="1" applyBorder="1" applyAlignment="1">
      <alignment horizontal="center" vertical="center"/>
    </xf>
    <xf numFmtId="0" fontId="58" fillId="30" borderId="79" xfId="0" applyFont="1" applyFill="1" applyBorder="1" applyAlignment="1">
      <alignment horizontal="center" vertical="center"/>
    </xf>
    <xf numFmtId="0" fontId="60" fillId="31" borderId="79" xfId="0" applyFont="1" applyFill="1" applyBorder="1" applyAlignment="1">
      <alignment horizontal="center" vertical="center"/>
    </xf>
    <xf numFmtId="0" fontId="60" fillId="35" borderId="82" xfId="0" applyFont="1" applyFill="1" applyBorder="1" applyAlignment="1">
      <alignment horizontal="center" vertical="center"/>
    </xf>
    <xf numFmtId="0" fontId="7" fillId="36" borderId="76" xfId="0" applyFont="1" applyFill="1" applyBorder="1" applyAlignment="1">
      <alignment horizontal="center" vertical="center"/>
    </xf>
    <xf numFmtId="0" fontId="57" fillId="12" borderId="78" xfId="0" applyFont="1" applyFill="1" applyBorder="1" applyAlignment="1">
      <alignment horizontal="center" vertical="center" indent="1"/>
    </xf>
    <xf numFmtId="0" fontId="57" fillId="30" borderId="78" xfId="0" applyFont="1" applyFill="1" applyBorder="1" applyAlignment="1">
      <alignment horizontal="center" vertical="center" indent="1"/>
    </xf>
    <xf numFmtId="0" fontId="59" fillId="31" borderId="78" xfId="0" applyFont="1" applyFill="1" applyBorder="1" applyAlignment="1">
      <alignment horizontal="center" vertical="center" indent="1"/>
    </xf>
    <xf numFmtId="0" fontId="60" fillId="35" borderId="81" xfId="0" applyFont="1" applyFill="1" applyBorder="1" applyAlignment="1">
      <alignment horizontal="center" vertical="center" indent="1"/>
    </xf>
    <xf numFmtId="0" fontId="7" fillId="36" borderId="75" xfId="0" applyFont="1" applyFill="1" applyBorder="1" applyAlignment="1">
      <alignment horizontal="center" vertical="center" indent="1"/>
    </xf>
    <xf numFmtId="0" fontId="45" fillId="11" borderId="97" xfId="0" applyFont="1" applyFill="1" applyBorder="1" applyAlignment="1">
      <alignment horizontal="center" vertical="center"/>
    </xf>
    <xf numFmtId="0" fontId="45" fillId="11" borderId="98" xfId="0" applyFont="1" applyFill="1" applyBorder="1" applyAlignment="1">
      <alignment horizontal="center" vertical="center"/>
    </xf>
    <xf numFmtId="0" fontId="45" fillId="11" borderId="99" xfId="0" applyFont="1" applyFill="1" applyBorder="1" applyAlignment="1">
      <alignment horizontal="center" vertical="center"/>
    </xf>
    <xf numFmtId="0" fontId="53" fillId="34" borderId="100" xfId="0" applyFont="1" applyFill="1" applyBorder="1" applyAlignment="1">
      <alignment vertical="center" wrapText="1"/>
    </xf>
    <xf numFmtId="0" fontId="61" fillId="12" borderId="101" xfId="0" applyFont="1" applyFill="1" applyBorder="1" applyAlignment="1">
      <alignment horizontal="center" vertical="center" wrapText="1"/>
    </xf>
    <xf numFmtId="0" fontId="33" fillId="12" borderId="101" xfId="0" applyFont="1" applyFill="1" applyBorder="1" applyAlignment="1">
      <alignment vertical="center" wrapText="1"/>
    </xf>
    <xf numFmtId="0" fontId="62" fillId="12" borderId="101" xfId="0" applyFont="1" applyFill="1" applyBorder="1" applyAlignment="1">
      <alignment vertical="center" wrapText="1"/>
    </xf>
    <xf numFmtId="0" fontId="33" fillId="12" borderId="101" xfId="0" applyFont="1" applyFill="1" applyBorder="1" applyAlignment="1">
      <alignment horizontal="center" vertical="center" wrapText="1"/>
    </xf>
    <xf numFmtId="0" fontId="35" fillId="13" borderId="101" xfId="0" applyFont="1" applyFill="1" applyBorder="1" applyAlignment="1">
      <alignment horizontal="center" vertical="center" wrapText="1"/>
    </xf>
    <xf numFmtId="0" fontId="37" fillId="14" borderId="101" xfId="0" applyFont="1" applyFill="1" applyBorder="1" applyAlignment="1">
      <alignment horizontal="center" vertical="center" wrapText="1"/>
    </xf>
    <xf numFmtId="0" fontId="39" fillId="15" borderId="101" xfId="0" applyFont="1" applyFill="1" applyBorder="1" applyAlignment="1">
      <alignment horizontal="center" vertical="center" wrapText="1"/>
    </xf>
    <xf numFmtId="0" fontId="53" fillId="34" borderId="103" xfId="0" applyFont="1" applyFill="1" applyBorder="1" applyAlignment="1">
      <alignment vertical="center" wrapText="1"/>
    </xf>
    <xf numFmtId="0" fontId="61" fillId="12" borderId="104" xfId="0" applyFont="1" applyFill="1" applyBorder="1" applyAlignment="1">
      <alignment horizontal="center" vertical="center" wrapText="1"/>
    </xf>
    <xf numFmtId="0" fontId="33" fillId="12" borderId="104" xfId="0" applyFont="1" applyFill="1" applyBorder="1" applyAlignment="1">
      <alignment vertical="center" wrapText="1"/>
    </xf>
    <xf numFmtId="0" fontId="62" fillId="12" borderId="104" xfId="0" applyFont="1" applyFill="1" applyBorder="1" applyAlignment="1">
      <alignment vertical="center" wrapText="1"/>
    </xf>
    <xf numFmtId="0" fontId="33" fillId="12" borderId="104" xfId="0" applyFont="1" applyFill="1" applyBorder="1" applyAlignment="1">
      <alignment horizontal="center" vertical="center" wrapText="1"/>
    </xf>
    <xf numFmtId="0" fontId="35" fillId="13" borderId="104" xfId="0" applyFont="1" applyFill="1" applyBorder="1" applyAlignment="1">
      <alignment horizontal="center" vertical="center" wrapText="1"/>
    </xf>
    <xf numFmtId="0" fontId="37" fillId="14" borderId="104" xfId="0" applyFont="1" applyFill="1" applyBorder="1" applyAlignment="1">
      <alignment horizontal="center" vertical="center" wrapText="1"/>
    </xf>
    <xf numFmtId="0" fontId="39" fillId="15" borderId="104" xfId="0" applyFont="1" applyFill="1" applyBorder="1" applyAlignment="1">
      <alignment horizontal="center" vertical="center" wrapText="1"/>
    </xf>
    <xf numFmtId="0" fontId="53" fillId="34" borderId="109" xfId="0" applyFont="1" applyFill="1" applyBorder="1" applyAlignment="1">
      <alignment vertical="center" wrapText="1"/>
    </xf>
    <xf numFmtId="0" fontId="61" fillId="12" borderId="110" xfId="0" applyFont="1" applyFill="1" applyBorder="1" applyAlignment="1">
      <alignment horizontal="center" vertical="center" wrapText="1"/>
    </xf>
    <xf numFmtId="0" fontId="33" fillId="12" borderId="110" xfId="0" applyFont="1" applyFill="1" applyBorder="1" applyAlignment="1">
      <alignment vertical="center" wrapText="1"/>
    </xf>
    <xf numFmtId="0" fontId="62" fillId="12" borderId="110" xfId="0" applyFont="1" applyFill="1" applyBorder="1" applyAlignment="1">
      <alignment vertical="center" wrapText="1"/>
    </xf>
    <xf numFmtId="0" fontId="33" fillId="12" borderId="110" xfId="0" applyFont="1" applyFill="1" applyBorder="1" applyAlignment="1">
      <alignment horizontal="center" vertical="center" wrapText="1"/>
    </xf>
    <xf numFmtId="0" fontId="35" fillId="13" borderId="110" xfId="0" applyFont="1" applyFill="1" applyBorder="1" applyAlignment="1">
      <alignment horizontal="center" vertical="center" wrapText="1"/>
    </xf>
    <xf numFmtId="0" fontId="37" fillId="14" borderId="110" xfId="0" applyFont="1" applyFill="1" applyBorder="1" applyAlignment="1">
      <alignment horizontal="center" vertical="center" wrapText="1"/>
    </xf>
    <xf numFmtId="0" fontId="39" fillId="15" borderId="110" xfId="0" applyFont="1" applyFill="1" applyBorder="1" applyAlignment="1">
      <alignment horizontal="center" vertical="center" wrapText="1"/>
    </xf>
    <xf numFmtId="0" fontId="26" fillId="11" borderId="106" xfId="0" applyFont="1" applyFill="1" applyBorder="1" applyAlignment="1">
      <alignment horizontal="center" vertical="center"/>
    </xf>
    <xf numFmtId="0" fontId="34" fillId="12" borderId="107" xfId="0" applyFont="1" applyFill="1" applyBorder="1" applyAlignment="1">
      <alignment horizontal="center" vertical="center"/>
    </xf>
    <xf numFmtId="0" fontId="36" fillId="13" borderId="107" xfId="0" applyFont="1" applyFill="1" applyBorder="1" applyAlignment="1">
      <alignment horizontal="center" vertical="center"/>
    </xf>
    <xf numFmtId="0" fontId="38" fillId="14" borderId="107" xfId="0" applyFont="1" applyFill="1" applyBorder="1" applyAlignment="1">
      <alignment horizontal="center" vertical="center"/>
    </xf>
    <xf numFmtId="0" fontId="40" fillId="15" borderId="107" xfId="0" applyFont="1" applyFill="1" applyBorder="1" applyAlignment="1">
      <alignment horizontal="center" vertical="center"/>
    </xf>
    <xf numFmtId="0" fontId="51" fillId="10" borderId="107" xfId="0" applyFont="1" applyFill="1" applyBorder="1" applyAlignment="1">
      <alignment horizontal="center" vertical="center"/>
    </xf>
    <xf numFmtId="0" fontId="51" fillId="10" borderId="108" xfId="0" applyFont="1" applyFill="1" applyBorder="1" applyAlignment="1">
      <alignment horizontal="center" vertical="center"/>
    </xf>
    <xf numFmtId="0" fontId="26" fillId="11" borderId="103" xfId="0" applyFont="1" applyFill="1" applyBorder="1" applyAlignment="1">
      <alignment horizontal="center"/>
    </xf>
    <xf numFmtId="0" fontId="26" fillId="11" borderId="104" xfId="0" applyFont="1" applyFill="1" applyBorder="1" applyAlignment="1">
      <alignment horizontal="center"/>
    </xf>
    <xf numFmtId="0" fontId="34" fillId="12" borderId="104" xfId="0" applyFont="1" applyFill="1" applyBorder="1" applyAlignment="1">
      <alignment horizontal="center"/>
    </xf>
    <xf numFmtId="0" fontId="36" fillId="13" borderId="104" xfId="0" applyFont="1" applyFill="1" applyBorder="1" applyAlignment="1">
      <alignment horizontal="center"/>
    </xf>
    <xf numFmtId="0" fontId="38" fillId="14" borderId="104" xfId="0" applyFont="1" applyFill="1" applyBorder="1" applyAlignment="1">
      <alignment horizontal="center"/>
    </xf>
    <xf numFmtId="0" fontId="40" fillId="15" borderId="104" xfId="0" applyFont="1" applyFill="1" applyBorder="1" applyAlignment="1">
      <alignment horizontal="center"/>
    </xf>
    <xf numFmtId="0" fontId="26" fillId="11" borderId="105" xfId="0" applyFont="1" applyFill="1" applyBorder="1" applyAlignment="1">
      <alignment horizontal="center"/>
    </xf>
    <xf numFmtId="0" fontId="39" fillId="5" borderId="110" xfId="0" applyFont="1" applyFill="1" applyBorder="1" applyAlignment="1">
      <alignment horizontal="center" vertical="center" wrapText="1"/>
    </xf>
    <xf numFmtId="0" fontId="39" fillId="5" borderId="101" xfId="0" applyFont="1" applyFill="1" applyBorder="1" applyAlignment="1">
      <alignment horizontal="center" vertical="center" wrapText="1"/>
    </xf>
    <xf numFmtId="0" fontId="39" fillId="5" borderId="104" xfId="0" applyFont="1" applyFill="1" applyBorder="1" applyAlignment="1">
      <alignment horizontal="center" vertical="center" wrapText="1"/>
    </xf>
    <xf numFmtId="0" fontId="53" fillId="34" borderId="97" xfId="0" applyFont="1" applyFill="1" applyBorder="1" applyAlignment="1">
      <alignment vertical="center" wrapText="1"/>
    </xf>
    <xf numFmtId="0" fontId="61" fillId="12" borderId="98" xfId="0" applyFont="1" applyFill="1" applyBorder="1" applyAlignment="1">
      <alignment horizontal="center" vertical="center" wrapText="1"/>
    </xf>
    <xf numFmtId="0" fontId="33" fillId="12" borderId="98" xfId="0" applyFont="1" applyFill="1" applyBorder="1" applyAlignment="1">
      <alignment vertical="center" wrapText="1"/>
    </xf>
    <xf numFmtId="0" fontId="62" fillId="12" borderId="98" xfId="0" applyFont="1" applyFill="1" applyBorder="1" applyAlignment="1">
      <alignment vertical="center" wrapText="1"/>
    </xf>
    <xf numFmtId="0" fontId="33" fillId="12" borderId="98" xfId="0" applyFont="1" applyFill="1" applyBorder="1" applyAlignment="1">
      <alignment horizontal="center" vertical="center" wrapText="1"/>
    </xf>
    <xf numFmtId="0" fontId="35" fillId="13" borderId="98" xfId="0" applyFont="1" applyFill="1" applyBorder="1" applyAlignment="1">
      <alignment horizontal="center" vertical="center" wrapText="1"/>
    </xf>
    <xf numFmtId="0" fontId="37" fillId="14" borderId="98" xfId="0" applyFont="1" applyFill="1" applyBorder="1" applyAlignment="1">
      <alignment horizontal="center" vertical="center" wrapText="1"/>
    </xf>
    <xf numFmtId="0" fontId="39" fillId="15" borderId="98" xfId="0" applyFont="1" applyFill="1" applyBorder="1" applyAlignment="1">
      <alignment horizontal="center" vertical="center" wrapText="1"/>
    </xf>
    <xf numFmtId="0" fontId="39" fillId="5" borderId="98" xfId="0" applyFont="1" applyFill="1" applyBorder="1" applyAlignment="1">
      <alignment horizontal="center" vertical="center" wrapText="1"/>
    </xf>
    <xf numFmtId="0" fontId="26" fillId="37" borderId="112" xfId="0" applyFont="1" applyFill="1" applyBorder="1" applyAlignment="1">
      <alignment horizontal="center" vertical="center" wrapText="1"/>
    </xf>
    <xf numFmtId="0" fontId="26" fillId="37" borderId="113" xfId="0" applyFont="1" applyFill="1" applyBorder="1" applyAlignment="1">
      <alignment horizontal="center" vertical="center" wrapText="1"/>
    </xf>
    <xf numFmtId="0" fontId="26" fillId="17" borderId="113" xfId="0" applyFont="1" applyFill="1" applyBorder="1" applyAlignment="1">
      <alignment horizontal="center" vertical="center" wrapText="1"/>
    </xf>
    <xf numFmtId="0" fontId="26" fillId="7" borderId="113" xfId="0" applyFont="1" applyFill="1" applyBorder="1" applyAlignment="1">
      <alignment horizontal="center" vertical="center" wrapText="1"/>
    </xf>
    <xf numFmtId="0" fontId="26" fillId="18" borderId="113" xfId="0" applyFont="1" applyFill="1" applyBorder="1" applyAlignment="1">
      <alignment horizontal="center" vertical="center" wrapText="1"/>
    </xf>
    <xf numFmtId="0" fontId="26" fillId="18" borderId="114" xfId="0" applyFont="1" applyFill="1" applyBorder="1" applyAlignment="1">
      <alignment horizontal="center" vertical="center" wrapText="1"/>
    </xf>
    <xf numFmtId="0" fontId="53" fillId="34" borderId="106" xfId="0" applyFont="1" applyFill="1" applyBorder="1" applyAlignment="1">
      <alignment vertical="center" wrapText="1"/>
    </xf>
    <xf numFmtId="0" fontId="61" fillId="12" borderId="107" xfId="0" applyFont="1" applyFill="1" applyBorder="1" applyAlignment="1">
      <alignment horizontal="center" vertical="center" wrapText="1"/>
    </xf>
    <xf numFmtId="0" fontId="33" fillId="12" borderId="107" xfId="0" applyFont="1" applyFill="1" applyBorder="1" applyAlignment="1">
      <alignment vertical="center" wrapText="1"/>
    </xf>
    <xf numFmtId="0" fontId="62" fillId="12" borderId="107" xfId="0" applyFont="1" applyFill="1" applyBorder="1" applyAlignment="1">
      <alignment vertical="center" wrapText="1"/>
    </xf>
    <xf numFmtId="0" fontId="33" fillId="12" borderId="107" xfId="0" applyFont="1" applyFill="1" applyBorder="1" applyAlignment="1">
      <alignment horizontal="center" vertical="center" wrapText="1"/>
    </xf>
    <xf numFmtId="0" fontId="35" fillId="13" borderId="107" xfId="0" applyFont="1" applyFill="1" applyBorder="1" applyAlignment="1">
      <alignment horizontal="center" vertical="center" wrapText="1"/>
    </xf>
    <xf numFmtId="0" fontId="37" fillId="14" borderId="107" xfId="0" applyFont="1" applyFill="1" applyBorder="1" applyAlignment="1">
      <alignment horizontal="center" vertical="center" wrapText="1"/>
    </xf>
    <xf numFmtId="0" fontId="39" fillId="15" borderId="107" xfId="0" applyFont="1" applyFill="1" applyBorder="1" applyAlignment="1">
      <alignment horizontal="center" vertical="center" wrapText="1"/>
    </xf>
    <xf numFmtId="0" fontId="39" fillId="5" borderId="107" xfId="0" applyFont="1" applyFill="1" applyBorder="1" applyAlignment="1">
      <alignment horizontal="center" vertical="center" wrapText="1"/>
    </xf>
    <xf numFmtId="0" fontId="53" fillId="34" borderId="112" xfId="0" applyFont="1" applyFill="1" applyBorder="1" applyAlignment="1">
      <alignment vertical="center" wrapText="1"/>
    </xf>
    <xf numFmtId="0" fontId="61" fillId="12" borderId="113" xfId="0" applyFont="1" applyFill="1" applyBorder="1" applyAlignment="1">
      <alignment horizontal="center" vertical="center" wrapText="1"/>
    </xf>
    <xf numFmtId="0" fontId="33" fillId="12" borderId="113" xfId="0" applyFont="1" applyFill="1" applyBorder="1" applyAlignment="1">
      <alignment vertical="center" wrapText="1"/>
    </xf>
    <xf numFmtId="0" fontId="62" fillId="12" borderId="113" xfId="0" applyFont="1" applyFill="1" applyBorder="1" applyAlignment="1">
      <alignment vertical="center" wrapText="1"/>
    </xf>
    <xf numFmtId="0" fontId="33" fillId="12" borderId="113" xfId="0" applyFont="1" applyFill="1" applyBorder="1" applyAlignment="1">
      <alignment horizontal="center" vertical="center" wrapText="1"/>
    </xf>
    <xf numFmtId="0" fontId="35" fillId="13" borderId="113" xfId="0" applyFont="1" applyFill="1" applyBorder="1" applyAlignment="1">
      <alignment horizontal="center" vertical="center" wrapText="1"/>
    </xf>
    <xf numFmtId="0" fontId="37" fillId="14" borderId="113" xfId="0" applyFont="1" applyFill="1" applyBorder="1" applyAlignment="1">
      <alignment horizontal="center" vertical="center" wrapText="1"/>
    </xf>
    <xf numFmtId="0" fontId="39" fillId="15" borderId="113" xfId="0" applyFont="1" applyFill="1" applyBorder="1" applyAlignment="1">
      <alignment horizontal="center" vertical="center" wrapText="1"/>
    </xf>
    <xf numFmtId="0" fontId="39" fillId="5" borderId="113" xfId="0" applyFont="1" applyFill="1" applyBorder="1" applyAlignment="1">
      <alignment horizontal="center" vertical="center" wrapText="1"/>
    </xf>
    <xf numFmtId="0" fontId="24" fillId="12" borderId="61" xfId="0" applyFont="1" applyFill="1" applyBorder="1" applyAlignment="1" applyProtection="1">
      <alignment horizontal="center" vertical="center"/>
      <protection locked="0"/>
    </xf>
    <xf numFmtId="0" fontId="25" fillId="12" borderId="62" xfId="0" applyFont="1" applyFill="1" applyBorder="1" applyAlignment="1" applyProtection="1">
      <alignment horizontal="center" vertical="center"/>
      <protection locked="0"/>
    </xf>
    <xf numFmtId="0" fontId="24" fillId="12" borderId="62" xfId="0" applyFont="1" applyFill="1" applyBorder="1" applyAlignment="1" applyProtection="1">
      <alignment horizontal="center" vertical="center"/>
      <protection locked="0"/>
    </xf>
    <xf numFmtId="0" fontId="9" fillId="5" borderId="62" xfId="0" applyFont="1" applyFill="1" applyBorder="1" applyAlignment="1" applyProtection="1">
      <alignment horizontal="center" vertical="center"/>
      <protection locked="0"/>
    </xf>
    <xf numFmtId="0" fontId="24" fillId="12" borderId="63" xfId="0" applyFont="1" applyFill="1" applyBorder="1" applyAlignment="1" applyProtection="1">
      <alignment horizontal="center" vertical="center"/>
      <protection locked="0"/>
    </xf>
    <xf numFmtId="0" fontId="9" fillId="8" borderId="6" xfId="0" applyFont="1" applyFill="1" applyBorder="1" applyAlignment="1" applyProtection="1">
      <alignment horizontal="left" vertical="center" wrapText="1" indent="1"/>
      <protection locked="0"/>
    </xf>
    <xf numFmtId="0" fontId="9" fillId="8" borderId="10" xfId="0" applyFont="1" applyFill="1" applyBorder="1" applyAlignment="1" applyProtection="1">
      <alignment horizontal="left" vertical="center" wrapText="1" indent="1"/>
      <protection locked="0"/>
    </xf>
    <xf numFmtId="0" fontId="9" fillId="8" borderId="8" xfId="0" applyFont="1" applyFill="1" applyBorder="1" applyAlignment="1" applyProtection="1">
      <alignment horizontal="left" vertical="center" wrapText="1" indent="1"/>
      <protection locked="0"/>
    </xf>
    <xf numFmtId="0" fontId="12" fillId="12" borderId="64" xfId="0" applyFont="1" applyFill="1" applyBorder="1" applyAlignment="1" applyProtection="1">
      <alignment horizontal="center" vertical="center"/>
      <protection locked="0"/>
    </xf>
    <xf numFmtId="0" fontId="13" fillId="12" borderId="65" xfId="0" applyFont="1" applyFill="1" applyBorder="1" applyAlignment="1" applyProtection="1">
      <alignment horizontal="center" vertical="center"/>
      <protection locked="0"/>
    </xf>
    <xf numFmtId="0" fontId="12" fillId="12" borderId="65" xfId="0" applyFont="1" applyFill="1" applyBorder="1" applyAlignment="1" applyProtection="1">
      <alignment horizontal="center" vertical="center"/>
      <protection locked="0"/>
    </xf>
    <xf numFmtId="0" fontId="12" fillId="12" borderId="66" xfId="0" applyFont="1" applyFill="1" applyBorder="1" applyAlignment="1" applyProtection="1">
      <alignment horizontal="center" vertical="center"/>
      <protection locked="0"/>
    </xf>
    <xf numFmtId="164" fontId="12" fillId="13" borderId="67" xfId="0" applyNumberFormat="1" applyFont="1" applyFill="1" applyBorder="1" applyAlignment="1" applyProtection="1">
      <alignment horizontal="center" vertical="center"/>
      <protection locked="0"/>
    </xf>
    <xf numFmtId="164" fontId="12" fillId="13" borderId="65" xfId="0" applyNumberFormat="1" applyFont="1" applyFill="1" applyBorder="1" applyAlignment="1" applyProtection="1">
      <alignment horizontal="center" vertical="center"/>
      <protection locked="0"/>
    </xf>
    <xf numFmtId="164" fontId="12" fillId="13" borderId="68" xfId="0" applyNumberFormat="1" applyFont="1" applyFill="1" applyBorder="1" applyAlignment="1" applyProtection="1">
      <alignment horizontal="center" vertical="center"/>
      <protection locked="0"/>
    </xf>
    <xf numFmtId="164" fontId="12" fillId="14" borderId="69" xfId="0" applyNumberFormat="1" applyFont="1" applyFill="1" applyBorder="1" applyAlignment="1" applyProtection="1">
      <alignment horizontal="center" vertical="center"/>
      <protection locked="0"/>
    </xf>
    <xf numFmtId="164" fontId="12" fillId="14" borderId="70" xfId="0" applyNumberFormat="1" applyFont="1" applyFill="1" applyBorder="1" applyAlignment="1" applyProtection="1">
      <alignment horizontal="center" vertical="center"/>
      <protection locked="0"/>
    </xf>
    <xf numFmtId="164" fontId="12" fillId="14" borderId="71" xfId="0" applyNumberFormat="1" applyFont="1" applyFill="1" applyBorder="1" applyAlignment="1" applyProtection="1">
      <alignment horizontal="center" vertical="center"/>
      <protection locked="0"/>
    </xf>
    <xf numFmtId="164" fontId="12" fillId="15" borderId="72" xfId="0" applyNumberFormat="1" applyFont="1" applyFill="1" applyBorder="1" applyAlignment="1" applyProtection="1">
      <alignment horizontal="center" vertical="center"/>
      <protection locked="0"/>
    </xf>
    <xf numFmtId="164" fontId="12" fillId="15" borderId="73" xfId="0" applyNumberFormat="1" applyFont="1" applyFill="1" applyBorder="1" applyAlignment="1" applyProtection="1">
      <alignment horizontal="center" vertical="center"/>
      <protection locked="0"/>
    </xf>
    <xf numFmtId="164" fontId="12" fillId="15" borderId="74" xfId="0" applyNumberFormat="1" applyFont="1" applyFill="1" applyBorder="1" applyAlignment="1" applyProtection="1">
      <alignment horizontal="center" vertical="center"/>
      <protection locked="0"/>
    </xf>
    <xf numFmtId="0" fontId="31" fillId="12" borderId="42" xfId="0" applyFont="1" applyFill="1" applyBorder="1" applyAlignment="1" applyProtection="1">
      <alignment horizontal="center" vertical="top" wrapText="1"/>
      <protection locked="0"/>
    </xf>
    <xf numFmtId="0" fontId="31" fillId="12" borderId="46" xfId="0" applyFont="1" applyFill="1" applyBorder="1" applyAlignment="1" applyProtection="1">
      <alignment horizontal="center" vertical="top" wrapText="1"/>
      <protection locked="0"/>
    </xf>
    <xf numFmtId="0" fontId="31" fillId="12" borderId="31" xfId="0" applyFont="1" applyFill="1" applyBorder="1" applyAlignment="1" applyProtection="1">
      <alignment horizontal="center" vertical="top" wrapText="1"/>
      <protection locked="0"/>
    </xf>
    <xf numFmtId="0" fontId="31" fillId="12" borderId="34" xfId="0" applyFont="1" applyFill="1" applyBorder="1" applyAlignment="1" applyProtection="1">
      <alignment horizontal="center" vertical="top" wrapText="1"/>
      <protection locked="0"/>
    </xf>
    <xf numFmtId="0" fontId="31" fillId="12" borderId="49" xfId="0" applyFont="1" applyFill="1" applyBorder="1" applyAlignment="1" applyProtection="1">
      <alignment horizontal="center" vertical="top" wrapText="1"/>
      <protection locked="0"/>
    </xf>
    <xf numFmtId="0" fontId="31" fillId="12" borderId="32" xfId="0" applyFont="1" applyFill="1" applyBorder="1" applyAlignment="1" applyProtection="1">
      <alignment horizontal="center" vertical="top" wrapText="1"/>
      <protection locked="0"/>
    </xf>
    <xf numFmtId="0" fontId="31" fillId="12" borderId="33" xfId="0" applyFont="1" applyFill="1" applyBorder="1" applyAlignment="1" applyProtection="1">
      <alignment horizontal="center" vertical="top" wrapText="1"/>
      <protection locked="0"/>
    </xf>
    <xf numFmtId="1" fontId="32" fillId="13" borderId="39" xfId="0" applyNumberFormat="1" applyFont="1" applyFill="1" applyBorder="1" applyAlignment="1" applyProtection="1">
      <alignment horizontal="center" vertical="top" wrapText="1"/>
      <protection locked="0"/>
    </xf>
    <xf numFmtId="1" fontId="32" fillId="13" borderId="16" xfId="0" applyNumberFormat="1" applyFont="1" applyFill="1" applyBorder="1" applyAlignment="1" applyProtection="1">
      <alignment horizontal="center" vertical="top" wrapText="1"/>
      <protection locked="0"/>
    </xf>
    <xf numFmtId="1" fontId="32" fillId="13" borderId="13" xfId="0" applyNumberFormat="1" applyFont="1" applyFill="1" applyBorder="1" applyAlignment="1" applyProtection="1">
      <alignment horizontal="center" vertical="top" wrapText="1"/>
      <protection locked="0"/>
    </xf>
    <xf numFmtId="1" fontId="32" fillId="13" borderId="51" xfId="0" applyNumberFormat="1" applyFont="1" applyFill="1" applyBorder="1" applyAlignment="1" applyProtection="1">
      <alignment horizontal="center" vertical="top" wrapText="1"/>
      <protection locked="0"/>
    </xf>
    <xf numFmtId="1" fontId="32" fillId="13" borderId="14" xfId="0" applyNumberFormat="1" applyFont="1" applyFill="1" applyBorder="1" applyAlignment="1" applyProtection="1">
      <alignment horizontal="center" vertical="top" wrapText="1"/>
      <protection locked="0"/>
    </xf>
    <xf numFmtId="1" fontId="32" fillId="13" borderId="15" xfId="0" applyNumberFormat="1" applyFont="1" applyFill="1" applyBorder="1" applyAlignment="1" applyProtection="1">
      <alignment horizontal="center" vertical="top" wrapText="1"/>
      <protection locked="0"/>
    </xf>
    <xf numFmtId="1" fontId="32" fillId="13" borderId="24" xfId="0" applyNumberFormat="1" applyFont="1" applyFill="1" applyBorder="1" applyAlignment="1" applyProtection="1">
      <alignment horizontal="center" vertical="top" wrapText="1"/>
      <protection locked="0"/>
    </xf>
    <xf numFmtId="0" fontId="31" fillId="13" borderId="42" xfId="0" applyFont="1" applyFill="1" applyBorder="1" applyAlignment="1" applyProtection="1">
      <alignment horizontal="center" vertical="top" wrapText="1"/>
      <protection locked="0"/>
    </xf>
    <xf numFmtId="0" fontId="31" fillId="13" borderId="46" xfId="0" applyFont="1" applyFill="1" applyBorder="1" applyAlignment="1" applyProtection="1">
      <alignment horizontal="center" vertical="top" wrapText="1"/>
      <protection locked="0"/>
    </xf>
    <xf numFmtId="0" fontId="31" fillId="13" borderId="31" xfId="0" applyFont="1" applyFill="1" applyBorder="1" applyAlignment="1" applyProtection="1">
      <alignment horizontal="center" vertical="top" wrapText="1"/>
      <protection locked="0"/>
    </xf>
    <xf numFmtId="0" fontId="31" fillId="13" borderId="34" xfId="0" applyFont="1" applyFill="1" applyBorder="1" applyAlignment="1" applyProtection="1">
      <alignment horizontal="center" vertical="top" wrapText="1"/>
      <protection locked="0"/>
    </xf>
    <xf numFmtId="0" fontId="31" fillId="13" borderId="49" xfId="0" applyFont="1" applyFill="1" applyBorder="1" applyAlignment="1" applyProtection="1">
      <alignment horizontal="center" vertical="top" wrapText="1"/>
      <protection locked="0"/>
    </xf>
    <xf numFmtId="0" fontId="31" fillId="13" borderId="32" xfId="0" applyFont="1" applyFill="1" applyBorder="1" applyAlignment="1" applyProtection="1">
      <alignment horizontal="center" vertical="top" wrapText="1"/>
      <protection locked="0"/>
    </xf>
    <xf numFmtId="0" fontId="31" fillId="13" borderId="33" xfId="0" applyFont="1" applyFill="1" applyBorder="1" applyAlignment="1" applyProtection="1">
      <alignment horizontal="center" vertical="top" wrapText="1"/>
      <protection locked="0"/>
    </xf>
    <xf numFmtId="0" fontId="31" fillId="15" borderId="39" xfId="0" applyFont="1" applyFill="1" applyBorder="1" applyAlignment="1" applyProtection="1">
      <alignment horizontal="center" vertical="top" wrapText="1"/>
      <protection locked="0"/>
    </xf>
    <xf numFmtId="0" fontId="31" fillId="15" borderId="16" xfId="0" applyFont="1" applyFill="1" applyBorder="1" applyAlignment="1" applyProtection="1">
      <alignment horizontal="center" vertical="top" wrapText="1"/>
      <protection locked="0"/>
    </xf>
    <xf numFmtId="0" fontId="31" fillId="15" borderId="13" xfId="0" applyFont="1" applyFill="1" applyBorder="1" applyAlignment="1" applyProtection="1">
      <alignment horizontal="center" vertical="top" wrapText="1"/>
      <protection locked="0"/>
    </xf>
    <xf numFmtId="0" fontId="31" fillId="15" borderId="51" xfId="0" applyFont="1" applyFill="1" applyBorder="1" applyAlignment="1" applyProtection="1">
      <alignment horizontal="center" vertical="top" wrapText="1"/>
      <protection locked="0"/>
    </xf>
    <xf numFmtId="0" fontId="31" fillId="15" borderId="14" xfId="0" applyFont="1" applyFill="1" applyBorder="1" applyAlignment="1" applyProtection="1">
      <alignment horizontal="center" vertical="top" wrapText="1"/>
      <protection locked="0"/>
    </xf>
    <xf numFmtId="0" fontId="31" fillId="15" borderId="15" xfId="0" applyFont="1" applyFill="1" applyBorder="1" applyAlignment="1" applyProtection="1">
      <alignment horizontal="center" vertical="top" wrapText="1"/>
      <protection locked="0"/>
    </xf>
    <xf numFmtId="0" fontId="31" fillId="15" borderId="24" xfId="0" applyFont="1" applyFill="1" applyBorder="1" applyAlignment="1" applyProtection="1">
      <alignment horizontal="center" vertical="top" wrapText="1"/>
      <protection locked="0"/>
    </xf>
    <xf numFmtId="0" fontId="32" fillId="15" borderId="42" xfId="0" applyFont="1" applyFill="1" applyBorder="1" applyAlignment="1" applyProtection="1">
      <alignment horizontal="left" vertical="top" wrapText="1" indent="1"/>
      <protection locked="0"/>
    </xf>
    <xf numFmtId="0" fontId="10" fillId="23" borderId="39" xfId="0" applyFont="1" applyFill="1" applyBorder="1" applyAlignment="1" applyProtection="1">
      <alignment horizontal="left" vertical="top" wrapText="1" indent="1"/>
      <protection locked="0"/>
    </xf>
    <xf numFmtId="0" fontId="10" fillId="8" borderId="43" xfId="0" applyFont="1" applyFill="1" applyBorder="1" applyAlignment="1" applyProtection="1">
      <alignment horizontal="left" vertical="top" wrapText="1" indent="1"/>
      <protection locked="0"/>
    </xf>
    <xf numFmtId="0" fontId="32" fillId="15" borderId="46" xfId="0" applyFont="1" applyFill="1" applyBorder="1" applyAlignment="1" applyProtection="1">
      <alignment horizontal="left" vertical="top" wrapText="1" indent="1"/>
      <protection locked="0"/>
    </xf>
    <xf numFmtId="0" fontId="10" fillId="23" borderId="16" xfId="0" applyFont="1" applyFill="1" applyBorder="1" applyAlignment="1" applyProtection="1">
      <alignment horizontal="left" vertical="top" wrapText="1" indent="1"/>
      <protection locked="0"/>
    </xf>
    <xf numFmtId="0" fontId="10" fillId="8" borderId="21" xfId="0" applyFont="1" applyFill="1" applyBorder="1" applyAlignment="1" applyProtection="1">
      <alignment horizontal="left" vertical="top" wrapText="1" indent="1"/>
      <protection locked="0"/>
    </xf>
    <xf numFmtId="0" fontId="32" fillId="15" borderId="31" xfId="0" applyFont="1" applyFill="1" applyBorder="1" applyAlignment="1" applyProtection="1">
      <alignment horizontal="left" vertical="top" wrapText="1" indent="1"/>
      <protection locked="0"/>
    </xf>
    <xf numFmtId="0" fontId="10" fillId="23" borderId="13" xfId="0" applyFont="1" applyFill="1" applyBorder="1" applyAlignment="1" applyProtection="1">
      <alignment horizontal="left" vertical="top" wrapText="1" indent="1"/>
      <protection locked="0"/>
    </xf>
    <xf numFmtId="0" fontId="10" fillId="8" borderId="27" xfId="0" applyFont="1" applyFill="1" applyBorder="1" applyAlignment="1" applyProtection="1">
      <alignment horizontal="left" vertical="top" wrapText="1" indent="1"/>
      <protection locked="0"/>
    </xf>
    <xf numFmtId="0" fontId="32" fillId="15" borderId="34" xfId="0" applyFont="1" applyFill="1" applyBorder="1" applyAlignment="1" applyProtection="1">
      <alignment horizontal="left" vertical="top" wrapText="1" indent="1"/>
      <protection locked="0"/>
    </xf>
    <xf numFmtId="0" fontId="10" fillId="23" borderId="51" xfId="0" applyFont="1" applyFill="1" applyBorder="1" applyAlignment="1" applyProtection="1">
      <alignment horizontal="left" vertical="top" wrapText="1" indent="1"/>
      <protection locked="0"/>
    </xf>
    <xf numFmtId="0" fontId="10" fillId="8" borderId="54" xfId="0" applyFont="1" applyFill="1" applyBorder="1" applyAlignment="1" applyProtection="1">
      <alignment horizontal="left" vertical="top" wrapText="1" indent="1"/>
      <protection locked="0"/>
    </xf>
    <xf numFmtId="0" fontId="32" fillId="15" borderId="49" xfId="0" applyFont="1" applyFill="1" applyBorder="1" applyAlignment="1" applyProtection="1">
      <alignment horizontal="left" vertical="top" wrapText="1" indent="1"/>
      <protection locked="0"/>
    </xf>
    <xf numFmtId="0" fontId="10" fillId="23" borderId="14" xfId="0" applyFont="1" applyFill="1" applyBorder="1" applyAlignment="1" applyProtection="1">
      <alignment horizontal="left" vertical="top" wrapText="1" indent="1"/>
      <protection locked="0"/>
    </xf>
    <xf numFmtId="0" fontId="10" fillId="8" borderId="20" xfId="0" applyFont="1" applyFill="1" applyBorder="1" applyAlignment="1" applyProtection="1">
      <alignment horizontal="left" vertical="top" wrapText="1" indent="1"/>
      <protection locked="0"/>
    </xf>
    <xf numFmtId="0" fontId="32" fillId="15" borderId="32" xfId="0" applyFont="1" applyFill="1" applyBorder="1" applyAlignment="1" applyProtection="1">
      <alignment horizontal="left" vertical="top" wrapText="1" indent="1"/>
      <protection locked="0"/>
    </xf>
    <xf numFmtId="0" fontId="10" fillId="23" borderId="15" xfId="0" applyFont="1" applyFill="1" applyBorder="1" applyAlignment="1" applyProtection="1">
      <alignment horizontal="left" vertical="top" wrapText="1" indent="1"/>
      <protection locked="0"/>
    </xf>
    <xf numFmtId="0" fontId="10" fillId="8" borderId="22" xfId="0" applyFont="1" applyFill="1" applyBorder="1" applyAlignment="1" applyProtection="1">
      <alignment horizontal="left" vertical="top" wrapText="1" indent="1"/>
      <protection locked="0"/>
    </xf>
    <xf numFmtId="0" fontId="32" fillId="15" borderId="33" xfId="0" applyFont="1" applyFill="1" applyBorder="1" applyAlignment="1" applyProtection="1">
      <alignment horizontal="left" vertical="top" wrapText="1" indent="1"/>
      <protection locked="0"/>
    </xf>
    <xf numFmtId="0" fontId="10" fillId="23" borderId="24" xfId="0" applyFont="1" applyFill="1" applyBorder="1" applyAlignment="1" applyProtection="1">
      <alignment horizontal="left" vertical="top" wrapText="1" indent="1"/>
      <protection locked="0"/>
    </xf>
    <xf numFmtId="0" fontId="10" fillId="8" borderId="25" xfId="0" applyFont="1" applyFill="1" applyBorder="1" applyAlignment="1" applyProtection="1">
      <alignment horizontal="left" vertical="top" wrapText="1" indent="1"/>
      <protection locked="0"/>
    </xf>
    <xf numFmtId="0" fontId="33" fillId="12" borderId="98" xfId="0" applyFont="1" applyFill="1" applyBorder="1" applyAlignment="1" applyProtection="1">
      <alignment horizontal="center" vertical="center" wrapText="1"/>
      <protection locked="0"/>
    </xf>
    <xf numFmtId="0" fontId="33" fillId="12" borderId="110" xfId="0" applyFont="1" applyFill="1" applyBorder="1" applyAlignment="1" applyProtection="1">
      <alignment horizontal="center" vertical="center" wrapText="1"/>
      <protection locked="0"/>
    </xf>
    <xf numFmtId="0" fontId="33" fillId="12" borderId="101" xfId="0" applyFont="1" applyFill="1" applyBorder="1" applyAlignment="1" applyProtection="1">
      <alignment horizontal="center" vertical="center" wrapText="1"/>
      <protection locked="0"/>
    </xf>
    <xf numFmtId="0" fontId="33" fillId="12" borderId="107" xfId="0" applyFont="1" applyFill="1" applyBorder="1" applyAlignment="1" applyProtection="1">
      <alignment horizontal="center" vertical="center" wrapText="1"/>
      <protection locked="0"/>
    </xf>
    <xf numFmtId="0" fontId="33" fillId="12" borderId="113" xfId="0" applyFont="1" applyFill="1" applyBorder="1" applyAlignment="1" applyProtection="1">
      <alignment horizontal="center" vertical="center" wrapText="1"/>
      <protection locked="0"/>
    </xf>
    <xf numFmtId="0" fontId="33" fillId="12" borderId="104" xfId="0" applyFont="1" applyFill="1" applyBorder="1" applyAlignment="1" applyProtection="1">
      <alignment horizontal="center" vertical="center" wrapText="1"/>
      <protection locked="0"/>
    </xf>
    <xf numFmtId="0" fontId="35" fillId="13" borderId="98" xfId="0" applyFont="1" applyFill="1" applyBorder="1" applyAlignment="1" applyProtection="1">
      <alignment horizontal="center" vertical="center" wrapText="1"/>
      <protection locked="0"/>
    </xf>
    <xf numFmtId="0" fontId="35" fillId="13" borderId="110" xfId="0" applyFont="1" applyFill="1" applyBorder="1" applyAlignment="1" applyProtection="1">
      <alignment horizontal="center" vertical="center" wrapText="1"/>
      <protection locked="0"/>
    </xf>
    <xf numFmtId="0" fontId="35" fillId="13" borderId="101" xfId="0" applyFont="1" applyFill="1" applyBorder="1" applyAlignment="1" applyProtection="1">
      <alignment horizontal="center" vertical="center" wrapText="1"/>
      <protection locked="0"/>
    </xf>
    <xf numFmtId="0" fontId="35" fillId="13" borderId="107" xfId="0" applyFont="1" applyFill="1" applyBorder="1" applyAlignment="1" applyProtection="1">
      <alignment horizontal="center" vertical="center" wrapText="1"/>
      <protection locked="0"/>
    </xf>
    <xf numFmtId="0" fontId="35" fillId="13" borderId="113" xfId="0" applyFont="1" applyFill="1" applyBorder="1" applyAlignment="1" applyProtection="1">
      <alignment horizontal="center" vertical="center" wrapText="1"/>
      <protection locked="0"/>
    </xf>
    <xf numFmtId="0" fontId="35" fillId="13" borderId="104" xfId="0" applyFont="1" applyFill="1" applyBorder="1" applyAlignment="1" applyProtection="1">
      <alignment horizontal="center" vertical="center" wrapText="1"/>
      <protection locked="0"/>
    </xf>
    <xf numFmtId="0" fontId="37" fillId="14" borderId="98" xfId="0" applyFont="1" applyFill="1" applyBorder="1" applyAlignment="1" applyProtection="1">
      <alignment horizontal="center" vertical="center" wrapText="1"/>
      <protection locked="0"/>
    </xf>
    <xf numFmtId="0" fontId="37" fillId="14" borderId="110" xfId="0" applyFont="1" applyFill="1" applyBorder="1" applyAlignment="1" applyProtection="1">
      <alignment horizontal="center" vertical="center" wrapText="1"/>
      <protection locked="0"/>
    </xf>
    <xf numFmtId="0" fontId="37" fillId="14" borderId="101" xfId="0" applyFont="1" applyFill="1" applyBorder="1" applyAlignment="1" applyProtection="1">
      <alignment horizontal="center" vertical="center" wrapText="1"/>
      <protection locked="0"/>
    </xf>
    <xf numFmtId="0" fontId="37" fillId="14" borderId="107" xfId="0" applyFont="1" applyFill="1" applyBorder="1" applyAlignment="1" applyProtection="1">
      <alignment horizontal="center" vertical="center" wrapText="1"/>
      <protection locked="0"/>
    </xf>
    <xf numFmtId="0" fontId="37" fillId="14" borderId="113" xfId="0" applyFont="1" applyFill="1" applyBorder="1" applyAlignment="1" applyProtection="1">
      <alignment horizontal="center" vertical="center" wrapText="1"/>
      <protection locked="0"/>
    </xf>
    <xf numFmtId="0" fontId="37" fillId="14" borderId="104" xfId="0" applyFont="1" applyFill="1" applyBorder="1" applyAlignment="1" applyProtection="1">
      <alignment horizontal="center" vertical="center" wrapText="1"/>
      <protection locked="0"/>
    </xf>
    <xf numFmtId="0" fontId="39" fillId="15" borderId="98" xfId="0" applyFont="1" applyFill="1" applyBorder="1" applyAlignment="1" applyProtection="1">
      <alignment horizontal="center" vertical="center" wrapText="1"/>
      <protection locked="0"/>
    </xf>
    <xf numFmtId="0" fontId="39" fillId="15" borderId="110" xfId="0" applyFont="1" applyFill="1" applyBorder="1" applyAlignment="1" applyProtection="1">
      <alignment horizontal="center" vertical="center" wrapText="1"/>
      <protection locked="0"/>
    </xf>
    <xf numFmtId="0" fontId="39" fillId="15" borderId="101" xfId="0" applyFont="1" applyFill="1" applyBorder="1" applyAlignment="1" applyProtection="1">
      <alignment horizontal="center" vertical="center" wrapText="1"/>
      <protection locked="0"/>
    </xf>
    <xf numFmtId="0" fontId="39" fillId="15" borderId="107" xfId="0" applyFont="1" applyFill="1" applyBorder="1" applyAlignment="1" applyProtection="1">
      <alignment horizontal="center" vertical="center" wrapText="1"/>
      <protection locked="0"/>
    </xf>
    <xf numFmtId="0" fontId="39" fillId="15" borderId="113" xfId="0" applyFont="1" applyFill="1" applyBorder="1" applyAlignment="1" applyProtection="1">
      <alignment horizontal="center" vertical="center" wrapText="1"/>
      <protection locked="0"/>
    </xf>
    <xf numFmtId="0" fontId="39" fillId="15" borderId="104" xfId="0" applyFont="1" applyFill="1" applyBorder="1" applyAlignment="1" applyProtection="1">
      <alignment horizontal="center" vertical="center" wrapText="1"/>
      <protection locked="0"/>
    </xf>
    <xf numFmtId="0" fontId="63" fillId="13" borderId="98" xfId="0" applyFont="1" applyFill="1" applyBorder="1" applyAlignment="1" applyProtection="1">
      <alignment vertical="center" wrapText="1"/>
      <protection locked="0"/>
    </xf>
    <xf numFmtId="0" fontId="63" fillId="14" borderId="98" xfId="0" applyFont="1" applyFill="1" applyBorder="1" applyAlignment="1" applyProtection="1">
      <alignment vertical="center" wrapText="1"/>
      <protection locked="0"/>
    </xf>
    <xf numFmtId="0" fontId="63" fillId="15" borderId="99" xfId="0" applyFont="1" applyFill="1" applyBorder="1" applyAlignment="1" applyProtection="1">
      <alignment vertical="center" wrapText="1"/>
      <protection locked="0"/>
    </xf>
    <xf numFmtId="0" fontId="63" fillId="13" borderId="110" xfId="0" applyFont="1" applyFill="1" applyBorder="1" applyAlignment="1" applyProtection="1">
      <alignment vertical="center" wrapText="1"/>
      <protection locked="0"/>
    </xf>
    <xf numFmtId="0" fontId="63" fillId="14" borderId="110" xfId="0" applyFont="1" applyFill="1" applyBorder="1" applyAlignment="1" applyProtection="1">
      <alignment vertical="center" wrapText="1"/>
      <protection locked="0"/>
    </xf>
    <xf numFmtId="0" fontId="63" fillId="15" borderId="111" xfId="0" applyFont="1" applyFill="1" applyBorder="1" applyAlignment="1" applyProtection="1">
      <alignment vertical="center" wrapText="1"/>
      <protection locked="0"/>
    </xf>
    <xf numFmtId="0" fontId="63" fillId="13" borderId="101" xfId="0" applyFont="1" applyFill="1" applyBorder="1" applyAlignment="1" applyProtection="1">
      <alignment vertical="center" wrapText="1"/>
      <protection locked="0"/>
    </xf>
    <xf numFmtId="0" fontId="63" fillId="14" borderId="101" xfId="0" applyFont="1" applyFill="1" applyBorder="1" applyAlignment="1" applyProtection="1">
      <alignment vertical="center" wrapText="1"/>
      <protection locked="0"/>
    </xf>
    <xf numFmtId="0" fontId="63" fillId="15" borderId="102" xfId="0" applyFont="1" applyFill="1" applyBorder="1" applyAlignment="1" applyProtection="1">
      <alignment vertical="center" wrapText="1"/>
      <protection locked="0"/>
    </xf>
    <xf numFmtId="0" fontId="63" fillId="13" borderId="107" xfId="0" applyFont="1" applyFill="1" applyBorder="1" applyAlignment="1" applyProtection="1">
      <alignment vertical="center" wrapText="1"/>
      <protection locked="0"/>
    </xf>
    <xf numFmtId="0" fontId="63" fillId="14" borderId="107" xfId="0" applyFont="1" applyFill="1" applyBorder="1" applyAlignment="1" applyProtection="1">
      <alignment vertical="center" wrapText="1"/>
      <protection locked="0"/>
    </xf>
    <xf numFmtId="0" fontId="63" fillId="15" borderId="108" xfId="0" applyFont="1" applyFill="1" applyBorder="1" applyAlignment="1" applyProtection="1">
      <alignment vertical="center" wrapText="1"/>
      <protection locked="0"/>
    </xf>
    <xf numFmtId="0" fontId="63" fillId="13" borderId="113" xfId="0" applyFont="1" applyFill="1" applyBorder="1" applyAlignment="1" applyProtection="1">
      <alignment vertical="center" wrapText="1"/>
      <protection locked="0"/>
    </xf>
    <xf numFmtId="0" fontId="63" fillId="14" borderId="113" xfId="0" applyFont="1" applyFill="1" applyBorder="1" applyAlignment="1" applyProtection="1">
      <alignment vertical="center" wrapText="1"/>
      <protection locked="0"/>
    </xf>
    <xf numFmtId="0" fontId="63" fillId="15" borderId="114" xfId="0" applyFont="1" applyFill="1" applyBorder="1" applyAlignment="1" applyProtection="1">
      <alignment vertical="center" wrapText="1"/>
      <protection locked="0"/>
    </xf>
    <xf numFmtId="0" fontId="63" fillId="13" borderId="104" xfId="0" applyFont="1" applyFill="1" applyBorder="1" applyAlignment="1" applyProtection="1">
      <alignment vertical="center" wrapText="1"/>
      <protection locked="0"/>
    </xf>
    <xf numFmtId="0" fontId="63" fillId="14" borderId="104" xfId="0" applyFont="1" applyFill="1" applyBorder="1" applyAlignment="1" applyProtection="1">
      <alignment vertical="center" wrapText="1"/>
      <protection locked="0"/>
    </xf>
    <xf numFmtId="0" fontId="63" fillId="15" borderId="105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24"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C408176F-1624-42E1-B8A9-1218675918C7}">
    <Anchor>
      <Comment id="{CFF35DEE-BB25-4688-B51C-6F3788799EE0}"/>
    </Anchor>
    <History>
      <Event time="2026-04-22T14:27:07.99" id="{5CD10683-6BD6-4862-B6C2-A82B0552AF93}">
        <Attribution userId="S::rishabh.dogra@rackspace.com::358d97ee-61d4-4021-a836-71eb434cbd94" userName="Rishabh Dogra" userProvider="AD"/>
        <Anchor>
          <Comment id="{955542F9-29D8-45E4-B447-7A439ABC7914}"/>
        </Anchor>
        <Create/>
      </Event>
      <Event time="2026-04-22T14:27:07.99" id="{8154F525-7F08-4243-85C9-DF831EC89EFF}">
        <Attribution userId="S::rishabh.dogra@rackspace.com::358d97ee-61d4-4021-a836-71eb434cbd94" userName="Rishabh Dogra" userProvider="AD"/>
        <Anchor>
          <Comment id="{955542F9-29D8-45E4-B447-7A439ABC7914}"/>
        </Anchor>
        <Assign userId="S::upendra.kumar@rackspace.com::6c07c951-56e6-444d-b54c-43a261dacbee" userName="Upendra Kumar" userProvider="AD"/>
      </Event>
      <Event time="2026-04-22T14:27:07.99" id="{07A984B3-E4FF-4CEA-9E6C-3064FA324A69}">
        <Attribution userId="S::rishabh.dogra@rackspace.com::358d97ee-61d4-4021-a836-71eb434cbd94" userName="Rishabh Dogra" userProvider="AD"/>
        <Anchor>
          <Comment id="{955542F9-29D8-45E4-B447-7A439ABC7914}"/>
        </Anchor>
        <SetTitle title="@Upendra Kumar - Adjust weights and rationale accordingly in the selection criteria sheet please. Removing the Azure lags line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Upendra Kumar" id="{119E459A-A848-41AE-9E5E-F90610D768EB}" userId="upendra.kumar@rackspace.com" providerId="PeoplePicker"/>
  <person displayName="Scott Beckford" id="{ECEA4739-EAB9-43AC-A11E-92B633BC847C}" userId="scott.beckford@rackspace.com" providerId="PeoplePicker"/>
  <person displayName="Rishabh Dogra" id="{D501A85E-EB26-4B30-BE2F-667AE932223D}" userId="S::rishabh.dogra@rackspace.com::358d97ee-61d4-4021-a836-71eb434cbd94" providerId="AD"/>
  <person displayName="Upendra Kumar" id="{A95294E2-8E49-4233-88BD-840CC4FFBED7}" userId="S::upendra.kumar@rackspace.com::6c07c951-56e6-444d-b54c-43a261dacbee" providerId="AD"/>
  <person displayName="Matthew Wright" id="{41A5FDE4-AF99-47FF-B248-0FFBE4DA918B}" userId="S::matthew.wright@rackspace.com::0d3ab189-59d5-47dc-8275-9fbc0b028d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dT="2026-04-22T12:54:00.54" personId="{A95294E2-8E49-4233-88BD-840CC4FFBED7}" id="{CFF35DEE-BB25-4688-B51C-6F3788799EE0}" done="1">
    <text xml:space="preserve"> Breaking news needs sub-60s scaling. AWS Karpenter leads (30-60s node provisioning). AKS now has Karpenter via Node Auto Provisioning (NAP) in GA - closing the gap with AWS. GKE Autopilot offers simplest managed experience for small K8s teams. All three now competitive on autoscaling.</text>
  </threadedComment>
  <threadedComment ref="I7" dT="2026-04-22T14:27:08.08" personId="{D501A85E-EB26-4B30-BE2F-667AE932223D}" id="{955542F9-29D8-45E4-B447-7A439ABC7914}" parentId="{CFF35DEE-BB25-4688-B51C-6F3788799EE0}">
    <text>@Upendra Kumar - Adjust weights and rationale accordingly in the selection criteria sheet please. Removing the Azure lags line.</text>
    <mentions>
      <mention mentionpersonId="{119E459A-A848-41AE-9E5E-F90610D768EB}" mentionId="{A4DAF1BB-D89A-4EC2-BC8A-704561BDF383}" startIndex="0" length="14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36" dT="2026-04-22T15:24:59.84" personId="{41A5FDE4-AF99-47FF-B248-0FFBE4DA918B}" id="{42E1A169-D379-AA4F-AA62-FE36410D59C9}">
    <text xml:space="preserve">@Scott Beckford if we are presenting this to the customer my view is the justifications need to be in the same format. Right now, Azure is structured totally differently. </text>
    <mentions>
      <mention mentionpersonId="{ECEA4739-EAB9-43AC-A11E-92B633BC847C}" mentionId="{5FDCBE70-AEAA-D640-8156-7ADD7A3AB78F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zoomScaleNormal="100" workbookViewId="0">
      <pane ySplit="3" topLeftCell="A4" activePane="bottomLeft" state="frozen"/>
      <selection activeCell="C1" sqref="C1"/>
      <selection pane="bottomLeft" activeCell="F7" sqref="F7"/>
    </sheetView>
  </sheetViews>
  <sheetFormatPr defaultColWidth="8.81640625" defaultRowHeight="14.5"/>
  <cols>
    <col min="1" max="1" width="21.81640625" customWidth="1"/>
    <col min="2" max="2" width="18.1796875" customWidth="1"/>
    <col min="3" max="3" width="14.1796875" bestFit="1" customWidth="1"/>
    <col min="4" max="5" width="11.81640625" bestFit="1" customWidth="1"/>
    <col min="6" max="8" width="12.7265625" customWidth="1"/>
    <col min="9" max="9" width="81.81640625" customWidth="1"/>
    <col min="10" max="10" width="13" hidden="1" customWidth="1"/>
  </cols>
  <sheetData>
    <row r="1" spans="1:10" ht="35" customHeight="1">
      <c r="A1" s="193" t="s">
        <v>183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26" customHeight="1">
      <c r="A2" s="208" t="s">
        <v>176</v>
      </c>
      <c r="B2" s="195" t="s">
        <v>177</v>
      </c>
      <c r="C2" s="196" t="s">
        <v>180</v>
      </c>
      <c r="D2" s="197" t="s">
        <v>181</v>
      </c>
      <c r="E2" s="198" t="s">
        <v>182</v>
      </c>
      <c r="F2" s="199" t="s">
        <v>175</v>
      </c>
      <c r="G2" s="199" t="s">
        <v>186</v>
      </c>
      <c r="H2" s="199" t="s">
        <v>187</v>
      </c>
      <c r="I2" s="200" t="s">
        <v>188</v>
      </c>
      <c r="J2" s="201"/>
    </row>
    <row r="3" spans="1:10" ht="30" customHeight="1" thickBot="1">
      <c r="A3" s="3" t="s">
        <v>308</v>
      </c>
      <c r="B3" s="51"/>
      <c r="C3" s="52"/>
      <c r="D3" s="53"/>
      <c r="E3" s="54"/>
      <c r="F3" s="52"/>
      <c r="G3" s="53"/>
      <c r="H3" s="54"/>
      <c r="I3" s="3"/>
      <c r="J3" s="3"/>
    </row>
    <row r="4" spans="1:10" ht="50" customHeight="1" thickBot="1">
      <c r="A4" s="56" t="s">
        <v>0</v>
      </c>
      <c r="B4" s="57" t="s">
        <v>165</v>
      </c>
      <c r="C4" s="58" t="s">
        <v>1</v>
      </c>
      <c r="D4" s="59" t="s">
        <v>2</v>
      </c>
      <c r="E4" s="60" t="s">
        <v>3</v>
      </c>
      <c r="F4" s="58" t="s">
        <v>4</v>
      </c>
      <c r="G4" s="59" t="s">
        <v>5</v>
      </c>
      <c r="H4" s="60" t="s">
        <v>6</v>
      </c>
      <c r="I4" s="4" t="s">
        <v>7</v>
      </c>
    </row>
    <row r="5" spans="1:10" ht="50" customHeight="1">
      <c r="A5" s="61" t="s">
        <v>8</v>
      </c>
      <c r="B5" s="299">
        <f>IF(ScoringSummary!B4="","[Select Priority]",ScoringSummary!B4)</f>
        <v>4</v>
      </c>
      <c r="C5" s="62">
        <f>IF(ScoringSummary!C4="","[0.0]",ScoringSummary!C4)</f>
        <v>4</v>
      </c>
      <c r="D5" s="63">
        <f>IF(ScoringSummary!D4="","[0.0]",ScoringSummary!D4)</f>
        <v>4</v>
      </c>
      <c r="E5" s="64">
        <f>IF(ScoringSummary!E4="","[0.0]",ScoringSummary!E4)</f>
        <v>4</v>
      </c>
      <c r="F5" s="65">
        <f>IF(OR(ScoringSummary!C4="",ScoringSummary!C4=0),"[---%]",ScoringSummary!C4/5)</f>
        <v>0.8</v>
      </c>
      <c r="G5" s="66">
        <f>IF(OR(ScoringSummary!D4="",ScoringSummary!D4=0),"[---%]",ScoringSummary!D4/5)</f>
        <v>0.8</v>
      </c>
      <c r="H5" s="67">
        <f>IF(OR(ScoringSummary!E4="",ScoringSummary!E4=0),"[---%]",ScoringSummary!E4/5)</f>
        <v>0.8</v>
      </c>
      <c r="I5" s="304" t="s">
        <v>168</v>
      </c>
      <c r="J5">
        <v>3.6</v>
      </c>
    </row>
    <row r="6" spans="1:10" ht="50" customHeight="1">
      <c r="A6" s="68" t="s">
        <v>9</v>
      </c>
      <c r="B6" s="300" t="str">
        <f>IF(ScoringSummary!B5="","[Select Priority]",ScoringSummary!B5)</f>
        <v>[Select Priority]</v>
      </c>
      <c r="C6" s="69" t="str">
        <f>IF(ScoringSummary!C5="","[0.0]",ScoringSummary!C5)</f>
        <v>[0.0]</v>
      </c>
      <c r="D6" s="70" t="str">
        <f>IF(ScoringSummary!D5="","[0.0]",ScoringSummary!D5)</f>
        <v>[0.0]</v>
      </c>
      <c r="E6" s="71" t="str">
        <f>IF(ScoringSummary!E5="","[0.0]",ScoringSummary!E5)</f>
        <v>[0.0]</v>
      </c>
      <c r="F6" s="72" t="str">
        <f>IF(OR(ScoringSummary!C5="",ScoringSummary!C5=0),"[---%]",ScoringSummary!C5/5)</f>
        <v>[---%]</v>
      </c>
      <c r="G6" s="73" t="str">
        <f>IF(OR(ScoringSummary!D5="",ScoringSummary!D5=0),"[---%]",ScoringSummary!D5/5)</f>
        <v>[---%]</v>
      </c>
      <c r="H6" s="74" t="str">
        <f>IF(OR(ScoringSummary!E5="",ScoringSummary!E5=0),"[---%]",ScoringSummary!E5/5)</f>
        <v>[---%]</v>
      </c>
      <c r="I6" s="305" t="s">
        <v>168</v>
      </c>
      <c r="J6">
        <v>3.3333333333333299</v>
      </c>
    </row>
    <row r="7" spans="1:10" ht="50" customHeight="1">
      <c r="A7" s="75" t="s">
        <v>10</v>
      </c>
      <c r="B7" s="300" t="str">
        <f>IF(ScoringSummary!B6="","[Select Priority]",ScoringSummary!B6)</f>
        <v>[Select Priority]</v>
      </c>
      <c r="C7" s="69" t="str">
        <f>IF(ScoringSummary!C6="","[0.0]",ScoringSummary!C6)</f>
        <v>[0.0]</v>
      </c>
      <c r="D7" s="70" t="str">
        <f>IF(ScoringSummary!D6="","[0.0]",ScoringSummary!D6)</f>
        <v>[0.0]</v>
      </c>
      <c r="E7" s="71" t="str">
        <f>IF(ScoringSummary!E6="","[0.0]",ScoringSummary!E6)</f>
        <v>[0.0]</v>
      </c>
      <c r="F7" s="72" t="str">
        <f>IF(OR(ScoringSummary!C6="",ScoringSummary!C6=0),"[---%]",ScoringSummary!C6/5)</f>
        <v>[---%]</v>
      </c>
      <c r="G7" s="73" t="str">
        <f>IF(OR(ScoringSummary!D6="",ScoringSummary!D6=0),"[---%]",ScoringSummary!D6/5)</f>
        <v>[---%]</v>
      </c>
      <c r="H7" s="74" t="str">
        <f>IF(OR(ScoringSummary!E6="",ScoringSummary!E6=0),"[---%]",ScoringSummary!E6/5)</f>
        <v>[---%]</v>
      </c>
      <c r="I7" s="305" t="s">
        <v>168</v>
      </c>
      <c r="J7">
        <v>2.5</v>
      </c>
    </row>
    <row r="8" spans="1:10" ht="50" customHeight="1">
      <c r="A8" s="68" t="s">
        <v>11</v>
      </c>
      <c r="B8" s="300" t="str">
        <f>IF(ScoringSummary!B7="","[Select Priority]",ScoringSummary!B7)</f>
        <v>[Select Priority]</v>
      </c>
      <c r="C8" s="69" t="str">
        <f>IF(ScoringSummary!C7="","[0.0]",ScoringSummary!C7)</f>
        <v>[0.0]</v>
      </c>
      <c r="D8" s="70" t="str">
        <f>IF(ScoringSummary!D7="","[0.0]",ScoringSummary!D7)</f>
        <v>[0.0]</v>
      </c>
      <c r="E8" s="71" t="str">
        <f>IF(ScoringSummary!E7="","[0.0]",ScoringSummary!E7)</f>
        <v>[0.0]</v>
      </c>
      <c r="F8" s="72" t="str">
        <f>IF(OR(ScoringSummary!C7="",ScoringSummary!C7=0),"[---%]",ScoringSummary!C7/5)</f>
        <v>[---%]</v>
      </c>
      <c r="G8" s="73" t="str">
        <f>IF(OR(ScoringSummary!D7="",ScoringSummary!D7=0),"[---%]",ScoringSummary!D7/5)</f>
        <v>[---%]</v>
      </c>
      <c r="H8" s="74" t="str">
        <f>IF(OR(ScoringSummary!E7="",ScoringSummary!E7=0),"[---%]",ScoringSummary!E7/5)</f>
        <v>[---%]</v>
      </c>
      <c r="I8" s="305" t="s">
        <v>168</v>
      </c>
      <c r="J8">
        <v>3.2</v>
      </c>
    </row>
    <row r="9" spans="1:10" ht="50" customHeight="1">
      <c r="A9" s="75" t="s">
        <v>12</v>
      </c>
      <c r="B9" s="301" t="str">
        <f>IF(ScoringSummary!B8="","[Select Priority]",ScoringSummary!B8)</f>
        <v>[Select Priority]</v>
      </c>
      <c r="C9" s="69" t="str">
        <f>IF(ScoringSummary!C8="","[0.0]",ScoringSummary!C8)</f>
        <v>[0.0]</v>
      </c>
      <c r="D9" s="70" t="str">
        <f>IF(ScoringSummary!D8="","[0.0]",ScoringSummary!D8)</f>
        <v>[0.0]</v>
      </c>
      <c r="E9" s="71" t="str">
        <f>IF(ScoringSummary!E8="","[0.0]",ScoringSummary!E8)</f>
        <v>[0.0]</v>
      </c>
      <c r="F9" s="72" t="str">
        <f>IF(OR(ScoringSummary!C8="",ScoringSummary!C8=0),"[---%]",ScoringSummary!C8/5)</f>
        <v>[---%]</v>
      </c>
      <c r="G9" s="73" t="str">
        <f>IF(OR(ScoringSummary!D8="",ScoringSummary!D8=0),"[---%]",ScoringSummary!D8/5)</f>
        <v>[---%]</v>
      </c>
      <c r="H9" s="74" t="str">
        <f>IF(OR(ScoringSummary!E8="",ScoringSummary!E8=0),"[---%]",ScoringSummary!E8/5)</f>
        <v>[---%]</v>
      </c>
      <c r="I9" s="305" t="s">
        <v>168</v>
      </c>
      <c r="J9">
        <v>3.75</v>
      </c>
    </row>
    <row r="10" spans="1:10" ht="50" customHeight="1">
      <c r="A10" s="68" t="s">
        <v>13</v>
      </c>
      <c r="B10" s="300" t="str">
        <f>IF(ScoringSummary!B9="","[Select Priority]",ScoringSummary!B9)</f>
        <v>[Select Priority]</v>
      </c>
      <c r="C10" s="69" t="str">
        <f>IF(ScoringSummary!C9="","[0.0]",ScoringSummary!C9)</f>
        <v>[0.0]</v>
      </c>
      <c r="D10" s="70" t="str">
        <f>IF(ScoringSummary!D9="","[0.0]",ScoringSummary!D9)</f>
        <v>[0.0]</v>
      </c>
      <c r="E10" s="71" t="str">
        <f>IF(ScoringSummary!E9="","[0.0]",ScoringSummary!E9)</f>
        <v>[0.0]</v>
      </c>
      <c r="F10" s="72" t="str">
        <f>IF(OR(ScoringSummary!C9="",ScoringSummary!C9=0),"[---%]",ScoringSummary!C9/5)</f>
        <v>[---%]</v>
      </c>
      <c r="G10" s="73" t="str">
        <f>IF(OR(ScoringSummary!D9="",ScoringSummary!D9=0),"[---%]",ScoringSummary!D9/5)</f>
        <v>[---%]</v>
      </c>
      <c r="H10" s="74" t="str">
        <f>IF(OR(ScoringSummary!E9="",ScoringSummary!E9=0),"[---%]",ScoringSummary!E9/5)</f>
        <v>[---%]</v>
      </c>
      <c r="I10" s="305" t="s">
        <v>168</v>
      </c>
      <c r="J10">
        <v>2.75</v>
      </c>
    </row>
    <row r="11" spans="1:10" ht="50" customHeight="1">
      <c r="A11" s="75" t="s">
        <v>14</v>
      </c>
      <c r="B11" s="300" t="str">
        <f>IF(ScoringSummary!B10="","[Select Priority]",ScoringSummary!B10)</f>
        <v>[Select Priority]</v>
      </c>
      <c r="C11" s="69" t="str">
        <f>IF(ScoringSummary!C10="","[0.0]",ScoringSummary!C10)</f>
        <v>[0.0]</v>
      </c>
      <c r="D11" s="70" t="str">
        <f>IF(ScoringSummary!D10="","[0.0]",ScoringSummary!D10)</f>
        <v>[0.0]</v>
      </c>
      <c r="E11" s="71" t="str">
        <f>IF(ScoringSummary!E10="","[0.0]",ScoringSummary!E10)</f>
        <v>[0.0]</v>
      </c>
      <c r="F11" s="72" t="str">
        <f>IF(OR(ScoringSummary!C10="",ScoringSummary!C10=0),"[---%]",ScoringSummary!C10/5)</f>
        <v>[---%]</v>
      </c>
      <c r="G11" s="73" t="str">
        <f>IF(OR(ScoringSummary!D10="",ScoringSummary!D10=0),"[---%]",ScoringSummary!D10/5)</f>
        <v>[---%]</v>
      </c>
      <c r="H11" s="74" t="str">
        <f>IF(OR(ScoringSummary!E10="",ScoringSummary!E10=0),"[---%]",ScoringSummary!E10/5)</f>
        <v>[---%]</v>
      </c>
      <c r="I11" s="305" t="s">
        <v>168</v>
      </c>
      <c r="J11">
        <v>3.3333333333333299</v>
      </c>
    </row>
    <row r="12" spans="1:10" ht="50" customHeight="1">
      <c r="A12" s="68" t="s">
        <v>15</v>
      </c>
      <c r="B12" s="301" t="str">
        <f>IF(ScoringSummary!B11="","[Select Priority]",ScoringSummary!B11)</f>
        <v>[Select Priority]</v>
      </c>
      <c r="C12" s="69" t="str">
        <f>IF(ScoringSummary!C11="","[0.0]",ScoringSummary!C11)</f>
        <v>[0.0]</v>
      </c>
      <c r="D12" s="70" t="str">
        <f>IF(ScoringSummary!D11="","[0.0]",ScoringSummary!D11)</f>
        <v>[0.0]</v>
      </c>
      <c r="E12" s="71" t="str">
        <f>IF(ScoringSummary!E11="","[0.0]",ScoringSummary!E11)</f>
        <v>[0.0]</v>
      </c>
      <c r="F12" s="72" t="str">
        <f>IF(OR(ScoringSummary!C11="",ScoringSummary!C11=0),"[---%]",ScoringSummary!C11/5)</f>
        <v>[---%]</v>
      </c>
      <c r="G12" s="73" t="str">
        <f>IF(OR(ScoringSummary!D11="",ScoringSummary!D11=0),"[---%]",ScoringSummary!D11/5)</f>
        <v>[---%]</v>
      </c>
      <c r="H12" s="74" t="str">
        <f>IF(OR(ScoringSummary!E11="",ScoringSummary!E11=0),"[---%]",ScoringSummary!E11/5)</f>
        <v>[---%]</v>
      </c>
      <c r="I12" s="305" t="s">
        <v>168</v>
      </c>
      <c r="J12">
        <v>4.8333333333333304</v>
      </c>
    </row>
    <row r="13" spans="1:10" ht="50" customHeight="1">
      <c r="A13" s="75" t="s">
        <v>16</v>
      </c>
      <c r="B13" s="300" t="str">
        <f>IF(ScoringSummary!B12="","[Select Priority]",ScoringSummary!B12)</f>
        <v>[Select Priority]</v>
      </c>
      <c r="C13" s="69" t="str">
        <f>IF(ScoringSummary!C12="","[0.0]",ScoringSummary!C12)</f>
        <v>[0.0]</v>
      </c>
      <c r="D13" s="70" t="str">
        <f>IF(ScoringSummary!D12="","[0.0]",ScoringSummary!D12)</f>
        <v>[0.0]</v>
      </c>
      <c r="E13" s="71" t="str">
        <f>IF(ScoringSummary!E12="","[0.0]",ScoringSummary!E12)</f>
        <v>[0.0]</v>
      </c>
      <c r="F13" s="72" t="str">
        <f>IF(OR(ScoringSummary!C12="",ScoringSummary!C12=0),"[---%]",ScoringSummary!C12/5)</f>
        <v>[---%]</v>
      </c>
      <c r="G13" s="73" t="str">
        <f>IF(OR(ScoringSummary!D12="",ScoringSummary!D12=0),"[---%]",ScoringSummary!D12/5)</f>
        <v>[---%]</v>
      </c>
      <c r="H13" s="74" t="str">
        <f>IF(OR(ScoringSummary!E12="",ScoringSummary!E12=0),"[---%]",ScoringSummary!E12/5)</f>
        <v>[---%]</v>
      </c>
      <c r="I13" s="305" t="s">
        <v>168</v>
      </c>
      <c r="J13">
        <v>3.3333333333333299</v>
      </c>
    </row>
    <row r="14" spans="1:10" ht="50" customHeight="1">
      <c r="A14" s="68" t="s">
        <v>114</v>
      </c>
      <c r="B14" s="300" t="str">
        <f>IF(ScoringSummary!B13="","[Select Priority]",ScoringSummary!B13)</f>
        <v>[Select Priority]</v>
      </c>
      <c r="C14" s="69" t="str">
        <f>IF(ScoringSummary!C13="","[0.0]",ScoringSummary!C13)</f>
        <v>[0.0]</v>
      </c>
      <c r="D14" s="70" t="str">
        <f>IF(ScoringSummary!D13="","[0.0]",ScoringSummary!D13)</f>
        <v>[0.0]</v>
      </c>
      <c r="E14" s="71" t="str">
        <f>IF(ScoringSummary!E13="","[0.0]",ScoringSummary!E13)</f>
        <v>[0.0]</v>
      </c>
      <c r="F14" s="72" t="str">
        <f>IF(OR(ScoringSummary!C13="",ScoringSummary!C13=0),"[---%]",ScoringSummary!C13/5)</f>
        <v>[---%]</v>
      </c>
      <c r="G14" s="73" t="str">
        <f>IF(OR(ScoringSummary!D13="",ScoringSummary!D13=0),"[---%]",ScoringSummary!D13/5)</f>
        <v>[---%]</v>
      </c>
      <c r="H14" s="74" t="str">
        <f>IF(OR(ScoringSummary!E13="",ScoringSummary!E13=0),"[---%]",ScoringSummary!E13/5)</f>
        <v>[---%]</v>
      </c>
      <c r="I14" s="305" t="s">
        <v>168</v>
      </c>
      <c r="J14">
        <v>3.4444444444444402</v>
      </c>
    </row>
    <row r="15" spans="1:10" ht="15" customHeight="1">
      <c r="A15" s="16" t="s">
        <v>17</v>
      </c>
      <c r="B15" s="302" t="str">
        <f>IF(ScoringSummary!B14="","[Select Priority]",ScoringSummary!B14)</f>
        <v>[Select Priority]</v>
      </c>
      <c r="C15" s="76" t="str">
        <f>IF(ScoringSummary!C14="","[0.0]",ScoringSummary!C14)</f>
        <v>[0.0]</v>
      </c>
      <c r="D15" s="77" t="str">
        <f>IF(ScoringSummary!D14="","[0.0]",ScoringSummary!D14)</f>
        <v>[0.0]</v>
      </c>
      <c r="E15" s="77" t="str">
        <f>IF(ScoringSummary!E14="","[0.0]",ScoringSummary!E14)</f>
        <v>[0.0]</v>
      </c>
      <c r="F15" s="78" t="str">
        <f>IF(OR(ScoringSummary!C14="",ScoringSummary!C14=0),"[---%]",ScoringSummary!C14/5)</f>
        <v>[---%]</v>
      </c>
      <c r="G15" s="78" t="str">
        <f>IF(OR(ScoringSummary!D14="",ScoringSummary!D14=0),"[---%]",ScoringSummary!D14/5)</f>
        <v>[---%]</v>
      </c>
      <c r="H15" s="78" t="str">
        <f>IF(OR(ScoringSummary!E14="",ScoringSummary!E14=0),"[---%]",ScoringSummary!E14/5)</f>
        <v>[---%]</v>
      </c>
      <c r="I15" s="305" t="s">
        <v>168</v>
      </c>
      <c r="J15">
        <v>2</v>
      </c>
    </row>
    <row r="16" spans="1:10" ht="25" customHeight="1">
      <c r="A16" s="79" t="s">
        <v>18</v>
      </c>
      <c r="B16" s="301" t="str">
        <f>IF(ScoringSummary!B15="","[Select Priority]",ScoringSummary!B15)</f>
        <v>[Select Priority]</v>
      </c>
      <c r="C16" s="69" t="str">
        <f>IF(ScoringSummary!C15="","[0.0]",ScoringSummary!C15)</f>
        <v>[0.0]</v>
      </c>
      <c r="D16" s="70" t="str">
        <f>IF(ScoringSummary!D15="","[0.0]",ScoringSummary!D15)</f>
        <v>[0.0]</v>
      </c>
      <c r="E16" s="71" t="str">
        <f>IF(ScoringSummary!E15="","[0.0]",ScoringSummary!E15)</f>
        <v>[0.0]</v>
      </c>
      <c r="F16" s="72" t="str">
        <f>IF(OR(ScoringSummary!C15="",ScoringSummary!C15=0),"[---%]",ScoringSummary!C15/5)</f>
        <v>[---%]</v>
      </c>
      <c r="G16" s="73" t="str">
        <f>IF(OR(ScoringSummary!D15="",ScoringSummary!D15=0),"[---%]",ScoringSummary!D15/5)</f>
        <v>[---%]</v>
      </c>
      <c r="H16" s="74" t="str">
        <f>IF(OR(ScoringSummary!E15="",ScoringSummary!E15=0),"[---%]",ScoringSummary!E15/5)</f>
        <v>[---%]</v>
      </c>
      <c r="I16" s="305" t="s">
        <v>168</v>
      </c>
      <c r="J16">
        <v>4</v>
      </c>
    </row>
    <row r="17" spans="1:10" ht="25" customHeight="1">
      <c r="A17" s="80" t="s">
        <v>19</v>
      </c>
      <c r="B17" s="303" t="str">
        <f>IF(ScoringSummary!B16="","[Select Priority]",ScoringSummary!B16)</f>
        <v>[Select Priority]</v>
      </c>
      <c r="C17" s="81" t="str">
        <f>IF(ScoringSummary!C16="","[0.0]",ScoringSummary!C16)</f>
        <v>[0.0]</v>
      </c>
      <c r="D17" s="82" t="str">
        <f>IF(ScoringSummary!D16="","[0.0]",ScoringSummary!D16)</f>
        <v>[0.0]</v>
      </c>
      <c r="E17" s="83" t="str">
        <f>IF(ScoringSummary!E16="","[0.0]",ScoringSummary!E16)</f>
        <v>[0.0]</v>
      </c>
      <c r="F17" s="84" t="str">
        <f>IF(OR(ScoringSummary!C16="",ScoringSummary!C16=0),"[---%]",ScoringSummary!C16/5)</f>
        <v>[---%]</v>
      </c>
      <c r="G17" s="85" t="str">
        <f>IF(OR(ScoringSummary!D16="",ScoringSummary!D16=0),"[---%]",ScoringSummary!D16/5)</f>
        <v>[---%]</v>
      </c>
      <c r="H17" s="86" t="str">
        <f>IF(OR(ScoringSummary!E16="",ScoringSummary!E16=0),"[---%]",ScoringSummary!E16/5)</f>
        <v>[---%]</v>
      </c>
      <c r="I17" s="306" t="s">
        <v>168</v>
      </c>
      <c r="J17">
        <v>4.2</v>
      </c>
    </row>
    <row r="18" spans="1:10" ht="25" customHeight="1" thickBot="1">
      <c r="A18" s="87"/>
      <c r="B18" s="55"/>
      <c r="C18" s="88"/>
      <c r="D18" s="89"/>
      <c r="E18" s="90"/>
      <c r="F18" s="88"/>
      <c r="G18" s="89"/>
      <c r="H18" s="90"/>
    </row>
    <row r="19" spans="1:10" ht="15" customHeight="1">
      <c r="A19" s="12" t="s">
        <v>161</v>
      </c>
      <c r="B19" s="28"/>
      <c r="C19" s="31">
        <f>ScoringSummary!C18</f>
        <v>4</v>
      </c>
      <c r="D19" s="34">
        <f>ScoringSummary!D18</f>
        <v>4</v>
      </c>
      <c r="E19" s="37">
        <f>ScoringSummary!E18</f>
        <v>4</v>
      </c>
      <c r="F19" s="40">
        <f>ScoringSummary!F18</f>
        <v>0.8</v>
      </c>
      <c r="G19" s="43">
        <f>ScoringSummary!G18</f>
        <v>0.8</v>
      </c>
      <c r="H19" s="46">
        <f>ScoringSummary!H18</f>
        <v>0.8</v>
      </c>
      <c r="I19" s="6"/>
    </row>
    <row r="20" spans="1:10" ht="20" customHeight="1">
      <c r="A20" s="13" t="s">
        <v>162</v>
      </c>
      <c r="B20" s="29"/>
      <c r="C20" s="32">
        <f>ScoringSummary!C19</f>
        <v>4</v>
      </c>
      <c r="D20" s="35">
        <f>ScoringSummary!D19</f>
        <v>4</v>
      </c>
      <c r="E20" s="38">
        <f>ScoringSummary!E19</f>
        <v>4</v>
      </c>
      <c r="F20" s="41">
        <f>ScoringSummary!F19</f>
        <v>6.1538461538461542E-2</v>
      </c>
      <c r="G20" s="44">
        <f>ScoringSummary!G19</f>
        <v>6.1538461538461542E-2</v>
      </c>
      <c r="H20" s="47">
        <f>ScoringSummary!H19</f>
        <v>6.1538461538461542E-2</v>
      </c>
      <c r="I20" s="5"/>
    </row>
    <row r="21" spans="1:10" ht="20" customHeight="1" thickBot="1">
      <c r="A21" s="14" t="s">
        <v>164</v>
      </c>
      <c r="B21" s="30"/>
      <c r="C21" s="33"/>
      <c r="D21" s="36"/>
      <c r="E21" s="39"/>
      <c r="F21" s="42">
        <f>ScoringSummary!F20</f>
        <v>1</v>
      </c>
      <c r="G21" s="45">
        <f>ScoringSummary!G20</f>
        <v>1</v>
      </c>
      <c r="H21" s="48">
        <f>ScoringSummary!H20</f>
        <v>1</v>
      </c>
      <c r="I21" s="7"/>
    </row>
    <row r="22" spans="1:10" ht="20" customHeight="1"/>
    <row r="23" spans="1:10" ht="16.5">
      <c r="A23" s="8" t="s">
        <v>20</v>
      </c>
      <c r="B23" s="2"/>
      <c r="C23" s="2"/>
      <c r="D23" s="2"/>
      <c r="E23" s="2"/>
      <c r="F23" s="2"/>
      <c r="G23" s="2"/>
      <c r="H23" s="2"/>
      <c r="I23" s="2"/>
    </row>
    <row r="24" spans="1:10">
      <c r="A24" s="9" t="s">
        <v>166</v>
      </c>
      <c r="B24" s="10"/>
      <c r="C24" s="10"/>
      <c r="D24" s="10"/>
      <c r="E24" s="10"/>
      <c r="F24" s="10"/>
      <c r="G24" s="10"/>
      <c r="H24" s="10"/>
      <c r="I24" s="10"/>
    </row>
    <row r="25" spans="1:10">
      <c r="A25" s="10"/>
      <c r="B25" s="10"/>
      <c r="C25" s="10"/>
      <c r="D25" s="10"/>
      <c r="E25" s="10"/>
      <c r="F25" s="10"/>
      <c r="G25" s="10"/>
      <c r="H25" s="10"/>
      <c r="I25" s="10"/>
    </row>
  </sheetData>
  <sheetProtection sheet="1" objects="1" scenarios="1"/>
  <mergeCells count="4">
    <mergeCell ref="A24:I25"/>
    <mergeCell ref="A23:I23"/>
    <mergeCell ref="A3:J3"/>
    <mergeCell ref="A1:J1"/>
  </mergeCells>
  <conditionalFormatting sqref="F5:F20">
    <cfRule type="dataBar" priority="1">
      <dataBar>
        <cfvo type="num" val="0"/>
        <cfvo type="num" val="1"/>
        <color rgb="FFFF9900"/>
      </dataBar>
    </cfRule>
  </conditionalFormatting>
  <conditionalFormatting sqref="G5:G20">
    <cfRule type="dataBar" priority="2">
      <dataBar>
        <cfvo type="num" val="0"/>
        <cfvo type="num" val="1"/>
        <color rgb="FF0078D4"/>
      </dataBar>
    </cfRule>
  </conditionalFormatting>
  <conditionalFormatting sqref="H5:H20">
    <cfRule type="dataBar" priority="3">
      <dataBar>
        <cfvo type="num" val="0"/>
        <cfvo type="num" val="1"/>
        <color rgb="FF0F9D58"/>
      </dataBar>
    </cfRule>
  </conditionalFormatting>
  <pageMargins left="0.25" right="0.25" top="0.75" bottom="0.75" header="0.3" footer="0.3"/>
  <pageSetup paperSize="9" orientation="landscape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0C79-0D6B-2245-ACCD-78CF36FDBB15}">
  <sheetPr>
    <pageSetUpPr fitToPage="1"/>
  </sheetPr>
  <dimension ref="A1:I20"/>
  <sheetViews>
    <sheetView zoomScaleNormal="100" workbookViewId="0">
      <pane ySplit="3" topLeftCell="A4" activePane="bottomLeft" state="frozen"/>
      <selection pane="bottomLeft" activeCell="A3" sqref="A3:XFD3"/>
    </sheetView>
  </sheetViews>
  <sheetFormatPr defaultColWidth="8.81640625" defaultRowHeight="14.5"/>
  <cols>
    <col min="1" max="1" width="23.6328125" customWidth="1"/>
    <col min="2" max="2" width="20" customWidth="1"/>
    <col min="3" max="3" width="14.1796875" bestFit="1" customWidth="1"/>
    <col min="4" max="5" width="11.81640625" bestFit="1" customWidth="1"/>
    <col min="6" max="8" width="14.54296875" customWidth="1"/>
    <col min="9" max="9" width="12.1796875" hidden="1" customWidth="1"/>
  </cols>
  <sheetData>
    <row r="1" spans="1:9" ht="35" customHeight="1">
      <c r="A1" s="49" t="s">
        <v>184</v>
      </c>
      <c r="B1" s="171"/>
      <c r="C1" s="171"/>
      <c r="D1" s="171"/>
      <c r="E1" s="171"/>
      <c r="F1" s="171"/>
      <c r="G1" s="171"/>
      <c r="H1" s="171"/>
      <c r="I1" s="11"/>
    </row>
    <row r="2" spans="1:9" ht="26" customHeight="1">
      <c r="A2" s="208" t="s">
        <v>176</v>
      </c>
      <c r="B2" s="195" t="s">
        <v>177</v>
      </c>
      <c r="C2" s="196" t="s">
        <v>180</v>
      </c>
      <c r="D2" s="197" t="s">
        <v>181</v>
      </c>
      <c r="E2" s="198" t="s">
        <v>182</v>
      </c>
      <c r="F2" s="199" t="s">
        <v>175</v>
      </c>
      <c r="G2" s="199" t="s">
        <v>186</v>
      </c>
      <c r="H2" s="199" t="s">
        <v>187</v>
      </c>
      <c r="I2" s="209" t="s">
        <v>189</v>
      </c>
    </row>
    <row r="3" spans="1:9" ht="30" customHeight="1" thickBot="1">
      <c r="A3" s="185" t="s">
        <v>0</v>
      </c>
      <c r="B3" s="186" t="s">
        <v>165</v>
      </c>
      <c r="C3" s="187" t="s">
        <v>1</v>
      </c>
      <c r="D3" s="188" t="s">
        <v>2</v>
      </c>
      <c r="E3" s="189" t="s">
        <v>3</v>
      </c>
      <c r="F3" s="190" t="s">
        <v>4</v>
      </c>
      <c r="G3" s="191" t="s">
        <v>5</v>
      </c>
      <c r="H3" s="192" t="s">
        <v>6</v>
      </c>
    </row>
    <row r="4" spans="1:9" ht="24" customHeight="1">
      <c r="A4" s="15" t="s">
        <v>8</v>
      </c>
      <c r="B4" s="307">
        <v>4</v>
      </c>
      <c r="C4" s="311">
        <v>4</v>
      </c>
      <c r="D4" s="314">
        <v>4</v>
      </c>
      <c r="E4" s="317">
        <v>4</v>
      </c>
      <c r="F4" s="19">
        <f>IF(OR(C4="",C4=0),"[---%]",C4/5)</f>
        <v>0.8</v>
      </c>
      <c r="G4" s="22">
        <f>IF(OR(D4="",D4=0),"[---%]",D4/5)</f>
        <v>0.8</v>
      </c>
      <c r="H4" s="25">
        <f>IF(OR(E4="",E4=0),"[---%]",E4/5)</f>
        <v>0.8</v>
      </c>
      <c r="I4">
        <v>3.6</v>
      </c>
    </row>
    <row r="5" spans="1:9" ht="24" customHeight="1">
      <c r="A5" s="16" t="s">
        <v>9</v>
      </c>
      <c r="B5" s="308"/>
      <c r="C5" s="312"/>
      <c r="D5" s="315"/>
      <c r="E5" s="318"/>
      <c r="F5" s="20" t="str">
        <f>IF(OR(C5="",C5=0),"[---%]",C5/5)</f>
        <v>[---%]</v>
      </c>
      <c r="G5" s="23" t="str">
        <f>IF(OR(D5="",D5=0),"[---%]",D5/5)</f>
        <v>[---%]</v>
      </c>
      <c r="H5" s="26" t="str">
        <f>IF(OR(E5="",E5=0),"[---%]",E5/5)</f>
        <v>[---%]</v>
      </c>
      <c r="I5">
        <v>3.3333333333333299</v>
      </c>
    </row>
    <row r="6" spans="1:9" ht="24" customHeight="1">
      <c r="A6" s="17" t="s">
        <v>10</v>
      </c>
      <c r="B6" s="308"/>
      <c r="C6" s="312"/>
      <c r="D6" s="315"/>
      <c r="E6" s="318"/>
      <c r="F6" s="20" t="str">
        <f>IF(OR(C6="",C6=0),"[---%]",C6/5)</f>
        <v>[---%]</v>
      </c>
      <c r="G6" s="23" t="str">
        <f>IF(OR(D6="",D6=0),"[---%]",D6/5)</f>
        <v>[---%]</v>
      </c>
      <c r="H6" s="26" t="str">
        <f>IF(OR(E6="",E6=0),"[---%]",E6/5)</f>
        <v>[---%]</v>
      </c>
      <c r="I6">
        <v>2.5</v>
      </c>
    </row>
    <row r="7" spans="1:9" ht="24" customHeight="1">
      <c r="A7" s="16" t="s">
        <v>11</v>
      </c>
      <c r="B7" s="308"/>
      <c r="C7" s="312"/>
      <c r="D7" s="315"/>
      <c r="E7" s="318"/>
      <c r="F7" s="20" t="str">
        <f>IF(OR(C7="",C7=0),"[---%]",C7/5)</f>
        <v>[---%]</v>
      </c>
      <c r="G7" s="23" t="str">
        <f>IF(OR(D7="",D7=0),"[---%]",D7/5)</f>
        <v>[---%]</v>
      </c>
      <c r="H7" s="26" t="str">
        <f>IF(OR(E7="",E7=0),"[---%]",E7/5)</f>
        <v>[---%]</v>
      </c>
      <c r="I7">
        <v>3.2</v>
      </c>
    </row>
    <row r="8" spans="1:9" ht="24" customHeight="1">
      <c r="A8" s="17" t="s">
        <v>12</v>
      </c>
      <c r="B8" s="309"/>
      <c r="C8" s="312"/>
      <c r="D8" s="315"/>
      <c r="E8" s="318"/>
      <c r="F8" s="20" t="str">
        <f>IF(OR(C8="",C8=0),"[---%]",C8/5)</f>
        <v>[---%]</v>
      </c>
      <c r="G8" s="23" t="str">
        <f>IF(OR(D8="",D8=0),"[---%]",D8/5)</f>
        <v>[---%]</v>
      </c>
      <c r="H8" s="26" t="str">
        <f>IF(OR(E8="",E8=0),"[---%]",E8/5)</f>
        <v>[---%]</v>
      </c>
      <c r="I8">
        <v>3.75</v>
      </c>
    </row>
    <row r="9" spans="1:9" ht="24" customHeight="1">
      <c r="A9" s="16" t="s">
        <v>13</v>
      </c>
      <c r="B9" s="308"/>
      <c r="C9" s="312"/>
      <c r="D9" s="315"/>
      <c r="E9" s="318"/>
      <c r="F9" s="20" t="str">
        <f>IF(OR(C9="",C9=0),"[---%]",C9/5)</f>
        <v>[---%]</v>
      </c>
      <c r="G9" s="23" t="str">
        <f>IF(OR(D9="",D9=0),"[---%]",D9/5)</f>
        <v>[---%]</v>
      </c>
      <c r="H9" s="26" t="str">
        <f>IF(OR(E9="",E9=0),"[---%]",E9/5)</f>
        <v>[---%]</v>
      </c>
      <c r="I9">
        <v>2.75</v>
      </c>
    </row>
    <row r="10" spans="1:9" ht="24" customHeight="1">
      <c r="A10" s="17" t="s">
        <v>14</v>
      </c>
      <c r="B10" s="308"/>
      <c r="C10" s="312"/>
      <c r="D10" s="315"/>
      <c r="E10" s="318"/>
      <c r="F10" s="20" t="str">
        <f>IF(OR(C10="",C10=0),"[---%]",C10/5)</f>
        <v>[---%]</v>
      </c>
      <c r="G10" s="23" t="str">
        <f>IF(OR(D10="",D10=0),"[---%]",D10/5)</f>
        <v>[---%]</v>
      </c>
      <c r="H10" s="26" t="str">
        <f>IF(OR(E10="",E10=0),"[---%]",E10/5)</f>
        <v>[---%]</v>
      </c>
      <c r="I10">
        <v>3.3333333333333299</v>
      </c>
    </row>
    <row r="11" spans="1:9" ht="24" customHeight="1">
      <c r="A11" s="16" t="s">
        <v>15</v>
      </c>
      <c r="B11" s="309"/>
      <c r="C11" s="312"/>
      <c r="D11" s="315"/>
      <c r="E11" s="318"/>
      <c r="F11" s="20" t="str">
        <f>IF(OR(C11="",C11=0),"[---%]",C11/5)</f>
        <v>[---%]</v>
      </c>
      <c r="G11" s="23" t="str">
        <f>IF(OR(D11="",D11=0),"[---%]",D11/5)</f>
        <v>[---%]</v>
      </c>
      <c r="H11" s="26" t="str">
        <f>IF(OR(E11="",E11=0),"[---%]",E11/5)</f>
        <v>[---%]</v>
      </c>
      <c r="I11">
        <v>4.8333333333333304</v>
      </c>
    </row>
    <row r="12" spans="1:9" ht="24" customHeight="1">
      <c r="A12" s="17" t="s">
        <v>16</v>
      </c>
      <c r="B12" s="308"/>
      <c r="C12" s="312"/>
      <c r="D12" s="315"/>
      <c r="E12" s="318"/>
      <c r="F12" s="20" t="str">
        <f>IF(OR(C12="",C12=0),"[---%]",C12/5)</f>
        <v>[---%]</v>
      </c>
      <c r="G12" s="23" t="str">
        <f>IF(OR(D12="",D12=0),"[---%]",D12/5)</f>
        <v>[---%]</v>
      </c>
      <c r="H12" s="26" t="str">
        <f>IF(OR(E12="",E12=0),"[---%]",E12/5)</f>
        <v>[---%]</v>
      </c>
      <c r="I12">
        <v>3.3333333333333299</v>
      </c>
    </row>
    <row r="13" spans="1:9" ht="24" customHeight="1">
      <c r="A13" s="16" t="s">
        <v>114</v>
      </c>
      <c r="B13" s="308"/>
      <c r="C13" s="312"/>
      <c r="D13" s="315"/>
      <c r="E13" s="318"/>
      <c r="F13" s="20" t="str">
        <f>IF(OR(C13="",C13=0),"[---%]",C13/5)</f>
        <v>[---%]</v>
      </c>
      <c r="G13" s="23" t="str">
        <f>IF(OR(D13="",D13=0),"[---%]",D13/5)</f>
        <v>[---%]</v>
      </c>
      <c r="H13" s="26" t="str">
        <f>IF(OR(E13="",E13=0),"[---%]",E13/5)</f>
        <v>[---%]</v>
      </c>
      <c r="I13">
        <v>3.4444444444444402</v>
      </c>
    </row>
    <row r="14" spans="1:9" ht="24" customHeight="1">
      <c r="A14" s="17" t="s">
        <v>17</v>
      </c>
      <c r="B14" s="308"/>
      <c r="C14" s="312"/>
      <c r="D14" s="315"/>
      <c r="E14" s="318"/>
      <c r="F14" s="20" t="str">
        <f>IF(OR(C14="",C14=0),"[---%]",C14/5)</f>
        <v>[---%]</v>
      </c>
      <c r="G14" s="23" t="str">
        <f>IF(OR(D14="",D14=0),"[---%]",D14/5)</f>
        <v>[---%]</v>
      </c>
      <c r="H14" s="26" t="str">
        <f>IF(OR(E14="",E14=0),"[---%]",E14/5)</f>
        <v>[---%]</v>
      </c>
      <c r="I14">
        <v>2</v>
      </c>
    </row>
    <row r="15" spans="1:9" ht="24" customHeight="1">
      <c r="A15" s="16" t="s">
        <v>18</v>
      </c>
      <c r="B15" s="309"/>
      <c r="C15" s="312"/>
      <c r="D15" s="315"/>
      <c r="E15" s="318"/>
      <c r="F15" s="20" t="str">
        <f>IF(OR(C15="",C15=0),"[---%]",C15/5)</f>
        <v>[---%]</v>
      </c>
      <c r="G15" s="23" t="str">
        <f>IF(OR(D15="",D15=0),"[---%]",D15/5)</f>
        <v>[---%]</v>
      </c>
      <c r="H15" s="26" t="str">
        <f>IF(OR(E15="",E15=0),"[---%]",E15/5)</f>
        <v>[---%]</v>
      </c>
      <c r="I15">
        <v>4</v>
      </c>
    </row>
    <row r="16" spans="1:9" ht="24" customHeight="1">
      <c r="A16" s="18" t="s">
        <v>19</v>
      </c>
      <c r="B16" s="310"/>
      <c r="C16" s="313"/>
      <c r="D16" s="316"/>
      <c r="E16" s="319"/>
      <c r="F16" s="21" t="str">
        <f>IF(OR(C16="",C16=0),"[---%]",C16/5)</f>
        <v>[---%]</v>
      </c>
      <c r="G16" s="24" t="str">
        <f>IF(OR(D16="",D16=0),"[---%]",D16/5)</f>
        <v>[---%]</v>
      </c>
      <c r="H16" s="27" t="str">
        <f>IF(OR(E16="",E16=0),"[---%]",E16/5)</f>
        <v>[---%]</v>
      </c>
      <c r="I16">
        <v>4.2</v>
      </c>
    </row>
    <row r="17" spans="1:8" ht="15" customHeight="1" thickBot="1"/>
    <row r="18" spans="1:8" ht="26" customHeight="1">
      <c r="A18" s="12" t="s">
        <v>161</v>
      </c>
      <c r="B18" s="28"/>
      <c r="C18" s="31">
        <f>IF(SUM(B4:B16)=0,"[Calc]",SUMPRODUCT(B4:B16,C4:C16)/SUM(B4:B16))</f>
        <v>4</v>
      </c>
      <c r="D18" s="34">
        <f>IF(SUM(B4:B16)=0,"[Calc]",SUMPRODUCT(B4:B16,D4:D16)/SUM(B4:B16))</f>
        <v>4</v>
      </c>
      <c r="E18" s="37">
        <f>IF(SUM(B4:B16)=0,"[Calc]",SUMPRODUCT(B4:B16,E4:E16)/SUM(B4:B16))</f>
        <v>4</v>
      </c>
      <c r="F18" s="40">
        <f>IF(OR(C18="[Calc]",C18=0),"[---%]",C18/5)</f>
        <v>0.8</v>
      </c>
      <c r="G18" s="43">
        <f>IF(OR(D18="[Calc]",D18=0),"[---%]",D18/5)</f>
        <v>0.8</v>
      </c>
      <c r="H18" s="46">
        <f>IF(OR(E18="[Calc]",E18=0),"[---%]",E18/5)</f>
        <v>0.8</v>
      </c>
    </row>
    <row r="19" spans="1:8" ht="26" customHeight="1">
      <c r="A19" s="13" t="s">
        <v>162</v>
      </c>
      <c r="B19" s="29"/>
      <c r="C19" s="32">
        <f>IF(COUNTA(C4:C16)=0,"[Calc]",SUM(C4:C16))</f>
        <v>4</v>
      </c>
      <c r="D19" s="35">
        <f>IF(COUNTA(D4:D16)=0,"[Calc]",SUM(D4:D16))</f>
        <v>4</v>
      </c>
      <c r="E19" s="38">
        <f>IF(COUNTA(E4:E16)=0,"[Calc]",SUM(E4:E16))</f>
        <v>4</v>
      </c>
      <c r="F19" s="41">
        <f>IF(OR(C19="[Calc]",C19=0),"[---%]",C19/65)</f>
        <v>6.1538461538461542E-2</v>
      </c>
      <c r="G19" s="44">
        <f>IF(OR(D19="[Calc]",D19=0),"[---%]",D19/65)</f>
        <v>6.1538461538461542E-2</v>
      </c>
      <c r="H19" s="47">
        <f>IF(OR(E19="[Calc]",E19=0),"[---%]",E19/65)</f>
        <v>6.1538461538461542E-2</v>
      </c>
    </row>
    <row r="20" spans="1:8" ht="26" customHeight="1" thickBot="1">
      <c r="A20" s="14" t="s">
        <v>164</v>
      </c>
      <c r="B20" s="30"/>
      <c r="C20" s="33"/>
      <c r="D20" s="36"/>
      <c r="E20" s="39"/>
      <c r="F20" s="42">
        <f>IF(OR(C18="[Calc]",SUM(C18:E18)=0),"[---]",RANK(C18,C18:E18,0))</f>
        <v>1</v>
      </c>
      <c r="G20" s="45">
        <f>IF(OR(D18="[Calc]",SUM(C18:E18)=0),"[---]",RANK(D18,C18:E18,0))</f>
        <v>1</v>
      </c>
      <c r="H20" s="48">
        <f>IF(OR(E18="[Calc]",SUM(C18:E18)=0),"[---]",RANK(E18,C18:E18,0))</f>
        <v>1</v>
      </c>
    </row>
  </sheetData>
  <sheetProtection sheet="1" objects="1" scenarios="1" autoFilter="0"/>
  <mergeCells count="1">
    <mergeCell ref="A1:I1"/>
  </mergeCells>
  <conditionalFormatting sqref="F4:F19">
    <cfRule type="dataBar" priority="1">
      <dataBar>
        <cfvo type="num" val="0"/>
        <cfvo type="num" val="1"/>
        <color rgb="FFFF9900"/>
      </dataBar>
    </cfRule>
  </conditionalFormatting>
  <conditionalFormatting sqref="G4:G19">
    <cfRule type="dataBar" priority="2">
      <dataBar>
        <cfvo type="num" val="0"/>
        <cfvo type="num" val="1"/>
        <color rgb="FF0078D4"/>
      </dataBar>
    </cfRule>
  </conditionalFormatting>
  <conditionalFormatting sqref="H4:H19">
    <cfRule type="dataBar" priority="3">
      <dataBar>
        <cfvo type="num" val="0"/>
        <cfvo type="num" val="1"/>
        <color rgb="FF0F9D58"/>
      </dataBar>
    </cfRule>
  </conditionalFormatting>
  <dataValidations count="4">
    <dataValidation type="list" allowBlank="1" showInputMessage="1" showErrorMessage="1" errorTitle="Invalid Entry" error="Please select a value from 1 to 5" promptTitle="Customer Priority" prompt="Select 1-5 (1=Lowest, 5=Highest)" sqref="B4:B16" xr:uid="{40706555-17A9-4B86-A505-4B8D29C2E1FE}">
      <formula1>"1,2,3,4,5"</formula1>
    </dataValidation>
    <dataValidation type="list" allowBlank="1" showInputMessage="1" showErrorMessage="1" errorTitle="Invalid Entry" error="Please select a value from 1 to 5" promptTitle="AWS Score" prompt="Select 1-5 (1=Lowest, 5=Highest)" sqref="C4:C16" xr:uid="{C378059C-42CA-4597-8671-B65A3E2AED27}">
      <formula1>"1,2,3,4,5"</formula1>
    </dataValidation>
    <dataValidation type="list" allowBlank="1" showInputMessage="1" showErrorMessage="1" errorTitle="Invalid Entry" error="Please select a value from 1 to 5" promptTitle="Azure Score" prompt="Select 1-5 (1=Lowest, 5=Highest)" sqref="D4:D16" xr:uid="{453EF3CA-F085-46B6-A3A8-1EC114183C0B}">
      <formula1>"1,2,3,4,5"</formula1>
    </dataValidation>
    <dataValidation type="list" allowBlank="1" showInputMessage="1" showErrorMessage="1" errorTitle="Invalid Entry" error="Please select a value from 1 to 5" promptTitle="GCP Score" prompt="Select 1-5 (1=Lowest, 5=Highest)" sqref="E4:E16" xr:uid="{E303B198-5184-43EC-8E06-EAE7DD980D3B}">
      <formula1>"1,2,3,4,5"</formula1>
    </dataValidation>
  </dataValidations>
  <pageMargins left="0.25" right="0.25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69A6-B873-BF4B-9A0B-F96F030E2FE8}">
  <sheetPr>
    <pageSetUpPr fitToPage="1"/>
  </sheetPr>
  <dimension ref="A1:P38"/>
  <sheetViews>
    <sheetView showGridLines="0" zoomScale="90" zoomScaleNormal="90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defaultColWidth="8.81640625" defaultRowHeight="14" customHeight="1"/>
  <cols>
    <col min="1" max="1" width="18.1796875" customWidth="1"/>
    <col min="2" max="2" width="10" customWidth="1"/>
    <col min="3" max="3" width="25.453125" customWidth="1"/>
    <col min="4" max="4" width="32.7265625" customWidth="1"/>
    <col min="5" max="5" width="20" customWidth="1"/>
    <col min="6" max="6" width="14.54296875" customWidth="1"/>
    <col min="7" max="7" width="9.08984375" customWidth="1"/>
    <col min="8" max="8" width="11.81640625" customWidth="1"/>
    <col min="9" max="9" width="18.54296875" bestFit="1" customWidth="1"/>
    <col min="10" max="13" width="11.81640625" customWidth="1"/>
    <col min="14" max="16" width="63.6328125" style="1" customWidth="1"/>
  </cols>
  <sheetData>
    <row r="1" spans="1:16" ht="35" customHeight="1" thickBot="1">
      <c r="A1" s="207" t="s">
        <v>185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</row>
    <row r="2" spans="1:16" ht="28" customHeight="1" thickBot="1">
      <c r="A2" s="194" t="s">
        <v>176</v>
      </c>
      <c r="B2" s="202" t="s">
        <v>179</v>
      </c>
      <c r="C2" s="202"/>
      <c r="D2" s="203" t="s">
        <v>180</v>
      </c>
      <c r="E2" s="203"/>
      <c r="F2" s="203" t="s">
        <v>190</v>
      </c>
      <c r="G2" s="203"/>
      <c r="H2" s="204" t="s">
        <v>181</v>
      </c>
      <c r="I2" s="204"/>
      <c r="J2" s="204" t="s">
        <v>191</v>
      </c>
      <c r="K2" s="204"/>
      <c r="L2" s="205" t="s">
        <v>182</v>
      </c>
      <c r="M2" s="205"/>
      <c r="N2" s="206" t="s">
        <v>192</v>
      </c>
      <c r="O2" s="206"/>
      <c r="P2" s="206"/>
    </row>
    <row r="3" spans="1:16" ht="25" customHeight="1" thickBot="1">
      <c r="A3" s="172" t="s">
        <v>28</v>
      </c>
      <c r="B3" s="173"/>
      <c r="C3" s="173"/>
      <c r="D3" s="174"/>
      <c r="E3" s="173"/>
      <c r="F3" s="175"/>
      <c r="G3" s="176">
        <f>SUM(G4:G100)</f>
        <v>760</v>
      </c>
      <c r="H3" s="177">
        <f>SUM(H4:H100)</f>
        <v>0</v>
      </c>
      <c r="I3" s="177">
        <f>SUM(I4:I100)</f>
        <v>0</v>
      </c>
      <c r="J3" s="178">
        <f>SUM(J4:J100)</f>
        <v>0</v>
      </c>
      <c r="K3" s="179">
        <f>SUM(K4:K100)</f>
        <v>0</v>
      </c>
      <c r="L3" s="180">
        <f>SUM(L4:L100)</f>
        <v>0</v>
      </c>
      <c r="M3" s="181">
        <f>SUM(M4:M100)</f>
        <v>0</v>
      </c>
      <c r="N3" s="182" t="s">
        <v>178</v>
      </c>
      <c r="O3" s="183" t="s">
        <v>178</v>
      </c>
      <c r="P3" s="184" t="s">
        <v>178</v>
      </c>
    </row>
    <row r="4" spans="1:16" ht="85" customHeight="1">
      <c r="A4" s="134" t="s">
        <v>8</v>
      </c>
      <c r="B4" s="135" t="s">
        <v>33</v>
      </c>
      <c r="C4" s="136" t="s">
        <v>34</v>
      </c>
      <c r="D4" s="102" t="s">
        <v>35</v>
      </c>
      <c r="E4" s="320" t="s">
        <v>169</v>
      </c>
      <c r="F4" s="327" t="s">
        <v>170</v>
      </c>
      <c r="G4" s="103">
        <v>25</v>
      </c>
      <c r="H4" s="334" t="s">
        <v>170</v>
      </c>
      <c r="I4" s="104" t="s">
        <v>171</v>
      </c>
      <c r="J4" s="105" t="s">
        <v>170</v>
      </c>
      <c r="K4" s="104" t="s">
        <v>171</v>
      </c>
      <c r="L4" s="341" t="s">
        <v>170</v>
      </c>
      <c r="M4" s="106" t="s">
        <v>171</v>
      </c>
      <c r="N4" s="348" t="s">
        <v>172</v>
      </c>
      <c r="O4" s="349" t="s">
        <v>173</v>
      </c>
      <c r="P4" s="350" t="s">
        <v>174</v>
      </c>
    </row>
    <row r="5" spans="1:16" ht="85" customHeight="1">
      <c r="A5" s="99"/>
      <c r="B5" s="100" t="s">
        <v>37</v>
      </c>
      <c r="C5" s="101" t="s">
        <v>38</v>
      </c>
      <c r="D5" s="102" t="s">
        <v>39</v>
      </c>
      <c r="E5" s="320" t="s">
        <v>169</v>
      </c>
      <c r="F5" s="327" t="s">
        <v>170</v>
      </c>
      <c r="G5" s="103">
        <v>20</v>
      </c>
      <c r="H5" s="334" t="s">
        <v>170</v>
      </c>
      <c r="I5" s="104" t="s">
        <v>171</v>
      </c>
      <c r="J5" s="105" t="s">
        <v>170</v>
      </c>
      <c r="K5" s="104" t="s">
        <v>171</v>
      </c>
      <c r="L5" s="341" t="s">
        <v>170</v>
      </c>
      <c r="M5" s="106" t="s">
        <v>171</v>
      </c>
      <c r="N5" s="348" t="s">
        <v>172</v>
      </c>
      <c r="O5" s="349" t="s">
        <v>173</v>
      </c>
      <c r="P5" s="350" t="s">
        <v>174</v>
      </c>
    </row>
    <row r="6" spans="1:16" ht="85" customHeight="1" thickBot="1">
      <c r="A6" s="107"/>
      <c r="B6" s="108" t="s">
        <v>41</v>
      </c>
      <c r="C6" s="109" t="s">
        <v>42</v>
      </c>
      <c r="D6" s="110" t="s">
        <v>43</v>
      </c>
      <c r="E6" s="321" t="s">
        <v>169</v>
      </c>
      <c r="F6" s="328" t="s">
        <v>170</v>
      </c>
      <c r="G6" s="111">
        <v>20</v>
      </c>
      <c r="H6" s="335" t="s">
        <v>170</v>
      </c>
      <c r="I6" s="112" t="s">
        <v>171</v>
      </c>
      <c r="J6" s="113" t="s">
        <v>170</v>
      </c>
      <c r="K6" s="112" t="s">
        <v>171</v>
      </c>
      <c r="L6" s="342" t="s">
        <v>170</v>
      </c>
      <c r="M6" s="114" t="s">
        <v>171</v>
      </c>
      <c r="N6" s="351" t="s">
        <v>172</v>
      </c>
      <c r="O6" s="352" t="s">
        <v>173</v>
      </c>
      <c r="P6" s="353" t="s">
        <v>174</v>
      </c>
    </row>
    <row r="7" spans="1:16" ht="85" customHeight="1">
      <c r="A7" s="115" t="s">
        <v>9</v>
      </c>
      <c r="B7" s="116" t="s">
        <v>44</v>
      </c>
      <c r="C7" s="117" t="s">
        <v>45</v>
      </c>
      <c r="D7" s="94" t="s">
        <v>46</v>
      </c>
      <c r="E7" s="322" t="s">
        <v>169</v>
      </c>
      <c r="F7" s="329" t="s">
        <v>170</v>
      </c>
      <c r="G7" s="95">
        <v>20</v>
      </c>
      <c r="H7" s="336" t="s">
        <v>170</v>
      </c>
      <c r="I7" s="96" t="s">
        <v>171</v>
      </c>
      <c r="J7" s="97" t="s">
        <v>170</v>
      </c>
      <c r="K7" s="96" t="s">
        <v>171</v>
      </c>
      <c r="L7" s="343" t="s">
        <v>170</v>
      </c>
      <c r="M7" s="98" t="s">
        <v>171</v>
      </c>
      <c r="N7" s="354" t="s">
        <v>172</v>
      </c>
      <c r="O7" s="355" t="s">
        <v>173</v>
      </c>
      <c r="P7" s="356" t="s">
        <v>174</v>
      </c>
    </row>
    <row r="8" spans="1:16" ht="85" customHeight="1" thickBot="1">
      <c r="A8" s="118"/>
      <c r="B8" s="119" t="s">
        <v>47</v>
      </c>
      <c r="C8" s="120" t="s">
        <v>48</v>
      </c>
      <c r="D8" s="121" t="s">
        <v>49</v>
      </c>
      <c r="E8" s="323" t="s">
        <v>169</v>
      </c>
      <c r="F8" s="330" t="s">
        <v>170</v>
      </c>
      <c r="G8" s="122">
        <v>20</v>
      </c>
      <c r="H8" s="337" t="s">
        <v>170</v>
      </c>
      <c r="I8" s="123" t="s">
        <v>171</v>
      </c>
      <c r="J8" s="124" t="s">
        <v>170</v>
      </c>
      <c r="K8" s="123" t="s">
        <v>171</v>
      </c>
      <c r="L8" s="344" t="s">
        <v>170</v>
      </c>
      <c r="M8" s="125" t="s">
        <v>171</v>
      </c>
      <c r="N8" s="357" t="s">
        <v>172</v>
      </c>
      <c r="O8" s="358" t="s">
        <v>173</v>
      </c>
      <c r="P8" s="359" t="s">
        <v>174</v>
      </c>
    </row>
    <row r="9" spans="1:16" ht="85" customHeight="1" thickBot="1">
      <c r="A9" s="126" t="s">
        <v>10</v>
      </c>
      <c r="B9" s="127" t="s">
        <v>54</v>
      </c>
      <c r="C9" s="128" t="s">
        <v>55</v>
      </c>
      <c r="D9" s="129" t="s">
        <v>56</v>
      </c>
      <c r="E9" s="324" t="s">
        <v>169</v>
      </c>
      <c r="F9" s="331" t="s">
        <v>170</v>
      </c>
      <c r="G9" s="130">
        <v>20</v>
      </c>
      <c r="H9" s="338" t="s">
        <v>170</v>
      </c>
      <c r="I9" s="131" t="s">
        <v>171</v>
      </c>
      <c r="J9" s="132" t="s">
        <v>170</v>
      </c>
      <c r="K9" s="131" t="s">
        <v>171</v>
      </c>
      <c r="L9" s="345" t="s">
        <v>170</v>
      </c>
      <c r="M9" s="133" t="s">
        <v>171</v>
      </c>
      <c r="N9" s="360" t="s">
        <v>172</v>
      </c>
      <c r="O9" s="361" t="s">
        <v>173</v>
      </c>
      <c r="P9" s="362" t="s">
        <v>174</v>
      </c>
    </row>
    <row r="10" spans="1:16" ht="85" customHeight="1">
      <c r="A10" s="91" t="s">
        <v>11</v>
      </c>
      <c r="B10" s="92" t="s">
        <v>58</v>
      </c>
      <c r="C10" s="93" t="s">
        <v>59</v>
      </c>
      <c r="D10" s="94" t="s">
        <v>60</v>
      </c>
      <c r="E10" s="322" t="s">
        <v>169</v>
      </c>
      <c r="F10" s="329" t="s">
        <v>170</v>
      </c>
      <c r="G10" s="95">
        <v>25</v>
      </c>
      <c r="H10" s="336" t="s">
        <v>170</v>
      </c>
      <c r="I10" s="96" t="s">
        <v>171</v>
      </c>
      <c r="J10" s="97" t="s">
        <v>170</v>
      </c>
      <c r="K10" s="96" t="s">
        <v>171</v>
      </c>
      <c r="L10" s="343" t="s">
        <v>170</v>
      </c>
      <c r="M10" s="98" t="s">
        <v>171</v>
      </c>
      <c r="N10" s="354" t="s">
        <v>172</v>
      </c>
      <c r="O10" s="355" t="s">
        <v>173</v>
      </c>
      <c r="P10" s="356" t="s">
        <v>174</v>
      </c>
    </row>
    <row r="11" spans="1:16" ht="85" customHeight="1">
      <c r="A11" s="99"/>
      <c r="B11" s="100" t="s">
        <v>61</v>
      </c>
      <c r="C11" s="101" t="s">
        <v>62</v>
      </c>
      <c r="D11" s="102" t="s">
        <v>63</v>
      </c>
      <c r="E11" s="320" t="s">
        <v>169</v>
      </c>
      <c r="F11" s="327" t="s">
        <v>170</v>
      </c>
      <c r="G11" s="103">
        <v>20</v>
      </c>
      <c r="H11" s="334" t="s">
        <v>170</v>
      </c>
      <c r="I11" s="104" t="s">
        <v>171</v>
      </c>
      <c r="J11" s="105" t="s">
        <v>170</v>
      </c>
      <c r="K11" s="104" t="s">
        <v>171</v>
      </c>
      <c r="L11" s="341" t="s">
        <v>170</v>
      </c>
      <c r="M11" s="106" t="s">
        <v>171</v>
      </c>
      <c r="N11" s="348" t="s">
        <v>172</v>
      </c>
      <c r="O11" s="349" t="s">
        <v>173</v>
      </c>
      <c r="P11" s="350" t="s">
        <v>174</v>
      </c>
    </row>
    <row r="12" spans="1:16" ht="85" customHeight="1" thickBot="1">
      <c r="A12" s="107"/>
      <c r="B12" s="108" t="s">
        <v>65</v>
      </c>
      <c r="C12" s="109" t="s">
        <v>66</v>
      </c>
      <c r="D12" s="110" t="s">
        <v>67</v>
      </c>
      <c r="E12" s="321" t="s">
        <v>169</v>
      </c>
      <c r="F12" s="328" t="s">
        <v>170</v>
      </c>
      <c r="G12" s="111">
        <v>20</v>
      </c>
      <c r="H12" s="335" t="s">
        <v>170</v>
      </c>
      <c r="I12" s="112" t="s">
        <v>171</v>
      </c>
      <c r="J12" s="113" t="s">
        <v>170</v>
      </c>
      <c r="K12" s="112" t="s">
        <v>171</v>
      </c>
      <c r="L12" s="342" t="s">
        <v>170</v>
      </c>
      <c r="M12" s="114" t="s">
        <v>171</v>
      </c>
      <c r="N12" s="351" t="s">
        <v>172</v>
      </c>
      <c r="O12" s="352" t="s">
        <v>173</v>
      </c>
      <c r="P12" s="353" t="s">
        <v>174</v>
      </c>
    </row>
    <row r="13" spans="1:16" ht="85" customHeight="1">
      <c r="A13" s="115" t="s">
        <v>12</v>
      </c>
      <c r="B13" s="116" t="s">
        <v>69</v>
      </c>
      <c r="C13" s="117" t="s">
        <v>70</v>
      </c>
      <c r="D13" s="94" t="s">
        <v>71</v>
      </c>
      <c r="E13" s="322" t="s">
        <v>169</v>
      </c>
      <c r="F13" s="329" t="s">
        <v>170</v>
      </c>
      <c r="G13" s="95">
        <v>20</v>
      </c>
      <c r="H13" s="336" t="s">
        <v>170</v>
      </c>
      <c r="I13" s="96" t="s">
        <v>171</v>
      </c>
      <c r="J13" s="97" t="s">
        <v>170</v>
      </c>
      <c r="K13" s="96" t="s">
        <v>171</v>
      </c>
      <c r="L13" s="343" t="s">
        <v>170</v>
      </c>
      <c r="M13" s="98" t="s">
        <v>171</v>
      </c>
      <c r="N13" s="354" t="s">
        <v>172</v>
      </c>
      <c r="O13" s="355" t="s">
        <v>173</v>
      </c>
      <c r="P13" s="356" t="s">
        <v>174</v>
      </c>
    </row>
    <row r="14" spans="1:16" ht="85" customHeight="1">
      <c r="A14" s="134"/>
      <c r="B14" s="135" t="s">
        <v>73</v>
      </c>
      <c r="C14" s="136" t="s">
        <v>74</v>
      </c>
      <c r="D14" s="102" t="s">
        <v>75</v>
      </c>
      <c r="E14" s="320" t="s">
        <v>169</v>
      </c>
      <c r="F14" s="327" t="s">
        <v>170</v>
      </c>
      <c r="G14" s="103">
        <v>20</v>
      </c>
      <c r="H14" s="334" t="s">
        <v>170</v>
      </c>
      <c r="I14" s="104" t="s">
        <v>171</v>
      </c>
      <c r="J14" s="105" t="s">
        <v>170</v>
      </c>
      <c r="K14" s="104" t="s">
        <v>171</v>
      </c>
      <c r="L14" s="341" t="s">
        <v>170</v>
      </c>
      <c r="M14" s="106" t="s">
        <v>171</v>
      </c>
      <c r="N14" s="348" t="s">
        <v>172</v>
      </c>
      <c r="O14" s="349" t="s">
        <v>173</v>
      </c>
      <c r="P14" s="350" t="s">
        <v>174</v>
      </c>
    </row>
    <row r="15" spans="1:16" ht="85" customHeight="1" thickBot="1">
      <c r="A15" s="137"/>
      <c r="B15" s="138" t="s">
        <v>76</v>
      </c>
      <c r="C15" s="139" t="s">
        <v>77</v>
      </c>
      <c r="D15" s="110" t="s">
        <v>78</v>
      </c>
      <c r="E15" s="321" t="s">
        <v>169</v>
      </c>
      <c r="F15" s="328" t="s">
        <v>170</v>
      </c>
      <c r="G15" s="111">
        <v>20</v>
      </c>
      <c r="H15" s="335" t="s">
        <v>170</v>
      </c>
      <c r="I15" s="112" t="s">
        <v>171</v>
      </c>
      <c r="J15" s="113" t="s">
        <v>170</v>
      </c>
      <c r="K15" s="112" t="s">
        <v>171</v>
      </c>
      <c r="L15" s="342" t="s">
        <v>170</v>
      </c>
      <c r="M15" s="114" t="s">
        <v>171</v>
      </c>
      <c r="N15" s="351" t="s">
        <v>172</v>
      </c>
      <c r="O15" s="352" t="s">
        <v>173</v>
      </c>
      <c r="P15" s="353" t="s">
        <v>174</v>
      </c>
    </row>
    <row r="16" spans="1:16" ht="85" customHeight="1">
      <c r="A16" s="91" t="s">
        <v>14</v>
      </c>
      <c r="B16" s="92" t="s">
        <v>84</v>
      </c>
      <c r="C16" s="93" t="s">
        <v>85</v>
      </c>
      <c r="D16" s="94" t="s">
        <v>86</v>
      </c>
      <c r="E16" s="322" t="s">
        <v>169</v>
      </c>
      <c r="F16" s="329" t="s">
        <v>170</v>
      </c>
      <c r="G16" s="95">
        <v>20</v>
      </c>
      <c r="H16" s="336" t="s">
        <v>170</v>
      </c>
      <c r="I16" s="96" t="s">
        <v>171</v>
      </c>
      <c r="J16" s="97" t="s">
        <v>170</v>
      </c>
      <c r="K16" s="96" t="s">
        <v>171</v>
      </c>
      <c r="L16" s="343" t="s">
        <v>170</v>
      </c>
      <c r="M16" s="98" t="s">
        <v>171</v>
      </c>
      <c r="N16" s="354" t="s">
        <v>172</v>
      </c>
      <c r="O16" s="355" t="s">
        <v>173</v>
      </c>
      <c r="P16" s="356" t="s">
        <v>174</v>
      </c>
    </row>
    <row r="17" spans="1:16" ht="85" customHeight="1" thickBot="1">
      <c r="A17" s="140"/>
      <c r="B17" s="141" t="s">
        <v>87</v>
      </c>
      <c r="C17" s="142" t="s">
        <v>88</v>
      </c>
      <c r="D17" s="121" t="s">
        <v>89</v>
      </c>
      <c r="E17" s="323" t="s">
        <v>169</v>
      </c>
      <c r="F17" s="330" t="s">
        <v>170</v>
      </c>
      <c r="G17" s="122">
        <v>20</v>
      </c>
      <c r="H17" s="337" t="s">
        <v>170</v>
      </c>
      <c r="I17" s="123" t="s">
        <v>171</v>
      </c>
      <c r="J17" s="124" t="s">
        <v>170</v>
      </c>
      <c r="K17" s="123" t="s">
        <v>171</v>
      </c>
      <c r="L17" s="344" t="s">
        <v>170</v>
      </c>
      <c r="M17" s="125" t="s">
        <v>171</v>
      </c>
      <c r="N17" s="357" t="s">
        <v>172</v>
      </c>
      <c r="O17" s="358" t="s">
        <v>173</v>
      </c>
      <c r="P17" s="359" t="s">
        <v>174</v>
      </c>
    </row>
    <row r="18" spans="1:16" ht="85" customHeight="1">
      <c r="A18" s="91" t="s">
        <v>15</v>
      </c>
      <c r="B18" s="92" t="s">
        <v>90</v>
      </c>
      <c r="C18" s="93" t="s">
        <v>91</v>
      </c>
      <c r="D18" s="94" t="s">
        <v>92</v>
      </c>
      <c r="E18" s="322" t="s">
        <v>169</v>
      </c>
      <c r="F18" s="329" t="s">
        <v>170</v>
      </c>
      <c r="G18" s="95">
        <v>25</v>
      </c>
      <c r="H18" s="336" t="s">
        <v>170</v>
      </c>
      <c r="I18" s="96" t="s">
        <v>171</v>
      </c>
      <c r="J18" s="97" t="s">
        <v>170</v>
      </c>
      <c r="K18" s="96" t="s">
        <v>171</v>
      </c>
      <c r="L18" s="343" t="s">
        <v>170</v>
      </c>
      <c r="M18" s="98" t="s">
        <v>171</v>
      </c>
      <c r="N18" s="354" t="s">
        <v>172</v>
      </c>
      <c r="O18" s="355" t="s">
        <v>173</v>
      </c>
      <c r="P18" s="356" t="s">
        <v>174</v>
      </c>
    </row>
    <row r="19" spans="1:16" ht="85" customHeight="1">
      <c r="A19" s="99"/>
      <c r="B19" s="100" t="s">
        <v>93</v>
      </c>
      <c r="C19" s="101" t="s">
        <v>94</v>
      </c>
      <c r="D19" s="102" t="s">
        <v>95</v>
      </c>
      <c r="E19" s="320" t="s">
        <v>169</v>
      </c>
      <c r="F19" s="327" t="s">
        <v>170</v>
      </c>
      <c r="G19" s="103">
        <v>25</v>
      </c>
      <c r="H19" s="334" t="s">
        <v>170</v>
      </c>
      <c r="I19" s="104" t="s">
        <v>171</v>
      </c>
      <c r="J19" s="105" t="s">
        <v>170</v>
      </c>
      <c r="K19" s="104" t="s">
        <v>171</v>
      </c>
      <c r="L19" s="341" t="s">
        <v>170</v>
      </c>
      <c r="M19" s="106" t="s">
        <v>171</v>
      </c>
      <c r="N19" s="348" t="s">
        <v>172</v>
      </c>
      <c r="O19" s="349" t="s">
        <v>173</v>
      </c>
      <c r="P19" s="350" t="s">
        <v>174</v>
      </c>
    </row>
    <row r="20" spans="1:16" ht="85" customHeight="1">
      <c r="A20" s="143"/>
      <c r="B20" s="144" t="s">
        <v>96</v>
      </c>
      <c r="C20" s="145" t="s">
        <v>97</v>
      </c>
      <c r="D20" s="146" t="s">
        <v>98</v>
      </c>
      <c r="E20" s="325" t="s">
        <v>169</v>
      </c>
      <c r="F20" s="332" t="s">
        <v>170</v>
      </c>
      <c r="G20" s="147">
        <v>25</v>
      </c>
      <c r="H20" s="339" t="s">
        <v>170</v>
      </c>
      <c r="I20" s="148" t="s">
        <v>171</v>
      </c>
      <c r="J20" s="149" t="s">
        <v>170</v>
      </c>
      <c r="K20" s="148" t="s">
        <v>171</v>
      </c>
      <c r="L20" s="346" t="s">
        <v>170</v>
      </c>
      <c r="M20" s="150" t="s">
        <v>171</v>
      </c>
      <c r="N20" s="363" t="s">
        <v>172</v>
      </c>
      <c r="O20" s="364" t="s">
        <v>173</v>
      </c>
      <c r="P20" s="365" t="s">
        <v>174</v>
      </c>
    </row>
    <row r="21" spans="1:16" ht="85" customHeight="1">
      <c r="A21" s="151"/>
      <c r="B21" s="152" t="s">
        <v>99</v>
      </c>
      <c r="C21" s="153" t="s">
        <v>100</v>
      </c>
      <c r="D21" s="146" t="s">
        <v>101</v>
      </c>
      <c r="E21" s="325" t="s">
        <v>169</v>
      </c>
      <c r="F21" s="332" t="s">
        <v>170</v>
      </c>
      <c r="G21" s="147">
        <v>25</v>
      </c>
      <c r="H21" s="339" t="s">
        <v>170</v>
      </c>
      <c r="I21" s="148" t="s">
        <v>171</v>
      </c>
      <c r="J21" s="149" t="s">
        <v>170</v>
      </c>
      <c r="K21" s="148" t="s">
        <v>171</v>
      </c>
      <c r="L21" s="346" t="s">
        <v>170</v>
      </c>
      <c r="M21" s="150" t="s">
        <v>171</v>
      </c>
      <c r="N21" s="363" t="s">
        <v>172</v>
      </c>
      <c r="O21" s="364" t="s">
        <v>173</v>
      </c>
      <c r="P21" s="365" t="s">
        <v>174</v>
      </c>
    </row>
    <row r="22" spans="1:16" ht="85" customHeight="1">
      <c r="A22" s="143"/>
      <c r="B22" s="144" t="s">
        <v>102</v>
      </c>
      <c r="C22" s="145" t="s">
        <v>103</v>
      </c>
      <c r="D22" s="146" t="s">
        <v>104</v>
      </c>
      <c r="E22" s="325" t="s">
        <v>169</v>
      </c>
      <c r="F22" s="332" t="s">
        <v>170</v>
      </c>
      <c r="G22" s="147">
        <v>25</v>
      </c>
      <c r="H22" s="339" t="s">
        <v>170</v>
      </c>
      <c r="I22" s="148" t="s">
        <v>171</v>
      </c>
      <c r="J22" s="149" t="s">
        <v>170</v>
      </c>
      <c r="K22" s="148" t="s">
        <v>171</v>
      </c>
      <c r="L22" s="346" t="s">
        <v>170</v>
      </c>
      <c r="M22" s="150" t="s">
        <v>171</v>
      </c>
      <c r="N22" s="363" t="s">
        <v>172</v>
      </c>
      <c r="O22" s="364" t="s">
        <v>173</v>
      </c>
      <c r="P22" s="365" t="s">
        <v>174</v>
      </c>
    </row>
    <row r="23" spans="1:16" ht="85" customHeight="1" thickBot="1">
      <c r="A23" s="137"/>
      <c r="B23" s="138" t="s">
        <v>105</v>
      </c>
      <c r="C23" s="139" t="s">
        <v>106</v>
      </c>
      <c r="D23" s="110" t="s">
        <v>107</v>
      </c>
      <c r="E23" s="321" t="s">
        <v>169</v>
      </c>
      <c r="F23" s="328" t="s">
        <v>170</v>
      </c>
      <c r="G23" s="111">
        <v>20</v>
      </c>
      <c r="H23" s="335" t="s">
        <v>170</v>
      </c>
      <c r="I23" s="112" t="s">
        <v>171</v>
      </c>
      <c r="J23" s="113" t="s">
        <v>170</v>
      </c>
      <c r="K23" s="112" t="s">
        <v>171</v>
      </c>
      <c r="L23" s="342" t="s">
        <v>170</v>
      </c>
      <c r="M23" s="114" t="s">
        <v>171</v>
      </c>
      <c r="N23" s="351" t="s">
        <v>172</v>
      </c>
      <c r="O23" s="352" t="s">
        <v>173</v>
      </c>
      <c r="P23" s="353" t="s">
        <v>174</v>
      </c>
    </row>
    <row r="24" spans="1:16" ht="85" customHeight="1" thickBot="1">
      <c r="A24" s="154" t="s">
        <v>16</v>
      </c>
      <c r="B24" s="155" t="s">
        <v>108</v>
      </c>
      <c r="C24" s="156" t="s">
        <v>109</v>
      </c>
      <c r="D24" s="129" t="s">
        <v>110</v>
      </c>
      <c r="E24" s="324" t="s">
        <v>169</v>
      </c>
      <c r="F24" s="331" t="s">
        <v>170</v>
      </c>
      <c r="G24" s="130">
        <v>20</v>
      </c>
      <c r="H24" s="338" t="s">
        <v>170</v>
      </c>
      <c r="I24" s="131" t="s">
        <v>171</v>
      </c>
      <c r="J24" s="132" t="s">
        <v>170</v>
      </c>
      <c r="K24" s="131" t="s">
        <v>171</v>
      </c>
      <c r="L24" s="345" t="s">
        <v>170</v>
      </c>
      <c r="M24" s="133" t="s">
        <v>171</v>
      </c>
      <c r="N24" s="360" t="s">
        <v>172</v>
      </c>
      <c r="O24" s="361" t="s">
        <v>173</v>
      </c>
      <c r="P24" s="362" t="s">
        <v>174</v>
      </c>
    </row>
    <row r="25" spans="1:16" ht="85" customHeight="1">
      <c r="A25" s="115" t="s">
        <v>114</v>
      </c>
      <c r="B25" s="116" t="s">
        <v>115</v>
      </c>
      <c r="C25" s="117" t="s">
        <v>116</v>
      </c>
      <c r="D25" s="94" t="s">
        <v>117</v>
      </c>
      <c r="E25" s="322" t="s">
        <v>169</v>
      </c>
      <c r="F25" s="329" t="s">
        <v>170</v>
      </c>
      <c r="G25" s="95">
        <v>20</v>
      </c>
      <c r="H25" s="336" t="s">
        <v>170</v>
      </c>
      <c r="I25" s="96" t="s">
        <v>171</v>
      </c>
      <c r="J25" s="97" t="s">
        <v>170</v>
      </c>
      <c r="K25" s="96" t="s">
        <v>171</v>
      </c>
      <c r="L25" s="343" t="s">
        <v>170</v>
      </c>
      <c r="M25" s="98" t="s">
        <v>171</v>
      </c>
      <c r="N25" s="354" t="s">
        <v>172</v>
      </c>
      <c r="O25" s="355" t="s">
        <v>173</v>
      </c>
      <c r="P25" s="356" t="s">
        <v>174</v>
      </c>
    </row>
    <row r="26" spans="1:16" ht="85" customHeight="1">
      <c r="A26" s="134"/>
      <c r="B26" s="135" t="s">
        <v>118</v>
      </c>
      <c r="C26" s="136" t="s">
        <v>119</v>
      </c>
      <c r="D26" s="102" t="s">
        <v>120</v>
      </c>
      <c r="E26" s="320" t="s">
        <v>169</v>
      </c>
      <c r="F26" s="327" t="s">
        <v>170</v>
      </c>
      <c r="G26" s="103">
        <v>20</v>
      </c>
      <c r="H26" s="334" t="s">
        <v>170</v>
      </c>
      <c r="I26" s="104" t="s">
        <v>171</v>
      </c>
      <c r="J26" s="105" t="s">
        <v>170</v>
      </c>
      <c r="K26" s="104" t="s">
        <v>171</v>
      </c>
      <c r="L26" s="341" t="s">
        <v>170</v>
      </c>
      <c r="M26" s="106" t="s">
        <v>171</v>
      </c>
      <c r="N26" s="348" t="s">
        <v>172</v>
      </c>
      <c r="O26" s="349" t="s">
        <v>173</v>
      </c>
      <c r="P26" s="350" t="s">
        <v>174</v>
      </c>
    </row>
    <row r="27" spans="1:16" ht="85" customHeight="1">
      <c r="A27" s="151"/>
      <c r="B27" s="152" t="s">
        <v>121</v>
      </c>
      <c r="C27" s="153" t="s">
        <v>122</v>
      </c>
      <c r="D27" s="146" t="s">
        <v>123</v>
      </c>
      <c r="E27" s="325" t="s">
        <v>169</v>
      </c>
      <c r="F27" s="332" t="s">
        <v>170</v>
      </c>
      <c r="G27" s="147">
        <v>25</v>
      </c>
      <c r="H27" s="339" t="s">
        <v>170</v>
      </c>
      <c r="I27" s="148" t="s">
        <v>171</v>
      </c>
      <c r="J27" s="149" t="s">
        <v>170</v>
      </c>
      <c r="K27" s="148" t="s">
        <v>171</v>
      </c>
      <c r="L27" s="346" t="s">
        <v>170</v>
      </c>
      <c r="M27" s="150" t="s">
        <v>171</v>
      </c>
      <c r="N27" s="363" t="s">
        <v>172</v>
      </c>
      <c r="O27" s="364" t="s">
        <v>173</v>
      </c>
      <c r="P27" s="365" t="s">
        <v>174</v>
      </c>
    </row>
    <row r="28" spans="1:16" ht="85" customHeight="1">
      <c r="A28" s="143"/>
      <c r="B28" s="144" t="s">
        <v>124</v>
      </c>
      <c r="C28" s="145" t="s">
        <v>125</v>
      </c>
      <c r="D28" s="146" t="s">
        <v>167</v>
      </c>
      <c r="E28" s="325" t="s">
        <v>169</v>
      </c>
      <c r="F28" s="332" t="s">
        <v>170</v>
      </c>
      <c r="G28" s="147">
        <v>25</v>
      </c>
      <c r="H28" s="339" t="s">
        <v>170</v>
      </c>
      <c r="I28" s="148" t="s">
        <v>171</v>
      </c>
      <c r="J28" s="149" t="s">
        <v>170</v>
      </c>
      <c r="K28" s="148" t="s">
        <v>171</v>
      </c>
      <c r="L28" s="346" t="s">
        <v>170</v>
      </c>
      <c r="M28" s="150" t="s">
        <v>171</v>
      </c>
      <c r="N28" s="363" t="s">
        <v>172</v>
      </c>
      <c r="O28" s="364" t="s">
        <v>173</v>
      </c>
      <c r="P28" s="365" t="s">
        <v>174</v>
      </c>
    </row>
    <row r="29" spans="1:16" ht="85" customHeight="1">
      <c r="A29" s="151"/>
      <c r="B29" s="152" t="s">
        <v>126</v>
      </c>
      <c r="C29" s="153" t="s">
        <v>127</v>
      </c>
      <c r="D29" s="146" t="s">
        <v>128</v>
      </c>
      <c r="E29" s="325" t="s">
        <v>169</v>
      </c>
      <c r="F29" s="332" t="s">
        <v>170</v>
      </c>
      <c r="G29" s="147">
        <v>20</v>
      </c>
      <c r="H29" s="339" t="s">
        <v>170</v>
      </c>
      <c r="I29" s="148" t="s">
        <v>171</v>
      </c>
      <c r="J29" s="149" t="s">
        <v>170</v>
      </c>
      <c r="K29" s="148" t="s">
        <v>171</v>
      </c>
      <c r="L29" s="346" t="s">
        <v>170</v>
      </c>
      <c r="M29" s="150" t="s">
        <v>171</v>
      </c>
      <c r="N29" s="363" t="s">
        <v>172</v>
      </c>
      <c r="O29" s="364" t="s">
        <v>173</v>
      </c>
      <c r="P29" s="365" t="s">
        <v>174</v>
      </c>
    </row>
    <row r="30" spans="1:16" ht="85" customHeight="1" thickBot="1">
      <c r="A30" s="107"/>
      <c r="B30" s="108" t="s">
        <v>153</v>
      </c>
      <c r="C30" s="109" t="s">
        <v>154</v>
      </c>
      <c r="D30" s="110" t="s">
        <v>155</v>
      </c>
      <c r="E30" s="321" t="s">
        <v>169</v>
      </c>
      <c r="F30" s="328" t="s">
        <v>170</v>
      </c>
      <c r="G30" s="111">
        <v>25</v>
      </c>
      <c r="H30" s="335" t="s">
        <v>170</v>
      </c>
      <c r="I30" s="112" t="s">
        <v>171</v>
      </c>
      <c r="J30" s="113" t="s">
        <v>170</v>
      </c>
      <c r="K30" s="112" t="s">
        <v>171</v>
      </c>
      <c r="L30" s="342" t="s">
        <v>170</v>
      </c>
      <c r="M30" s="114" t="s">
        <v>171</v>
      </c>
      <c r="N30" s="351" t="s">
        <v>172</v>
      </c>
      <c r="O30" s="352" t="s">
        <v>173</v>
      </c>
      <c r="P30" s="353" t="s">
        <v>174</v>
      </c>
    </row>
    <row r="31" spans="1:16" ht="85" customHeight="1">
      <c r="A31" s="115" t="s">
        <v>18</v>
      </c>
      <c r="B31" s="116" t="s">
        <v>131</v>
      </c>
      <c r="C31" s="117" t="s">
        <v>132</v>
      </c>
      <c r="D31" s="94" t="s">
        <v>133</v>
      </c>
      <c r="E31" s="322" t="s">
        <v>169</v>
      </c>
      <c r="F31" s="329" t="s">
        <v>170</v>
      </c>
      <c r="G31" s="95">
        <v>20</v>
      </c>
      <c r="H31" s="336" t="s">
        <v>170</v>
      </c>
      <c r="I31" s="96" t="s">
        <v>171</v>
      </c>
      <c r="J31" s="97" t="s">
        <v>170</v>
      </c>
      <c r="K31" s="96" t="s">
        <v>171</v>
      </c>
      <c r="L31" s="343" t="s">
        <v>170</v>
      </c>
      <c r="M31" s="98" t="s">
        <v>171</v>
      </c>
      <c r="N31" s="354" t="s">
        <v>172</v>
      </c>
      <c r="O31" s="355" t="s">
        <v>173</v>
      </c>
      <c r="P31" s="356" t="s">
        <v>174</v>
      </c>
    </row>
    <row r="32" spans="1:16" ht="85" customHeight="1" thickBot="1">
      <c r="A32" s="118"/>
      <c r="B32" s="119" t="s">
        <v>134</v>
      </c>
      <c r="C32" s="120" t="s">
        <v>135</v>
      </c>
      <c r="D32" s="121" t="s">
        <v>136</v>
      </c>
      <c r="E32" s="323" t="s">
        <v>169</v>
      </c>
      <c r="F32" s="330" t="s">
        <v>170</v>
      </c>
      <c r="G32" s="122">
        <v>25</v>
      </c>
      <c r="H32" s="337" t="s">
        <v>170</v>
      </c>
      <c r="I32" s="123" t="s">
        <v>171</v>
      </c>
      <c r="J32" s="124" t="s">
        <v>170</v>
      </c>
      <c r="K32" s="123" t="s">
        <v>171</v>
      </c>
      <c r="L32" s="344" t="s">
        <v>170</v>
      </c>
      <c r="M32" s="125" t="s">
        <v>171</v>
      </c>
      <c r="N32" s="357" t="s">
        <v>172</v>
      </c>
      <c r="O32" s="358" t="s">
        <v>173</v>
      </c>
      <c r="P32" s="359" t="s">
        <v>174</v>
      </c>
    </row>
    <row r="33" spans="1:16" ht="85" customHeight="1">
      <c r="A33" s="115" t="s">
        <v>19</v>
      </c>
      <c r="B33" s="116" t="s">
        <v>138</v>
      </c>
      <c r="C33" s="117" t="s">
        <v>139</v>
      </c>
      <c r="D33" s="94" t="s">
        <v>140</v>
      </c>
      <c r="E33" s="322" t="s">
        <v>169</v>
      </c>
      <c r="F33" s="329" t="s">
        <v>170</v>
      </c>
      <c r="G33" s="95">
        <v>20</v>
      </c>
      <c r="H33" s="336" t="s">
        <v>170</v>
      </c>
      <c r="I33" s="96" t="s">
        <v>171</v>
      </c>
      <c r="J33" s="97" t="s">
        <v>170</v>
      </c>
      <c r="K33" s="96" t="s">
        <v>171</v>
      </c>
      <c r="L33" s="343" t="s">
        <v>170</v>
      </c>
      <c r="M33" s="98" t="s">
        <v>171</v>
      </c>
      <c r="N33" s="354" t="s">
        <v>172</v>
      </c>
      <c r="O33" s="355" t="s">
        <v>173</v>
      </c>
      <c r="P33" s="356" t="s">
        <v>174</v>
      </c>
    </row>
    <row r="34" spans="1:16" ht="85" customHeight="1">
      <c r="A34" s="134"/>
      <c r="B34" s="135" t="s">
        <v>141</v>
      </c>
      <c r="C34" s="136" t="s">
        <v>142</v>
      </c>
      <c r="D34" s="102" t="s">
        <v>143</v>
      </c>
      <c r="E34" s="320" t="s">
        <v>169</v>
      </c>
      <c r="F34" s="327" t="s">
        <v>170</v>
      </c>
      <c r="G34" s="103">
        <v>20</v>
      </c>
      <c r="H34" s="334" t="s">
        <v>170</v>
      </c>
      <c r="I34" s="104" t="s">
        <v>171</v>
      </c>
      <c r="J34" s="105" t="s">
        <v>170</v>
      </c>
      <c r="K34" s="104" t="s">
        <v>171</v>
      </c>
      <c r="L34" s="341" t="s">
        <v>170</v>
      </c>
      <c r="M34" s="106" t="s">
        <v>171</v>
      </c>
      <c r="N34" s="348" t="s">
        <v>172</v>
      </c>
      <c r="O34" s="349" t="s">
        <v>173</v>
      </c>
      <c r="P34" s="350" t="s">
        <v>174</v>
      </c>
    </row>
    <row r="35" spans="1:16" ht="85" customHeight="1">
      <c r="A35" s="151"/>
      <c r="B35" s="152" t="s">
        <v>144</v>
      </c>
      <c r="C35" s="153" t="s">
        <v>145</v>
      </c>
      <c r="D35" s="146" t="s">
        <v>146</v>
      </c>
      <c r="E35" s="325" t="s">
        <v>169</v>
      </c>
      <c r="F35" s="332" t="s">
        <v>170</v>
      </c>
      <c r="G35" s="147">
        <v>20</v>
      </c>
      <c r="H35" s="339" t="s">
        <v>170</v>
      </c>
      <c r="I35" s="148" t="s">
        <v>171</v>
      </c>
      <c r="J35" s="149" t="s">
        <v>170</v>
      </c>
      <c r="K35" s="148" t="s">
        <v>171</v>
      </c>
      <c r="L35" s="346" t="s">
        <v>170</v>
      </c>
      <c r="M35" s="150" t="s">
        <v>171</v>
      </c>
      <c r="N35" s="363" t="s">
        <v>172</v>
      </c>
      <c r="O35" s="364" t="s">
        <v>173</v>
      </c>
      <c r="P35" s="365" t="s">
        <v>174</v>
      </c>
    </row>
    <row r="36" spans="1:16" ht="85" customHeight="1">
      <c r="A36" s="143"/>
      <c r="B36" s="144" t="s">
        <v>147</v>
      </c>
      <c r="C36" s="145" t="s">
        <v>148</v>
      </c>
      <c r="D36" s="146" t="s">
        <v>149</v>
      </c>
      <c r="E36" s="325" t="s">
        <v>169</v>
      </c>
      <c r="F36" s="332" t="s">
        <v>170</v>
      </c>
      <c r="G36" s="147">
        <v>20</v>
      </c>
      <c r="H36" s="339" t="s">
        <v>170</v>
      </c>
      <c r="I36" s="148" t="s">
        <v>171</v>
      </c>
      <c r="J36" s="149" t="s">
        <v>170</v>
      </c>
      <c r="K36" s="148" t="s">
        <v>171</v>
      </c>
      <c r="L36" s="346" t="s">
        <v>170</v>
      </c>
      <c r="M36" s="150" t="s">
        <v>171</v>
      </c>
      <c r="N36" s="363" t="s">
        <v>172</v>
      </c>
      <c r="O36" s="364" t="s">
        <v>173</v>
      </c>
      <c r="P36" s="365" t="s">
        <v>174</v>
      </c>
    </row>
    <row r="37" spans="1:16" ht="85" customHeight="1">
      <c r="A37" s="151"/>
      <c r="B37" s="152" t="s">
        <v>150</v>
      </c>
      <c r="C37" s="153" t="s">
        <v>151</v>
      </c>
      <c r="D37" s="146" t="s">
        <v>152</v>
      </c>
      <c r="E37" s="325" t="s">
        <v>169</v>
      </c>
      <c r="F37" s="332" t="s">
        <v>170</v>
      </c>
      <c r="G37" s="147">
        <v>25</v>
      </c>
      <c r="H37" s="339" t="s">
        <v>170</v>
      </c>
      <c r="I37" s="148" t="s">
        <v>171</v>
      </c>
      <c r="J37" s="149" t="s">
        <v>170</v>
      </c>
      <c r="K37" s="148" t="s">
        <v>171</v>
      </c>
      <c r="L37" s="346" t="s">
        <v>170</v>
      </c>
      <c r="M37" s="150" t="s">
        <v>171</v>
      </c>
      <c r="N37" s="363" t="s">
        <v>172</v>
      </c>
      <c r="O37" s="364" t="s">
        <v>173</v>
      </c>
      <c r="P37" s="365" t="s">
        <v>174</v>
      </c>
    </row>
    <row r="38" spans="1:16" ht="85" customHeight="1" thickBot="1">
      <c r="A38" s="157"/>
      <c r="B38" s="158" t="s">
        <v>156</v>
      </c>
      <c r="C38" s="159" t="s">
        <v>157</v>
      </c>
      <c r="D38" s="160" t="s">
        <v>158</v>
      </c>
      <c r="E38" s="326" t="s">
        <v>169</v>
      </c>
      <c r="F38" s="333" t="s">
        <v>170</v>
      </c>
      <c r="G38" s="161">
        <v>20</v>
      </c>
      <c r="H38" s="340" t="s">
        <v>170</v>
      </c>
      <c r="I38" s="162" t="s">
        <v>171</v>
      </c>
      <c r="J38" s="163" t="s">
        <v>170</v>
      </c>
      <c r="K38" s="162" t="s">
        <v>171</v>
      </c>
      <c r="L38" s="347" t="s">
        <v>170</v>
      </c>
      <c r="M38" s="164" t="s">
        <v>171</v>
      </c>
      <c r="N38" s="366" t="s">
        <v>172</v>
      </c>
      <c r="O38" s="367" t="s">
        <v>173</v>
      </c>
      <c r="P38" s="368" t="s">
        <v>174</v>
      </c>
    </row>
  </sheetData>
  <sheetProtection sheet="1" objects="1" scenarios="1" autoFilter="0"/>
  <mergeCells count="8">
    <mergeCell ref="A1:P1"/>
    <mergeCell ref="B2:C2"/>
    <mergeCell ref="D2:E2"/>
    <mergeCell ref="F2:G2"/>
    <mergeCell ref="H2:I2"/>
    <mergeCell ref="J2:K2"/>
    <mergeCell ref="L2:M2"/>
    <mergeCell ref="N2:P2"/>
  </mergeCells>
  <conditionalFormatting sqref="I3">
    <cfRule type="expression" dxfId="23" priority="5">
      <formula>AND(I3=K3,I3=M3)</formula>
    </cfRule>
    <cfRule type="expression" dxfId="22" priority="6">
      <formula>AND(I3&gt;K3,I3&gt;M3)</formula>
    </cfRule>
    <cfRule type="expression" dxfId="21" priority="7">
      <formula>AND(I3&lt;K3,I3&lt;M3)</formula>
    </cfRule>
    <cfRule type="expression" dxfId="20" priority="8">
      <formula>AND(NOT(AND(I3=K3,I3=M3)),NOT(AND(I3&gt;K3,I3&gt;M3)),NOT(AND(I3&lt;K3,I3&lt;M3)))</formula>
    </cfRule>
  </conditionalFormatting>
  <conditionalFormatting sqref="K3">
    <cfRule type="expression" dxfId="19" priority="9">
      <formula>AND(K3=I3,K3=M3)</formula>
    </cfRule>
    <cfRule type="expression" dxfId="18" priority="10">
      <formula>AND(K3&gt;I3,K3&gt;M3)</formula>
    </cfRule>
    <cfRule type="expression" dxfId="17" priority="11">
      <formula>AND(K3&lt;I3,K3&lt;M3)</formula>
    </cfRule>
    <cfRule type="expression" dxfId="16" priority="12">
      <formula>AND(NOT(AND(K3=I3,K3=M3)),NOT(AND(K3&gt;I3,K3&gt;M3)),NOT(AND(K3&lt;I3,K3&lt;M3)))</formula>
    </cfRule>
  </conditionalFormatting>
  <conditionalFormatting sqref="M3">
    <cfRule type="expression" dxfId="15" priority="1">
      <formula>AND(M3=I3,M3=K3)</formula>
    </cfRule>
    <cfRule type="expression" dxfId="14" priority="2">
      <formula>AND(M3&gt;I3,M3&gt;K3)</formula>
    </cfRule>
    <cfRule type="expression" dxfId="13" priority="3">
      <formula>AND(M3&lt;I3,M3&lt;K3)</formula>
    </cfRule>
    <cfRule type="expression" dxfId="12" priority="4">
      <formula>AND(NOT(AND(M3=I3,M3=K3)),NOT(AND(M3&gt;I3,M3&gt;K3)),NOT(AND(M3&lt;I3,M3&lt;K3)))</formula>
    </cfRule>
  </conditionalFormatting>
  <dataValidations count="1">
    <dataValidation type="list" allowBlank="1" sqref="E4:E38" xr:uid="{F34997A8-A716-5B4B-8E46-78FC86BC2B52}">
      <formula1>"Very Low Importance,Low Importance,Moderate Importance,High Importance,Very High Importance"</formula1>
    </dataValidation>
  </dataValidations>
  <pageMargins left="0.25" right="0.25" top="0.75" bottom="0.75" header="0.3" footer="0.3"/>
  <pageSetup paperSize="9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"/>
  <sheetViews>
    <sheetView showGridLines="0"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3" sqref="L3"/>
    </sheetView>
  </sheetViews>
  <sheetFormatPr defaultColWidth="8.81640625" defaultRowHeight="15" customHeight="1"/>
  <cols>
    <col min="1" max="1" width="18.1796875" customWidth="1"/>
    <col min="2" max="2" width="11.81640625" customWidth="1"/>
    <col min="3" max="3" width="25.453125" customWidth="1"/>
    <col min="4" max="4" width="50.90625" customWidth="1"/>
    <col min="5" max="5" width="14.54296875" customWidth="1"/>
    <col min="6" max="6" width="10" customWidth="1"/>
    <col min="7" max="7" width="8.1796875" customWidth="1"/>
    <col min="8" max="8" width="12.7265625" customWidth="1"/>
    <col min="9" max="9" width="10" customWidth="1"/>
    <col min="10" max="10" width="12.7265625" customWidth="1"/>
    <col min="11" max="11" width="10" customWidth="1"/>
    <col min="12" max="12" width="12.7265625" customWidth="1"/>
    <col min="13" max="13" width="0.90625" customWidth="1"/>
    <col min="14" max="16" width="36.36328125" style="1" customWidth="1"/>
  </cols>
  <sheetData>
    <row r="1" spans="1:16" ht="35" customHeight="1">
      <c r="A1" s="222" t="s">
        <v>194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4"/>
    </row>
    <row r="2" spans="1:16" ht="28" customHeight="1">
      <c r="A2" s="249" t="s">
        <v>176</v>
      </c>
      <c r="B2" s="250" t="s">
        <v>179</v>
      </c>
      <c r="C2" s="250"/>
      <c r="D2" s="251" t="s">
        <v>180</v>
      </c>
      <c r="E2" s="251"/>
      <c r="F2" s="251" t="s">
        <v>190</v>
      </c>
      <c r="G2" s="251"/>
      <c r="H2" s="252" t="s">
        <v>181</v>
      </c>
      <c r="I2" s="252"/>
      <c r="J2" s="252" t="s">
        <v>191</v>
      </c>
      <c r="K2" s="252"/>
      <c r="L2" s="253" t="s">
        <v>182</v>
      </c>
      <c r="M2" s="253"/>
      <c r="N2" s="254" t="s">
        <v>192</v>
      </c>
      <c r="O2" s="254"/>
      <c r="P2" s="255"/>
    </row>
    <row r="3" spans="1:16" ht="24" customHeight="1" thickBot="1">
      <c r="A3" s="256" t="s">
        <v>28</v>
      </c>
      <c r="B3" s="257"/>
      <c r="C3" s="257"/>
      <c r="D3" s="257"/>
      <c r="E3" s="257"/>
      <c r="F3" s="259">
        <f>SUMIF(F5:F61,"&gt;0")</f>
        <v>0</v>
      </c>
      <c r="G3" s="258">
        <f>SUM(G5:G61)</f>
        <v>1045</v>
      </c>
      <c r="H3" s="259">
        <f>SUMIF(H5:H61,"&gt;0")</f>
        <v>0</v>
      </c>
      <c r="I3" s="260">
        <f>SUMIF(I5:I61,"&gt;0")</f>
        <v>0</v>
      </c>
      <c r="J3" s="260">
        <f>SUMIF(J5:J61,"&gt;0")</f>
        <v>0</v>
      </c>
      <c r="K3" s="261">
        <f>SUMIF(K5:K61,"&gt;0")</f>
        <v>0</v>
      </c>
      <c r="L3" s="261">
        <f>SUMIF(L5:L61,"&gt;0")</f>
        <v>0</v>
      </c>
      <c r="M3" s="257"/>
      <c r="N3" s="257" t="s">
        <v>178</v>
      </c>
      <c r="O3" s="257" t="s">
        <v>178</v>
      </c>
      <c r="P3" s="262" t="s">
        <v>178</v>
      </c>
    </row>
    <row r="4" spans="1:16" ht="35" customHeight="1" thickBot="1">
      <c r="A4" s="275" t="s">
        <v>0</v>
      </c>
      <c r="B4" s="276" t="s">
        <v>195</v>
      </c>
      <c r="C4" s="276" t="s">
        <v>21</v>
      </c>
      <c r="D4" s="276" t="s">
        <v>196</v>
      </c>
      <c r="E4" s="276" t="s">
        <v>197</v>
      </c>
      <c r="F4" s="277" t="s">
        <v>22</v>
      </c>
      <c r="G4" s="277" t="s">
        <v>163</v>
      </c>
      <c r="H4" s="277" t="s">
        <v>305</v>
      </c>
      <c r="I4" s="278" t="s">
        <v>23</v>
      </c>
      <c r="J4" s="278" t="s">
        <v>306</v>
      </c>
      <c r="K4" s="279" t="s">
        <v>24</v>
      </c>
      <c r="L4" s="279" t="s">
        <v>307</v>
      </c>
      <c r="M4" s="276"/>
      <c r="N4" s="277" t="s">
        <v>25</v>
      </c>
      <c r="O4" s="278" t="s">
        <v>26</v>
      </c>
      <c r="P4" s="280" t="s">
        <v>27</v>
      </c>
    </row>
    <row r="5" spans="1:16" ht="60" customHeight="1">
      <c r="A5" s="266" t="s">
        <v>8</v>
      </c>
      <c r="B5" s="267" t="s">
        <v>29</v>
      </c>
      <c r="C5" s="268" t="s">
        <v>198</v>
      </c>
      <c r="D5" s="269" t="s">
        <v>199</v>
      </c>
      <c r="E5" s="369"/>
      <c r="F5" s="375"/>
      <c r="G5" s="270">
        <v>25</v>
      </c>
      <c r="H5" s="271" t="str">
        <f>IF(ISNUMBER(F5),F5*G5/5,"[Auto]")</f>
        <v>[Auto]</v>
      </c>
      <c r="I5" s="381"/>
      <c r="J5" s="272" t="str">
        <f>IF(ISNUMBER(I5),I5*G5/5,"[Auto]")</f>
        <v>[Auto]</v>
      </c>
      <c r="K5" s="387"/>
      <c r="L5" s="273" t="str">
        <f>IF(ISNUMBER(K5),K5*G5/5,"[Auto]")</f>
        <v>[Auto]</v>
      </c>
      <c r="M5" s="274"/>
      <c r="N5" s="393" t="s">
        <v>200</v>
      </c>
      <c r="O5" s="394" t="s">
        <v>201</v>
      </c>
      <c r="P5" s="395" t="s">
        <v>202</v>
      </c>
    </row>
    <row r="6" spans="1:16" ht="60" customHeight="1">
      <c r="A6" s="241"/>
      <c r="B6" s="242" t="s">
        <v>31</v>
      </c>
      <c r="C6" s="243" t="s">
        <v>203</v>
      </c>
      <c r="D6" s="244" t="s">
        <v>204</v>
      </c>
      <c r="E6" s="370"/>
      <c r="F6" s="376"/>
      <c r="G6" s="245">
        <v>20</v>
      </c>
      <c r="H6" s="246" t="str">
        <f>IF(ISNUMBER(F6),F6*G6/5,"[Auto]")</f>
        <v>[Auto]</v>
      </c>
      <c r="I6" s="382"/>
      <c r="J6" s="247" t="str">
        <f>IF(ISNUMBER(I6),I6*G6/5,"[Auto]")</f>
        <v>[Auto]</v>
      </c>
      <c r="K6" s="388"/>
      <c r="L6" s="248" t="str">
        <f>IF(ISNUMBER(K6),K6*G6/5,"[Auto]")</f>
        <v>[Auto]</v>
      </c>
      <c r="M6" s="263"/>
      <c r="N6" s="396" t="s">
        <v>200</v>
      </c>
      <c r="O6" s="397" t="s">
        <v>201</v>
      </c>
      <c r="P6" s="398" t="s">
        <v>202</v>
      </c>
    </row>
    <row r="7" spans="1:16" ht="60" customHeight="1">
      <c r="A7" s="225"/>
      <c r="B7" s="226" t="s">
        <v>33</v>
      </c>
      <c r="C7" s="227" t="s">
        <v>34</v>
      </c>
      <c r="D7" s="228" t="s">
        <v>205</v>
      </c>
      <c r="E7" s="371"/>
      <c r="F7" s="377"/>
      <c r="G7" s="229">
        <v>25</v>
      </c>
      <c r="H7" s="230" t="str">
        <f>IF(ISNUMBER(F7),F7*G7/5,"[Auto]")</f>
        <v>[Auto]</v>
      </c>
      <c r="I7" s="383"/>
      <c r="J7" s="231" t="str">
        <f>IF(ISNUMBER(I7),I7*G7/5,"[Auto]")</f>
        <v>[Auto]</v>
      </c>
      <c r="K7" s="389"/>
      <c r="L7" s="232" t="str">
        <f>IF(ISNUMBER(K7),K7*G7/5,"[Auto]")</f>
        <v>[Auto]</v>
      </c>
      <c r="M7" s="264"/>
      <c r="N7" s="399" t="s">
        <v>200</v>
      </c>
      <c r="O7" s="400" t="s">
        <v>201</v>
      </c>
      <c r="P7" s="401" t="s">
        <v>202</v>
      </c>
    </row>
    <row r="8" spans="1:16" ht="60" customHeight="1">
      <c r="A8" s="225"/>
      <c r="B8" s="226" t="s">
        <v>37</v>
      </c>
      <c r="C8" s="227" t="s">
        <v>38</v>
      </c>
      <c r="D8" s="228" t="s">
        <v>39</v>
      </c>
      <c r="E8" s="371"/>
      <c r="F8" s="377"/>
      <c r="G8" s="229">
        <v>20</v>
      </c>
      <c r="H8" s="230" t="str">
        <f>IF(ISNUMBER(F8),F8*G8/5,"[Auto]")</f>
        <v>[Auto]</v>
      </c>
      <c r="I8" s="383"/>
      <c r="J8" s="231" t="str">
        <f>IF(ISNUMBER(I8),I8*G8/5,"[Auto]")</f>
        <v>[Auto]</v>
      </c>
      <c r="K8" s="389"/>
      <c r="L8" s="232" t="str">
        <f>IF(ISNUMBER(K8),K8*G8/5,"[Auto]")</f>
        <v>[Auto]</v>
      </c>
      <c r="M8" s="264"/>
      <c r="N8" s="399" t="s">
        <v>200</v>
      </c>
      <c r="O8" s="400" t="s">
        <v>201</v>
      </c>
      <c r="P8" s="401" t="s">
        <v>202</v>
      </c>
    </row>
    <row r="9" spans="1:16" ht="60" customHeight="1" thickBot="1">
      <c r="A9" s="281"/>
      <c r="B9" s="282" t="s">
        <v>41</v>
      </c>
      <c r="C9" s="283" t="s">
        <v>42</v>
      </c>
      <c r="D9" s="284" t="s">
        <v>206</v>
      </c>
      <c r="E9" s="372"/>
      <c r="F9" s="378"/>
      <c r="G9" s="285">
        <v>20</v>
      </c>
      <c r="H9" s="286" t="str">
        <f>IF(ISNUMBER(F9),F9*G9/5,"[Auto]")</f>
        <v>[Auto]</v>
      </c>
      <c r="I9" s="384"/>
      <c r="J9" s="287" t="str">
        <f>IF(ISNUMBER(I9),I9*G9/5,"[Auto]")</f>
        <v>[Auto]</v>
      </c>
      <c r="K9" s="390"/>
      <c r="L9" s="288" t="str">
        <f>IF(ISNUMBER(K9),K9*G9/5,"[Auto]")</f>
        <v>[Auto]</v>
      </c>
      <c r="M9" s="289"/>
      <c r="N9" s="402" t="s">
        <v>200</v>
      </c>
      <c r="O9" s="403" t="s">
        <v>201</v>
      </c>
      <c r="P9" s="404" t="s">
        <v>202</v>
      </c>
    </row>
    <row r="10" spans="1:16" ht="60" customHeight="1">
      <c r="A10" s="266" t="s">
        <v>9</v>
      </c>
      <c r="B10" s="267" t="s">
        <v>44</v>
      </c>
      <c r="C10" s="268" t="s">
        <v>45</v>
      </c>
      <c r="D10" s="269" t="s">
        <v>207</v>
      </c>
      <c r="E10" s="369"/>
      <c r="F10" s="375"/>
      <c r="G10" s="270">
        <v>20</v>
      </c>
      <c r="H10" s="271" t="str">
        <f>IF(ISNUMBER(F10),F10*G10/5,"[Auto]")</f>
        <v>[Auto]</v>
      </c>
      <c r="I10" s="381"/>
      <c r="J10" s="272" t="str">
        <f>IF(ISNUMBER(I10),I10*G10/5,"[Auto]")</f>
        <v>[Auto]</v>
      </c>
      <c r="K10" s="387"/>
      <c r="L10" s="273" t="str">
        <f>IF(ISNUMBER(K10),K10*G10/5,"[Auto]")</f>
        <v>[Auto]</v>
      </c>
      <c r="M10" s="274"/>
      <c r="N10" s="393" t="s">
        <v>200</v>
      </c>
      <c r="O10" s="394" t="s">
        <v>201</v>
      </c>
      <c r="P10" s="395" t="s">
        <v>202</v>
      </c>
    </row>
    <row r="11" spans="1:16" ht="60" customHeight="1">
      <c r="A11" s="241"/>
      <c r="B11" s="242" t="s">
        <v>47</v>
      </c>
      <c r="C11" s="243" t="s">
        <v>48</v>
      </c>
      <c r="D11" s="244" t="s">
        <v>208</v>
      </c>
      <c r="E11" s="370"/>
      <c r="F11" s="376"/>
      <c r="G11" s="245">
        <v>20</v>
      </c>
      <c r="H11" s="246" t="str">
        <f>IF(ISNUMBER(F11),F11*G11/5,"[Auto]")</f>
        <v>[Auto]</v>
      </c>
      <c r="I11" s="382"/>
      <c r="J11" s="247" t="str">
        <f>IF(ISNUMBER(I11),I11*G11/5,"[Auto]")</f>
        <v>[Auto]</v>
      </c>
      <c r="K11" s="388"/>
      <c r="L11" s="248" t="str">
        <f>IF(ISNUMBER(K11),K11*G11/5,"[Auto]")</f>
        <v>[Auto]</v>
      </c>
      <c r="M11" s="263"/>
      <c r="N11" s="396" t="s">
        <v>200</v>
      </c>
      <c r="O11" s="397" t="s">
        <v>201</v>
      </c>
      <c r="P11" s="398" t="s">
        <v>202</v>
      </c>
    </row>
    <row r="12" spans="1:16" ht="60" customHeight="1" thickBot="1">
      <c r="A12" s="281"/>
      <c r="B12" s="282" t="s">
        <v>50</v>
      </c>
      <c r="C12" s="283" t="s">
        <v>209</v>
      </c>
      <c r="D12" s="284" t="s">
        <v>210</v>
      </c>
      <c r="E12" s="372"/>
      <c r="F12" s="378"/>
      <c r="G12" s="285">
        <v>15</v>
      </c>
      <c r="H12" s="286" t="str">
        <f>IF(ISNUMBER(F12),F12*G12/5,"[Auto]")</f>
        <v>[Auto]</v>
      </c>
      <c r="I12" s="384"/>
      <c r="J12" s="287" t="str">
        <f>IF(ISNUMBER(I12),I12*G12/5,"[Auto]")</f>
        <v>[Auto]</v>
      </c>
      <c r="K12" s="390"/>
      <c r="L12" s="288" t="str">
        <f>IF(ISNUMBER(K12),K12*G12/5,"[Auto]")</f>
        <v>[Auto]</v>
      </c>
      <c r="M12" s="289"/>
      <c r="N12" s="402" t="s">
        <v>200</v>
      </c>
      <c r="O12" s="403" t="s">
        <v>201</v>
      </c>
      <c r="P12" s="404" t="s">
        <v>202</v>
      </c>
    </row>
    <row r="13" spans="1:16" ht="60" customHeight="1">
      <c r="A13" s="266" t="s">
        <v>10</v>
      </c>
      <c r="B13" s="267" t="s">
        <v>51</v>
      </c>
      <c r="C13" s="268" t="s">
        <v>211</v>
      </c>
      <c r="D13" s="269" t="s">
        <v>212</v>
      </c>
      <c r="E13" s="369"/>
      <c r="F13" s="375"/>
      <c r="G13" s="270">
        <v>20</v>
      </c>
      <c r="H13" s="271" t="str">
        <f>IF(ISNUMBER(F13),F13*G13/5,"[Auto]")</f>
        <v>[Auto]</v>
      </c>
      <c r="I13" s="381"/>
      <c r="J13" s="272" t="str">
        <f>IF(ISNUMBER(I13),I13*G13/5,"[Auto]")</f>
        <v>[Auto]</v>
      </c>
      <c r="K13" s="387"/>
      <c r="L13" s="273" t="str">
        <f>IF(ISNUMBER(K13),K13*G13/5,"[Auto]")</f>
        <v>[Auto]</v>
      </c>
      <c r="M13" s="274"/>
      <c r="N13" s="393" t="s">
        <v>200</v>
      </c>
      <c r="O13" s="394" t="s">
        <v>201</v>
      </c>
      <c r="P13" s="395" t="s">
        <v>202</v>
      </c>
    </row>
    <row r="14" spans="1:16" ht="60" customHeight="1">
      <c r="A14" s="241"/>
      <c r="B14" s="242" t="s">
        <v>52</v>
      </c>
      <c r="C14" s="243" t="s">
        <v>213</v>
      </c>
      <c r="D14" s="244" t="s">
        <v>214</v>
      </c>
      <c r="E14" s="370"/>
      <c r="F14" s="376"/>
      <c r="G14" s="245">
        <v>15</v>
      </c>
      <c r="H14" s="246" t="str">
        <f>IF(ISNUMBER(F14),F14*G14/5,"[Auto]")</f>
        <v>[Auto]</v>
      </c>
      <c r="I14" s="382"/>
      <c r="J14" s="247" t="str">
        <f>IF(ISNUMBER(I14),I14*G14/5,"[Auto]")</f>
        <v>[Auto]</v>
      </c>
      <c r="K14" s="388"/>
      <c r="L14" s="248" t="str">
        <f>IF(ISNUMBER(K14),K14*G14/5,"[Auto]")</f>
        <v>[Auto]</v>
      </c>
      <c r="M14" s="263"/>
      <c r="N14" s="396" t="s">
        <v>200</v>
      </c>
      <c r="O14" s="397" t="s">
        <v>201</v>
      </c>
      <c r="P14" s="398" t="s">
        <v>202</v>
      </c>
    </row>
    <row r="15" spans="1:16" ht="60" customHeight="1">
      <c r="A15" s="225"/>
      <c r="B15" s="226" t="s">
        <v>54</v>
      </c>
      <c r="C15" s="227" t="s">
        <v>55</v>
      </c>
      <c r="D15" s="228" t="s">
        <v>56</v>
      </c>
      <c r="E15" s="371"/>
      <c r="F15" s="377"/>
      <c r="G15" s="229">
        <v>20</v>
      </c>
      <c r="H15" s="230" t="str">
        <f>IF(ISNUMBER(F15),F15*G15/5,"[Auto]")</f>
        <v>[Auto]</v>
      </c>
      <c r="I15" s="383"/>
      <c r="J15" s="231" t="str">
        <f>IF(ISNUMBER(I15),I15*G15/5,"[Auto]")</f>
        <v>[Auto]</v>
      </c>
      <c r="K15" s="389"/>
      <c r="L15" s="232" t="str">
        <f>IF(ISNUMBER(K15),K15*G15/5,"[Auto]")</f>
        <v>[Auto]</v>
      </c>
      <c r="M15" s="264"/>
      <c r="N15" s="399" t="s">
        <v>200</v>
      </c>
      <c r="O15" s="400" t="s">
        <v>201</v>
      </c>
      <c r="P15" s="401" t="s">
        <v>202</v>
      </c>
    </row>
    <row r="16" spans="1:16" ht="60" customHeight="1" thickBot="1">
      <c r="A16" s="281"/>
      <c r="B16" s="282" t="s">
        <v>57</v>
      </c>
      <c r="C16" s="283" t="s">
        <v>215</v>
      </c>
      <c r="D16" s="284" t="s">
        <v>216</v>
      </c>
      <c r="E16" s="372"/>
      <c r="F16" s="378"/>
      <c r="G16" s="285">
        <v>15</v>
      </c>
      <c r="H16" s="286" t="str">
        <f>IF(ISNUMBER(F16),F16*G16/5,"[Auto]")</f>
        <v>[Auto]</v>
      </c>
      <c r="I16" s="384"/>
      <c r="J16" s="287" t="str">
        <f>IF(ISNUMBER(I16),I16*G16/5,"[Auto]")</f>
        <v>[Auto]</v>
      </c>
      <c r="K16" s="390"/>
      <c r="L16" s="288" t="str">
        <f>IF(ISNUMBER(K16),K16*G16/5,"[Auto]")</f>
        <v>[Auto]</v>
      </c>
      <c r="M16" s="289"/>
      <c r="N16" s="402" t="s">
        <v>200</v>
      </c>
      <c r="O16" s="403" t="s">
        <v>201</v>
      </c>
      <c r="P16" s="404" t="s">
        <v>202</v>
      </c>
    </row>
    <row r="17" spans="1:16" ht="60" customHeight="1">
      <c r="A17" s="266" t="s">
        <v>11</v>
      </c>
      <c r="B17" s="267" t="s">
        <v>58</v>
      </c>
      <c r="C17" s="268" t="s">
        <v>59</v>
      </c>
      <c r="D17" s="269" t="s">
        <v>217</v>
      </c>
      <c r="E17" s="369"/>
      <c r="F17" s="375"/>
      <c r="G17" s="270">
        <v>25</v>
      </c>
      <c r="H17" s="271" t="str">
        <f>IF(ISNUMBER(F17),F17*G17/5,"[Auto]")</f>
        <v>[Auto]</v>
      </c>
      <c r="I17" s="381"/>
      <c r="J17" s="272" t="str">
        <f>IF(ISNUMBER(I17),I17*G17/5,"[Auto]")</f>
        <v>[Auto]</v>
      </c>
      <c r="K17" s="387"/>
      <c r="L17" s="273" t="str">
        <f>IF(ISNUMBER(K17),K17*G17/5,"[Auto]")</f>
        <v>[Auto]</v>
      </c>
      <c r="M17" s="274"/>
      <c r="N17" s="393" t="s">
        <v>200</v>
      </c>
      <c r="O17" s="394" t="s">
        <v>201</v>
      </c>
      <c r="P17" s="395" t="s">
        <v>202</v>
      </c>
    </row>
    <row r="18" spans="1:16" ht="60" customHeight="1">
      <c r="A18" s="241"/>
      <c r="B18" s="242" t="s">
        <v>61</v>
      </c>
      <c r="C18" s="243" t="s">
        <v>62</v>
      </c>
      <c r="D18" s="244" t="s">
        <v>63</v>
      </c>
      <c r="E18" s="370"/>
      <c r="F18" s="376"/>
      <c r="G18" s="245">
        <v>20</v>
      </c>
      <c r="H18" s="246" t="str">
        <f>IF(ISNUMBER(F18),F18*G18/5,"[Auto]")</f>
        <v>[Auto]</v>
      </c>
      <c r="I18" s="382"/>
      <c r="J18" s="247" t="str">
        <f>IF(ISNUMBER(I18),I18*G18/5,"[Auto]")</f>
        <v>[Auto]</v>
      </c>
      <c r="K18" s="388"/>
      <c r="L18" s="248" t="str">
        <f>IF(ISNUMBER(K18),K18*G18/5,"[Auto]")</f>
        <v>[Auto]</v>
      </c>
      <c r="M18" s="263"/>
      <c r="N18" s="396" t="s">
        <v>200</v>
      </c>
      <c r="O18" s="397" t="s">
        <v>201</v>
      </c>
      <c r="P18" s="398" t="s">
        <v>202</v>
      </c>
    </row>
    <row r="19" spans="1:16" ht="60" customHeight="1">
      <c r="A19" s="225"/>
      <c r="B19" s="226" t="s">
        <v>64</v>
      </c>
      <c r="C19" s="227" t="s">
        <v>218</v>
      </c>
      <c r="D19" s="228" t="s">
        <v>219</v>
      </c>
      <c r="E19" s="371"/>
      <c r="F19" s="377"/>
      <c r="G19" s="229">
        <v>20</v>
      </c>
      <c r="H19" s="230" t="str">
        <f>IF(ISNUMBER(F19),F19*G19/5,"[Auto]")</f>
        <v>[Auto]</v>
      </c>
      <c r="I19" s="383"/>
      <c r="J19" s="231" t="str">
        <f>IF(ISNUMBER(I19),I19*G19/5,"[Auto]")</f>
        <v>[Auto]</v>
      </c>
      <c r="K19" s="389"/>
      <c r="L19" s="232" t="str">
        <f>IF(ISNUMBER(K19),K19*G19/5,"[Auto]")</f>
        <v>[Auto]</v>
      </c>
      <c r="M19" s="264"/>
      <c r="N19" s="399" t="s">
        <v>200</v>
      </c>
      <c r="O19" s="400" t="s">
        <v>201</v>
      </c>
      <c r="P19" s="401" t="s">
        <v>202</v>
      </c>
    </row>
    <row r="20" spans="1:16" ht="60" customHeight="1">
      <c r="A20" s="225"/>
      <c r="B20" s="226" t="s">
        <v>65</v>
      </c>
      <c r="C20" s="227" t="s">
        <v>66</v>
      </c>
      <c r="D20" s="228" t="s">
        <v>67</v>
      </c>
      <c r="E20" s="371"/>
      <c r="F20" s="377"/>
      <c r="G20" s="229">
        <v>20</v>
      </c>
      <c r="H20" s="230" t="str">
        <f>IF(ISNUMBER(F20),F20*G20/5,"[Auto]")</f>
        <v>[Auto]</v>
      </c>
      <c r="I20" s="383"/>
      <c r="J20" s="231" t="str">
        <f>IF(ISNUMBER(I20),I20*G20/5,"[Auto]")</f>
        <v>[Auto]</v>
      </c>
      <c r="K20" s="389"/>
      <c r="L20" s="232" t="str">
        <f>IF(ISNUMBER(K20),K20*G20/5,"[Auto]")</f>
        <v>[Auto]</v>
      </c>
      <c r="M20" s="264"/>
      <c r="N20" s="399" t="s">
        <v>200</v>
      </c>
      <c r="O20" s="400" t="s">
        <v>201</v>
      </c>
      <c r="P20" s="401" t="s">
        <v>202</v>
      </c>
    </row>
    <row r="21" spans="1:16" ht="60" customHeight="1" thickBot="1">
      <c r="A21" s="281"/>
      <c r="B21" s="282" t="s">
        <v>68</v>
      </c>
      <c r="C21" s="283" t="s">
        <v>220</v>
      </c>
      <c r="D21" s="284" t="s">
        <v>221</v>
      </c>
      <c r="E21" s="372"/>
      <c r="F21" s="378"/>
      <c r="G21" s="285">
        <v>15</v>
      </c>
      <c r="H21" s="286" t="str">
        <f>IF(ISNUMBER(F21),F21*G21/5,"[Auto]")</f>
        <v>[Auto]</v>
      </c>
      <c r="I21" s="384"/>
      <c r="J21" s="287" t="str">
        <f>IF(ISNUMBER(I21),I21*G21/5,"[Auto]")</f>
        <v>[Auto]</v>
      </c>
      <c r="K21" s="390"/>
      <c r="L21" s="288" t="str">
        <f>IF(ISNUMBER(K21),K21*G21/5,"[Auto]")</f>
        <v>[Auto]</v>
      </c>
      <c r="M21" s="289"/>
      <c r="N21" s="402" t="s">
        <v>200</v>
      </c>
      <c r="O21" s="403" t="s">
        <v>201</v>
      </c>
      <c r="P21" s="404" t="s">
        <v>202</v>
      </c>
    </row>
    <row r="22" spans="1:16" ht="60" customHeight="1">
      <c r="A22" s="266" t="s">
        <v>12</v>
      </c>
      <c r="B22" s="267" t="s">
        <v>69</v>
      </c>
      <c r="C22" s="268" t="s">
        <v>70</v>
      </c>
      <c r="D22" s="269" t="s">
        <v>222</v>
      </c>
      <c r="E22" s="369"/>
      <c r="F22" s="375"/>
      <c r="G22" s="270">
        <v>20</v>
      </c>
      <c r="H22" s="271" t="str">
        <f>IF(ISNUMBER(F22),F22*G22/5,"[Auto]")</f>
        <v>[Auto]</v>
      </c>
      <c r="I22" s="381"/>
      <c r="J22" s="272" t="str">
        <f>IF(ISNUMBER(I22),I22*G22/5,"[Auto]")</f>
        <v>[Auto]</v>
      </c>
      <c r="K22" s="387"/>
      <c r="L22" s="273" t="str">
        <f>IF(ISNUMBER(K22),K22*G22/5,"[Auto]")</f>
        <v>[Auto]</v>
      </c>
      <c r="M22" s="274"/>
      <c r="N22" s="393" t="s">
        <v>200</v>
      </c>
      <c r="O22" s="394" t="s">
        <v>201</v>
      </c>
      <c r="P22" s="395" t="s">
        <v>202</v>
      </c>
    </row>
    <row r="23" spans="1:16" ht="60" customHeight="1">
      <c r="A23" s="241"/>
      <c r="B23" s="242" t="s">
        <v>72</v>
      </c>
      <c r="C23" s="243" t="s">
        <v>223</v>
      </c>
      <c r="D23" s="244" t="s">
        <v>224</v>
      </c>
      <c r="E23" s="370"/>
      <c r="F23" s="376"/>
      <c r="G23" s="245">
        <v>20</v>
      </c>
      <c r="H23" s="246" t="str">
        <f>IF(ISNUMBER(F23),F23*G23/5,"[Auto]")</f>
        <v>[Auto]</v>
      </c>
      <c r="I23" s="382"/>
      <c r="J23" s="247" t="str">
        <f>IF(ISNUMBER(I23),I23*G23/5,"[Auto]")</f>
        <v>[Auto]</v>
      </c>
      <c r="K23" s="388"/>
      <c r="L23" s="248" t="str">
        <f>IF(ISNUMBER(K23),K23*G23/5,"[Auto]")</f>
        <v>[Auto]</v>
      </c>
      <c r="M23" s="263"/>
      <c r="N23" s="396" t="s">
        <v>200</v>
      </c>
      <c r="O23" s="397" t="s">
        <v>201</v>
      </c>
      <c r="P23" s="398" t="s">
        <v>202</v>
      </c>
    </row>
    <row r="24" spans="1:16" ht="60" customHeight="1">
      <c r="A24" s="225"/>
      <c r="B24" s="226" t="s">
        <v>73</v>
      </c>
      <c r="C24" s="227" t="s">
        <v>74</v>
      </c>
      <c r="D24" s="228" t="s">
        <v>225</v>
      </c>
      <c r="E24" s="371"/>
      <c r="F24" s="377"/>
      <c r="G24" s="229">
        <v>20</v>
      </c>
      <c r="H24" s="230" t="str">
        <f>IF(ISNUMBER(F24),F24*G24/5,"[Auto]")</f>
        <v>[Auto]</v>
      </c>
      <c r="I24" s="383"/>
      <c r="J24" s="231" t="str">
        <f>IF(ISNUMBER(I24),I24*G24/5,"[Auto]")</f>
        <v>[Auto]</v>
      </c>
      <c r="K24" s="389"/>
      <c r="L24" s="232" t="str">
        <f>IF(ISNUMBER(K24),K24*G24/5,"[Auto]")</f>
        <v>[Auto]</v>
      </c>
      <c r="M24" s="264"/>
      <c r="N24" s="399" t="s">
        <v>200</v>
      </c>
      <c r="O24" s="400" t="s">
        <v>201</v>
      </c>
      <c r="P24" s="401" t="s">
        <v>202</v>
      </c>
    </row>
    <row r="25" spans="1:16" ht="60" customHeight="1" thickBot="1">
      <c r="A25" s="281"/>
      <c r="B25" s="282" t="s">
        <v>76</v>
      </c>
      <c r="C25" s="283" t="s">
        <v>77</v>
      </c>
      <c r="D25" s="284" t="s">
        <v>226</v>
      </c>
      <c r="E25" s="372"/>
      <c r="F25" s="378"/>
      <c r="G25" s="285">
        <v>20</v>
      </c>
      <c r="H25" s="286" t="str">
        <f>IF(ISNUMBER(F25),F25*G25/5,"[Auto]")</f>
        <v>[Auto]</v>
      </c>
      <c r="I25" s="384"/>
      <c r="J25" s="287" t="str">
        <f>IF(ISNUMBER(I25),I25*G25/5,"[Auto]")</f>
        <v>[Auto]</v>
      </c>
      <c r="K25" s="390"/>
      <c r="L25" s="288" t="str">
        <f>IF(ISNUMBER(K25),K25*G25/5,"[Auto]")</f>
        <v>[Auto]</v>
      </c>
      <c r="M25" s="289"/>
      <c r="N25" s="402" t="s">
        <v>200</v>
      </c>
      <c r="O25" s="403" t="s">
        <v>201</v>
      </c>
      <c r="P25" s="404" t="s">
        <v>202</v>
      </c>
    </row>
    <row r="26" spans="1:16" ht="60" customHeight="1">
      <c r="A26" s="266" t="s">
        <v>13</v>
      </c>
      <c r="B26" s="267" t="s">
        <v>79</v>
      </c>
      <c r="C26" s="268" t="s">
        <v>227</v>
      </c>
      <c r="D26" s="269" t="s">
        <v>228</v>
      </c>
      <c r="E26" s="369"/>
      <c r="F26" s="375"/>
      <c r="G26" s="270">
        <v>20</v>
      </c>
      <c r="H26" s="271" t="str">
        <f>IF(ISNUMBER(F26),F26*G26/5,"[Auto]")</f>
        <v>[Auto]</v>
      </c>
      <c r="I26" s="381"/>
      <c r="J26" s="272" t="str">
        <f>IF(ISNUMBER(I26),I26*G26/5,"[Auto]")</f>
        <v>[Auto]</v>
      </c>
      <c r="K26" s="387"/>
      <c r="L26" s="273" t="str">
        <f>IF(ISNUMBER(K26),K26*G26/5,"[Auto]")</f>
        <v>[Auto]</v>
      </c>
      <c r="M26" s="274"/>
      <c r="N26" s="393" t="s">
        <v>200</v>
      </c>
      <c r="O26" s="394" t="s">
        <v>201</v>
      </c>
      <c r="P26" s="395" t="s">
        <v>202</v>
      </c>
    </row>
    <row r="27" spans="1:16" ht="60" customHeight="1">
      <c r="A27" s="241"/>
      <c r="B27" s="242" t="s">
        <v>80</v>
      </c>
      <c r="C27" s="243" t="s">
        <v>229</v>
      </c>
      <c r="D27" s="244" t="s">
        <v>230</v>
      </c>
      <c r="E27" s="370"/>
      <c r="F27" s="376"/>
      <c r="G27" s="245">
        <v>20</v>
      </c>
      <c r="H27" s="246" t="str">
        <f>IF(ISNUMBER(F27),F27*G27/5,"[Auto]")</f>
        <v>[Auto]</v>
      </c>
      <c r="I27" s="382"/>
      <c r="J27" s="247" t="str">
        <f>IF(ISNUMBER(I27),I27*G27/5,"[Auto]")</f>
        <v>[Auto]</v>
      </c>
      <c r="K27" s="388"/>
      <c r="L27" s="248" t="str">
        <f>IF(ISNUMBER(K27),K27*G27/5,"[Auto]")</f>
        <v>[Auto]</v>
      </c>
      <c r="M27" s="263"/>
      <c r="N27" s="396" t="s">
        <v>200</v>
      </c>
      <c r="O27" s="397" t="s">
        <v>201</v>
      </c>
      <c r="P27" s="398" t="s">
        <v>202</v>
      </c>
    </row>
    <row r="28" spans="1:16" ht="60" customHeight="1">
      <c r="A28" s="225"/>
      <c r="B28" s="226" t="s">
        <v>81</v>
      </c>
      <c r="C28" s="227" t="s">
        <v>231</v>
      </c>
      <c r="D28" s="228" t="s">
        <v>232</v>
      </c>
      <c r="E28" s="371"/>
      <c r="F28" s="377"/>
      <c r="G28" s="229">
        <v>15</v>
      </c>
      <c r="H28" s="230" t="str">
        <f>IF(ISNUMBER(F28),F28*G28/5,"[Auto]")</f>
        <v>[Auto]</v>
      </c>
      <c r="I28" s="383"/>
      <c r="J28" s="231" t="str">
        <f>IF(ISNUMBER(I28),I28*G28/5,"[Auto]")</f>
        <v>[Auto]</v>
      </c>
      <c r="K28" s="389"/>
      <c r="L28" s="232" t="str">
        <f>IF(ISNUMBER(K28),K28*G28/5,"[Auto]")</f>
        <v>[Auto]</v>
      </c>
      <c r="M28" s="264"/>
      <c r="N28" s="399" t="s">
        <v>200</v>
      </c>
      <c r="O28" s="400" t="s">
        <v>201</v>
      </c>
      <c r="P28" s="401" t="s">
        <v>202</v>
      </c>
    </row>
    <row r="29" spans="1:16" ht="60" customHeight="1" thickBot="1">
      <c r="A29" s="281"/>
      <c r="B29" s="282" t="s">
        <v>82</v>
      </c>
      <c r="C29" s="283" t="s">
        <v>233</v>
      </c>
      <c r="D29" s="284" t="s">
        <v>234</v>
      </c>
      <c r="E29" s="372"/>
      <c r="F29" s="378"/>
      <c r="G29" s="285">
        <v>15</v>
      </c>
      <c r="H29" s="286" t="str">
        <f>IF(ISNUMBER(F29),F29*G29/5,"[Auto]")</f>
        <v>[Auto]</v>
      </c>
      <c r="I29" s="384"/>
      <c r="J29" s="287" t="str">
        <f>IF(ISNUMBER(I29),I29*G29/5,"[Auto]")</f>
        <v>[Auto]</v>
      </c>
      <c r="K29" s="390"/>
      <c r="L29" s="288" t="str">
        <f>IF(ISNUMBER(K29),K29*G29/5,"[Auto]")</f>
        <v>[Auto]</v>
      </c>
      <c r="M29" s="289"/>
      <c r="N29" s="402" t="s">
        <v>200</v>
      </c>
      <c r="O29" s="403" t="s">
        <v>201</v>
      </c>
      <c r="P29" s="404" t="s">
        <v>202</v>
      </c>
    </row>
    <row r="30" spans="1:16" ht="60" customHeight="1">
      <c r="A30" s="266" t="s">
        <v>14</v>
      </c>
      <c r="B30" s="267" t="s">
        <v>83</v>
      </c>
      <c r="C30" s="268" t="s">
        <v>235</v>
      </c>
      <c r="D30" s="269" t="s">
        <v>236</v>
      </c>
      <c r="E30" s="369"/>
      <c r="F30" s="375"/>
      <c r="G30" s="270">
        <v>15</v>
      </c>
      <c r="H30" s="271" t="str">
        <f>IF(ISNUMBER(F30),F30*G30/5,"[Auto]")</f>
        <v>[Auto]</v>
      </c>
      <c r="I30" s="381"/>
      <c r="J30" s="272" t="str">
        <f>IF(ISNUMBER(I30),I30*G30/5,"[Auto]")</f>
        <v>[Auto]</v>
      </c>
      <c r="K30" s="387"/>
      <c r="L30" s="273" t="str">
        <f>IF(ISNUMBER(K30),K30*G30/5,"[Auto]")</f>
        <v>[Auto]</v>
      </c>
      <c r="M30" s="274"/>
      <c r="N30" s="393" t="s">
        <v>200</v>
      </c>
      <c r="O30" s="394" t="s">
        <v>201</v>
      </c>
      <c r="P30" s="395" t="s">
        <v>202</v>
      </c>
    </row>
    <row r="31" spans="1:16" ht="60" customHeight="1">
      <c r="A31" s="241"/>
      <c r="B31" s="242" t="s">
        <v>84</v>
      </c>
      <c r="C31" s="243" t="s">
        <v>85</v>
      </c>
      <c r="D31" s="244" t="s">
        <v>86</v>
      </c>
      <c r="E31" s="370"/>
      <c r="F31" s="376"/>
      <c r="G31" s="245">
        <v>20</v>
      </c>
      <c r="H31" s="246" t="str">
        <f>IF(ISNUMBER(F31),F31*G31/5,"[Auto]")</f>
        <v>[Auto]</v>
      </c>
      <c r="I31" s="382"/>
      <c r="J31" s="247" t="str">
        <f>IF(ISNUMBER(I31),I31*G31/5,"[Auto]")</f>
        <v>[Auto]</v>
      </c>
      <c r="K31" s="388"/>
      <c r="L31" s="248" t="str">
        <f>IF(ISNUMBER(K31),K31*G31/5,"[Auto]")</f>
        <v>[Auto]</v>
      </c>
      <c r="M31" s="263"/>
      <c r="N31" s="396" t="s">
        <v>200</v>
      </c>
      <c r="O31" s="397" t="s">
        <v>201</v>
      </c>
      <c r="P31" s="398" t="s">
        <v>202</v>
      </c>
    </row>
    <row r="32" spans="1:16" ht="60" customHeight="1" thickBot="1">
      <c r="A32" s="281"/>
      <c r="B32" s="282" t="s">
        <v>87</v>
      </c>
      <c r="C32" s="283" t="s">
        <v>88</v>
      </c>
      <c r="D32" s="284" t="s">
        <v>237</v>
      </c>
      <c r="E32" s="372"/>
      <c r="F32" s="378"/>
      <c r="G32" s="285">
        <v>20</v>
      </c>
      <c r="H32" s="286" t="str">
        <f>IF(ISNUMBER(F32),F32*G32/5,"[Auto]")</f>
        <v>[Auto]</v>
      </c>
      <c r="I32" s="384"/>
      <c r="J32" s="287" t="str">
        <f>IF(ISNUMBER(I32),I32*G32/5,"[Auto]")</f>
        <v>[Auto]</v>
      </c>
      <c r="K32" s="390"/>
      <c r="L32" s="288" t="str">
        <f>IF(ISNUMBER(K32),K32*G32/5,"[Auto]")</f>
        <v>[Auto]</v>
      </c>
      <c r="M32" s="289"/>
      <c r="N32" s="402" t="s">
        <v>200</v>
      </c>
      <c r="O32" s="403" t="s">
        <v>201</v>
      </c>
      <c r="P32" s="404" t="s">
        <v>202</v>
      </c>
    </row>
    <row r="33" spans="1:16" ht="60" customHeight="1">
      <c r="A33" s="266" t="s">
        <v>15</v>
      </c>
      <c r="B33" s="267" t="s">
        <v>90</v>
      </c>
      <c r="C33" s="268" t="s">
        <v>238</v>
      </c>
      <c r="D33" s="269" t="s">
        <v>239</v>
      </c>
      <c r="E33" s="369"/>
      <c r="F33" s="375"/>
      <c r="G33" s="270">
        <v>20</v>
      </c>
      <c r="H33" s="271" t="str">
        <f>IF(ISNUMBER(F33),F33*G33/5,"[Auto]")</f>
        <v>[Auto]</v>
      </c>
      <c r="I33" s="381"/>
      <c r="J33" s="272" t="str">
        <f>IF(ISNUMBER(I33),I33*G33/5,"[Auto]")</f>
        <v>[Auto]</v>
      </c>
      <c r="K33" s="387"/>
      <c r="L33" s="273" t="str">
        <f>IF(ISNUMBER(K33),K33*G33/5,"[Auto]")</f>
        <v>[Auto]</v>
      </c>
      <c r="M33" s="274"/>
      <c r="N33" s="393" t="s">
        <v>200</v>
      </c>
      <c r="O33" s="394" t="s">
        <v>201</v>
      </c>
      <c r="P33" s="395" t="s">
        <v>202</v>
      </c>
    </row>
    <row r="34" spans="1:16" ht="60" customHeight="1">
      <c r="A34" s="241"/>
      <c r="B34" s="242" t="s">
        <v>93</v>
      </c>
      <c r="C34" s="243" t="s">
        <v>240</v>
      </c>
      <c r="D34" s="244" t="s">
        <v>241</v>
      </c>
      <c r="E34" s="370"/>
      <c r="F34" s="376"/>
      <c r="G34" s="245">
        <v>20</v>
      </c>
      <c r="H34" s="246" t="str">
        <f>IF(ISNUMBER(F34),F34*G34/5,"[Auto]")</f>
        <v>[Auto]</v>
      </c>
      <c r="I34" s="382"/>
      <c r="J34" s="247" t="str">
        <f>IF(ISNUMBER(I34),I34*G34/5,"[Auto]")</f>
        <v>[Auto]</v>
      </c>
      <c r="K34" s="388"/>
      <c r="L34" s="248" t="str">
        <f>IF(ISNUMBER(K34),K34*G34/5,"[Auto]")</f>
        <v>[Auto]</v>
      </c>
      <c r="M34" s="263"/>
      <c r="N34" s="396" t="s">
        <v>200</v>
      </c>
      <c r="O34" s="397" t="s">
        <v>201</v>
      </c>
      <c r="P34" s="398" t="s">
        <v>202</v>
      </c>
    </row>
    <row r="35" spans="1:16" ht="60" customHeight="1">
      <c r="A35" s="225"/>
      <c r="B35" s="226" t="s">
        <v>96</v>
      </c>
      <c r="C35" s="227" t="s">
        <v>242</v>
      </c>
      <c r="D35" s="228" t="s">
        <v>243</v>
      </c>
      <c r="E35" s="371"/>
      <c r="F35" s="377"/>
      <c r="G35" s="229">
        <v>20</v>
      </c>
      <c r="H35" s="230" t="str">
        <f>IF(ISNUMBER(F35),F35*G35/5,"[Auto]")</f>
        <v>[Auto]</v>
      </c>
      <c r="I35" s="383"/>
      <c r="J35" s="231" t="str">
        <f>IF(ISNUMBER(I35),I35*G35/5,"[Auto]")</f>
        <v>[Auto]</v>
      </c>
      <c r="K35" s="389"/>
      <c r="L35" s="232" t="str">
        <f>IF(ISNUMBER(K35),K35*G35/5,"[Auto]")</f>
        <v>[Auto]</v>
      </c>
      <c r="M35" s="264"/>
      <c r="N35" s="399" t="s">
        <v>200</v>
      </c>
      <c r="O35" s="400" t="s">
        <v>201</v>
      </c>
      <c r="P35" s="401" t="s">
        <v>202</v>
      </c>
    </row>
    <row r="36" spans="1:16" ht="60" customHeight="1">
      <c r="A36" s="225"/>
      <c r="B36" s="226" t="s">
        <v>99</v>
      </c>
      <c r="C36" s="227" t="s">
        <v>244</v>
      </c>
      <c r="D36" s="228" t="s">
        <v>245</v>
      </c>
      <c r="E36" s="371"/>
      <c r="F36" s="377"/>
      <c r="G36" s="229">
        <v>15</v>
      </c>
      <c r="H36" s="230" t="str">
        <f>IF(ISNUMBER(F36),F36*G36/5,"[Auto]")</f>
        <v>[Auto]</v>
      </c>
      <c r="I36" s="383"/>
      <c r="J36" s="231" t="str">
        <f>IF(ISNUMBER(I36),I36*G36/5,"[Auto]")</f>
        <v>[Auto]</v>
      </c>
      <c r="K36" s="389"/>
      <c r="L36" s="232" t="str">
        <f>IF(ISNUMBER(K36),K36*G36/5,"[Auto]")</f>
        <v>[Auto]</v>
      </c>
      <c r="M36" s="264"/>
      <c r="N36" s="399" t="s">
        <v>200</v>
      </c>
      <c r="O36" s="400" t="s">
        <v>201</v>
      </c>
      <c r="P36" s="401" t="s">
        <v>202</v>
      </c>
    </row>
    <row r="37" spans="1:16" ht="60" customHeight="1">
      <c r="A37" s="225"/>
      <c r="B37" s="226" t="s">
        <v>102</v>
      </c>
      <c r="C37" s="227" t="s">
        <v>246</v>
      </c>
      <c r="D37" s="228" t="s">
        <v>247</v>
      </c>
      <c r="E37" s="371"/>
      <c r="F37" s="377"/>
      <c r="G37" s="229">
        <v>15</v>
      </c>
      <c r="H37" s="230" t="str">
        <f>IF(ISNUMBER(F37),F37*G37/5,"[Auto]")</f>
        <v>[Auto]</v>
      </c>
      <c r="I37" s="383"/>
      <c r="J37" s="231" t="str">
        <f>IF(ISNUMBER(I37),I37*G37/5,"[Auto]")</f>
        <v>[Auto]</v>
      </c>
      <c r="K37" s="389"/>
      <c r="L37" s="232" t="str">
        <f>IF(ISNUMBER(K37),K37*G37/5,"[Auto]")</f>
        <v>[Auto]</v>
      </c>
      <c r="M37" s="264"/>
      <c r="N37" s="399" t="s">
        <v>200</v>
      </c>
      <c r="O37" s="400" t="s">
        <v>201</v>
      </c>
      <c r="P37" s="401" t="s">
        <v>202</v>
      </c>
    </row>
    <row r="38" spans="1:16" ht="60" customHeight="1" thickBot="1">
      <c r="A38" s="281"/>
      <c r="B38" s="282" t="s">
        <v>105</v>
      </c>
      <c r="C38" s="283" t="s">
        <v>248</v>
      </c>
      <c r="D38" s="284" t="s">
        <v>249</v>
      </c>
      <c r="E38" s="372"/>
      <c r="F38" s="378"/>
      <c r="G38" s="285">
        <v>20</v>
      </c>
      <c r="H38" s="286" t="str">
        <f>IF(ISNUMBER(F38),F38*G38/5,"[Auto]")</f>
        <v>[Auto]</v>
      </c>
      <c r="I38" s="384"/>
      <c r="J38" s="287" t="str">
        <f>IF(ISNUMBER(I38),I38*G38/5,"[Auto]")</f>
        <v>[Auto]</v>
      </c>
      <c r="K38" s="390"/>
      <c r="L38" s="288" t="str">
        <f>IF(ISNUMBER(K38),K38*G38/5,"[Auto]")</f>
        <v>[Auto]</v>
      </c>
      <c r="M38" s="289"/>
      <c r="N38" s="402" t="s">
        <v>200</v>
      </c>
      <c r="O38" s="403" t="s">
        <v>201</v>
      </c>
      <c r="P38" s="404" t="s">
        <v>202</v>
      </c>
    </row>
    <row r="39" spans="1:16" ht="60" customHeight="1">
      <c r="A39" s="266" t="s">
        <v>16</v>
      </c>
      <c r="B39" s="267" t="s">
        <v>108</v>
      </c>
      <c r="C39" s="268" t="s">
        <v>250</v>
      </c>
      <c r="D39" s="269" t="s">
        <v>251</v>
      </c>
      <c r="E39" s="369"/>
      <c r="F39" s="375"/>
      <c r="G39" s="270">
        <v>25</v>
      </c>
      <c r="H39" s="271" t="str">
        <f>IF(ISNUMBER(F39),F39*G39/5,"[Auto]")</f>
        <v>[Auto]</v>
      </c>
      <c r="I39" s="381"/>
      <c r="J39" s="272" t="str">
        <f>IF(ISNUMBER(I39),I39*G39/5,"[Auto]")</f>
        <v>[Auto]</v>
      </c>
      <c r="K39" s="387"/>
      <c r="L39" s="273" t="str">
        <f>IF(ISNUMBER(K39),K39*G39/5,"[Auto]")</f>
        <v>[Auto]</v>
      </c>
      <c r="M39" s="274"/>
      <c r="N39" s="393" t="s">
        <v>200</v>
      </c>
      <c r="O39" s="394" t="s">
        <v>201</v>
      </c>
      <c r="P39" s="395" t="s">
        <v>202</v>
      </c>
    </row>
    <row r="40" spans="1:16" ht="60" customHeight="1">
      <c r="A40" s="241"/>
      <c r="B40" s="242" t="s">
        <v>111</v>
      </c>
      <c r="C40" s="243" t="s">
        <v>112</v>
      </c>
      <c r="D40" s="244" t="s">
        <v>252</v>
      </c>
      <c r="E40" s="370"/>
      <c r="F40" s="376"/>
      <c r="G40" s="245">
        <v>20</v>
      </c>
      <c r="H40" s="246" t="str">
        <f>IF(ISNUMBER(F40),F40*G40/5,"[Auto]")</f>
        <v>[Auto]</v>
      </c>
      <c r="I40" s="382"/>
      <c r="J40" s="247" t="str">
        <f>IF(ISNUMBER(I40),I40*G40/5,"[Auto]")</f>
        <v>[Auto]</v>
      </c>
      <c r="K40" s="388"/>
      <c r="L40" s="248" t="str">
        <f>IF(ISNUMBER(K40),K40*G40/5,"[Auto]")</f>
        <v>[Auto]</v>
      </c>
      <c r="M40" s="263"/>
      <c r="N40" s="396" t="s">
        <v>200</v>
      </c>
      <c r="O40" s="397" t="s">
        <v>201</v>
      </c>
      <c r="P40" s="398" t="s">
        <v>202</v>
      </c>
    </row>
    <row r="41" spans="1:16" ht="60" customHeight="1" thickBot="1">
      <c r="A41" s="281"/>
      <c r="B41" s="282" t="s">
        <v>113</v>
      </c>
      <c r="C41" s="283" t="s">
        <v>253</v>
      </c>
      <c r="D41" s="284" t="s">
        <v>254</v>
      </c>
      <c r="E41" s="372"/>
      <c r="F41" s="378"/>
      <c r="G41" s="285">
        <v>20</v>
      </c>
      <c r="H41" s="286" t="str">
        <f>IF(ISNUMBER(F41),F41*G41/5,"[Auto]")</f>
        <v>[Auto]</v>
      </c>
      <c r="I41" s="384"/>
      <c r="J41" s="287" t="str">
        <f>IF(ISNUMBER(I41),I41*G41/5,"[Auto]")</f>
        <v>[Auto]</v>
      </c>
      <c r="K41" s="390"/>
      <c r="L41" s="288" t="str">
        <f>IF(ISNUMBER(K41),K41*G41/5,"[Auto]")</f>
        <v>[Auto]</v>
      </c>
      <c r="M41" s="289"/>
      <c r="N41" s="402" t="s">
        <v>200</v>
      </c>
      <c r="O41" s="403" t="s">
        <v>201</v>
      </c>
      <c r="P41" s="404" t="s">
        <v>202</v>
      </c>
    </row>
    <row r="42" spans="1:16" ht="60" customHeight="1">
      <c r="A42" s="266" t="s">
        <v>114</v>
      </c>
      <c r="B42" s="267" t="s">
        <v>255</v>
      </c>
      <c r="C42" s="268" t="s">
        <v>256</v>
      </c>
      <c r="D42" s="269" t="s">
        <v>257</v>
      </c>
      <c r="E42" s="369"/>
      <c r="F42" s="375"/>
      <c r="G42" s="270">
        <v>15</v>
      </c>
      <c r="H42" s="271" t="str">
        <f>IF(ISNUMBER(F42),F42*G42/5,"[Auto]")</f>
        <v>[Auto]</v>
      </c>
      <c r="I42" s="381"/>
      <c r="J42" s="272" t="str">
        <f>IF(ISNUMBER(I42),I42*G42/5,"[Auto]")</f>
        <v>[Auto]</v>
      </c>
      <c r="K42" s="387"/>
      <c r="L42" s="273" t="str">
        <f>IF(ISNUMBER(K42),K42*G42/5,"[Auto]")</f>
        <v>[Auto]</v>
      </c>
      <c r="M42" s="274"/>
      <c r="N42" s="393" t="s">
        <v>200</v>
      </c>
      <c r="O42" s="394" t="s">
        <v>201</v>
      </c>
      <c r="P42" s="395" t="s">
        <v>202</v>
      </c>
    </row>
    <row r="43" spans="1:16" ht="60" customHeight="1">
      <c r="A43" s="241"/>
      <c r="B43" s="242" t="s">
        <v>258</v>
      </c>
      <c r="C43" s="243" t="s">
        <v>259</v>
      </c>
      <c r="D43" s="244" t="s">
        <v>260</v>
      </c>
      <c r="E43" s="370"/>
      <c r="F43" s="376"/>
      <c r="G43" s="245">
        <v>15</v>
      </c>
      <c r="H43" s="246" t="str">
        <f>IF(ISNUMBER(F43),F43*G43/5,"[Auto]")</f>
        <v>[Auto]</v>
      </c>
      <c r="I43" s="382"/>
      <c r="J43" s="247" t="str">
        <f>IF(ISNUMBER(I43),I43*G43/5,"[Auto]")</f>
        <v>[Auto]</v>
      </c>
      <c r="K43" s="388"/>
      <c r="L43" s="248" t="str">
        <f>IF(ISNUMBER(K43),K43*G43/5,"[Auto]")</f>
        <v>[Auto]</v>
      </c>
      <c r="M43" s="263"/>
      <c r="N43" s="396" t="s">
        <v>200</v>
      </c>
      <c r="O43" s="397" t="s">
        <v>201</v>
      </c>
      <c r="P43" s="398" t="s">
        <v>202</v>
      </c>
    </row>
    <row r="44" spans="1:16" ht="60" customHeight="1">
      <c r="A44" s="225"/>
      <c r="B44" s="226" t="s">
        <v>261</v>
      </c>
      <c r="C44" s="227" t="s">
        <v>262</v>
      </c>
      <c r="D44" s="228" t="s">
        <v>263</v>
      </c>
      <c r="E44" s="371"/>
      <c r="F44" s="377"/>
      <c r="G44" s="229">
        <v>20</v>
      </c>
      <c r="H44" s="230" t="str">
        <f>IF(ISNUMBER(F44),F44*G44/5,"[Auto]")</f>
        <v>[Auto]</v>
      </c>
      <c r="I44" s="383"/>
      <c r="J44" s="231" t="str">
        <f>IF(ISNUMBER(I44),I44*G44/5,"[Auto]")</f>
        <v>[Auto]</v>
      </c>
      <c r="K44" s="389"/>
      <c r="L44" s="232" t="str">
        <f>IF(ISNUMBER(K44),K44*G44/5,"[Auto]")</f>
        <v>[Auto]</v>
      </c>
      <c r="M44" s="264"/>
      <c r="N44" s="399" t="s">
        <v>200</v>
      </c>
      <c r="O44" s="400" t="s">
        <v>201</v>
      </c>
      <c r="P44" s="401" t="s">
        <v>202</v>
      </c>
    </row>
    <row r="45" spans="1:16" ht="60" customHeight="1">
      <c r="A45" s="225"/>
      <c r="B45" s="226" t="s">
        <v>264</v>
      </c>
      <c r="C45" s="227" t="s">
        <v>265</v>
      </c>
      <c r="D45" s="228" t="s">
        <v>266</v>
      </c>
      <c r="E45" s="371"/>
      <c r="F45" s="377"/>
      <c r="G45" s="229">
        <v>15</v>
      </c>
      <c r="H45" s="230" t="str">
        <f>IF(ISNUMBER(F45),F45*G45/5,"[Auto]")</f>
        <v>[Auto]</v>
      </c>
      <c r="I45" s="383"/>
      <c r="J45" s="231" t="str">
        <f>IF(ISNUMBER(I45),I45*G45/5,"[Auto]")</f>
        <v>[Auto]</v>
      </c>
      <c r="K45" s="389"/>
      <c r="L45" s="232" t="str">
        <f>IF(ISNUMBER(K45),K45*G45/5,"[Auto]")</f>
        <v>[Auto]</v>
      </c>
      <c r="M45" s="264"/>
      <c r="N45" s="399" t="s">
        <v>200</v>
      </c>
      <c r="O45" s="400" t="s">
        <v>201</v>
      </c>
      <c r="P45" s="401" t="s">
        <v>202</v>
      </c>
    </row>
    <row r="46" spans="1:16" ht="60" customHeight="1">
      <c r="A46" s="225"/>
      <c r="B46" s="226" t="s">
        <v>267</v>
      </c>
      <c r="C46" s="227" t="s">
        <v>268</v>
      </c>
      <c r="D46" s="228" t="s">
        <v>269</v>
      </c>
      <c r="E46" s="371"/>
      <c r="F46" s="377"/>
      <c r="G46" s="229">
        <v>10</v>
      </c>
      <c r="H46" s="230" t="str">
        <f>IF(ISNUMBER(F46),F46*G46/5,"[Auto]")</f>
        <v>[Auto]</v>
      </c>
      <c r="I46" s="383"/>
      <c r="J46" s="231" t="str">
        <f>IF(ISNUMBER(I46),I46*G46/5,"[Auto]")</f>
        <v>[Auto]</v>
      </c>
      <c r="K46" s="389"/>
      <c r="L46" s="232" t="str">
        <f>IF(ISNUMBER(K46),K46*G46/5,"[Auto]")</f>
        <v>[Auto]</v>
      </c>
      <c r="M46" s="264"/>
      <c r="N46" s="399" t="s">
        <v>200</v>
      </c>
      <c r="O46" s="400" t="s">
        <v>201</v>
      </c>
      <c r="P46" s="401" t="s">
        <v>202</v>
      </c>
    </row>
    <row r="47" spans="1:16" ht="60" customHeight="1">
      <c r="A47" s="225"/>
      <c r="B47" s="226" t="s">
        <v>270</v>
      </c>
      <c r="C47" s="227" t="s">
        <v>271</v>
      </c>
      <c r="D47" s="228" t="s">
        <v>272</v>
      </c>
      <c r="E47" s="371"/>
      <c r="F47" s="377"/>
      <c r="G47" s="229">
        <v>15</v>
      </c>
      <c r="H47" s="230" t="str">
        <f>IF(ISNUMBER(F47),F47*G47/5,"[Auto]")</f>
        <v>[Auto]</v>
      </c>
      <c r="I47" s="383"/>
      <c r="J47" s="231" t="str">
        <f>IF(ISNUMBER(I47),I47*G47/5,"[Auto]")</f>
        <v>[Auto]</v>
      </c>
      <c r="K47" s="389"/>
      <c r="L47" s="232" t="str">
        <f>IF(ISNUMBER(K47),K47*G47/5,"[Auto]")</f>
        <v>[Auto]</v>
      </c>
      <c r="M47" s="264"/>
      <c r="N47" s="399" t="s">
        <v>200</v>
      </c>
      <c r="O47" s="400" t="s">
        <v>201</v>
      </c>
      <c r="P47" s="401" t="s">
        <v>202</v>
      </c>
    </row>
    <row r="48" spans="1:16" ht="60" customHeight="1">
      <c r="A48" s="225"/>
      <c r="B48" s="226" t="s">
        <v>273</v>
      </c>
      <c r="C48" s="227" t="s">
        <v>274</v>
      </c>
      <c r="D48" s="228" t="s">
        <v>275</v>
      </c>
      <c r="E48" s="371"/>
      <c r="F48" s="377"/>
      <c r="G48" s="229">
        <v>15</v>
      </c>
      <c r="H48" s="230" t="str">
        <f>IF(ISNUMBER(F48),F48*G48/5,"[Auto]")</f>
        <v>[Auto]</v>
      </c>
      <c r="I48" s="383"/>
      <c r="J48" s="231" t="str">
        <f>IF(ISNUMBER(I48),I48*G48/5,"[Auto]")</f>
        <v>[Auto]</v>
      </c>
      <c r="K48" s="389"/>
      <c r="L48" s="232" t="str">
        <f>IF(ISNUMBER(K48),K48*G48/5,"[Auto]")</f>
        <v>[Auto]</v>
      </c>
      <c r="M48" s="264"/>
      <c r="N48" s="399" t="s">
        <v>200</v>
      </c>
      <c r="O48" s="400" t="s">
        <v>201</v>
      </c>
      <c r="P48" s="401" t="s">
        <v>202</v>
      </c>
    </row>
    <row r="49" spans="1:16" ht="60" customHeight="1">
      <c r="A49" s="225"/>
      <c r="B49" s="226" t="s">
        <v>276</v>
      </c>
      <c r="C49" s="227" t="s">
        <v>277</v>
      </c>
      <c r="D49" s="228" t="s">
        <v>278</v>
      </c>
      <c r="E49" s="371"/>
      <c r="F49" s="377"/>
      <c r="G49" s="229">
        <v>20</v>
      </c>
      <c r="H49" s="230" t="str">
        <f>IF(ISNUMBER(F49),F49*G49/5,"[Auto]")</f>
        <v>[Auto]</v>
      </c>
      <c r="I49" s="383"/>
      <c r="J49" s="231" t="str">
        <f>IF(ISNUMBER(I49),I49*G49/5,"[Auto]")</f>
        <v>[Auto]</v>
      </c>
      <c r="K49" s="389"/>
      <c r="L49" s="232" t="str">
        <f>IF(ISNUMBER(K49),K49*G49/5,"[Auto]")</f>
        <v>[Auto]</v>
      </c>
      <c r="M49" s="264"/>
      <c r="N49" s="399" t="s">
        <v>200</v>
      </c>
      <c r="O49" s="400" t="s">
        <v>201</v>
      </c>
      <c r="P49" s="401" t="s">
        <v>202</v>
      </c>
    </row>
    <row r="50" spans="1:16" ht="60" customHeight="1" thickBot="1">
      <c r="A50" s="281"/>
      <c r="B50" s="282" t="s">
        <v>279</v>
      </c>
      <c r="C50" s="283" t="s">
        <v>280</v>
      </c>
      <c r="D50" s="284" t="s">
        <v>281</v>
      </c>
      <c r="E50" s="372"/>
      <c r="F50" s="378"/>
      <c r="G50" s="285">
        <v>15</v>
      </c>
      <c r="H50" s="286" t="str">
        <f>IF(ISNUMBER(F50),F50*G50/5,"[Auto]")</f>
        <v>[Auto]</v>
      </c>
      <c r="I50" s="384"/>
      <c r="J50" s="287" t="str">
        <f>IF(ISNUMBER(I50),I50*G50/5,"[Auto]")</f>
        <v>[Auto]</v>
      </c>
      <c r="K50" s="390"/>
      <c r="L50" s="288" t="str">
        <f>IF(ISNUMBER(K50),K50*G50/5,"[Auto]")</f>
        <v>[Auto]</v>
      </c>
      <c r="M50" s="289"/>
      <c r="N50" s="402" t="s">
        <v>200</v>
      </c>
      <c r="O50" s="403" t="s">
        <v>201</v>
      </c>
      <c r="P50" s="404" t="s">
        <v>202</v>
      </c>
    </row>
    <row r="51" spans="1:16" ht="60" customHeight="1">
      <c r="A51" s="266" t="s">
        <v>17</v>
      </c>
      <c r="B51" s="267" t="s">
        <v>129</v>
      </c>
      <c r="C51" s="268" t="s">
        <v>282</v>
      </c>
      <c r="D51" s="269" t="s">
        <v>283</v>
      </c>
      <c r="E51" s="369"/>
      <c r="F51" s="375"/>
      <c r="G51" s="270">
        <v>20</v>
      </c>
      <c r="H51" s="271" t="str">
        <f>IF(ISNUMBER(F51),F51*G51/5,"[Auto]")</f>
        <v>[Auto]</v>
      </c>
      <c r="I51" s="381"/>
      <c r="J51" s="272" t="str">
        <f>IF(ISNUMBER(I51),I51*G51/5,"[Auto]")</f>
        <v>[Auto]</v>
      </c>
      <c r="K51" s="387"/>
      <c r="L51" s="273" t="str">
        <f>IF(ISNUMBER(K51),K51*G51/5,"[Auto]")</f>
        <v>[Auto]</v>
      </c>
      <c r="M51" s="274"/>
      <c r="N51" s="393" t="s">
        <v>200</v>
      </c>
      <c r="O51" s="394" t="s">
        <v>201</v>
      </c>
      <c r="P51" s="395" t="s">
        <v>202</v>
      </c>
    </row>
    <row r="52" spans="1:16" ht="60" customHeight="1" thickBot="1">
      <c r="A52" s="290"/>
      <c r="B52" s="291" t="s">
        <v>130</v>
      </c>
      <c r="C52" s="292" t="s">
        <v>284</v>
      </c>
      <c r="D52" s="293" t="s">
        <v>285</v>
      </c>
      <c r="E52" s="373"/>
      <c r="F52" s="379"/>
      <c r="G52" s="294">
        <v>15</v>
      </c>
      <c r="H52" s="295" t="str">
        <f>IF(ISNUMBER(F52),F52*G52/5,"[Auto]")</f>
        <v>[Auto]</v>
      </c>
      <c r="I52" s="385"/>
      <c r="J52" s="296" t="str">
        <f>IF(ISNUMBER(I52),I52*G52/5,"[Auto]")</f>
        <v>[Auto]</v>
      </c>
      <c r="K52" s="391"/>
      <c r="L52" s="297" t="str">
        <f>IF(ISNUMBER(K52),K52*G52/5,"[Auto]")</f>
        <v>[Auto]</v>
      </c>
      <c r="M52" s="298"/>
      <c r="N52" s="405" t="s">
        <v>200</v>
      </c>
      <c r="O52" s="406" t="s">
        <v>201</v>
      </c>
      <c r="P52" s="407" t="s">
        <v>202</v>
      </c>
    </row>
    <row r="53" spans="1:16" ht="60" customHeight="1">
      <c r="A53" s="266" t="s">
        <v>18</v>
      </c>
      <c r="B53" s="267" t="s">
        <v>131</v>
      </c>
      <c r="C53" s="268" t="s">
        <v>286</v>
      </c>
      <c r="D53" s="269" t="s">
        <v>287</v>
      </c>
      <c r="E53" s="369"/>
      <c r="F53" s="375"/>
      <c r="G53" s="270">
        <v>25</v>
      </c>
      <c r="H53" s="271" t="str">
        <f>IF(ISNUMBER(F53),F53*G53/5,"[Auto]")</f>
        <v>[Auto]</v>
      </c>
      <c r="I53" s="381"/>
      <c r="J53" s="272" t="str">
        <f>IF(ISNUMBER(I53),I53*G53/5,"[Auto]")</f>
        <v>[Auto]</v>
      </c>
      <c r="K53" s="387"/>
      <c r="L53" s="273" t="str">
        <f>IF(ISNUMBER(K53),K53*G53/5,"[Auto]")</f>
        <v>[Auto]</v>
      </c>
      <c r="M53" s="274"/>
      <c r="N53" s="393" t="s">
        <v>200</v>
      </c>
      <c r="O53" s="394" t="s">
        <v>201</v>
      </c>
      <c r="P53" s="395" t="s">
        <v>202</v>
      </c>
    </row>
    <row r="54" spans="1:16" ht="60" customHeight="1">
      <c r="A54" s="241"/>
      <c r="B54" s="242" t="s">
        <v>134</v>
      </c>
      <c r="C54" s="243" t="s">
        <v>288</v>
      </c>
      <c r="D54" s="244" t="s">
        <v>289</v>
      </c>
      <c r="E54" s="370"/>
      <c r="F54" s="376"/>
      <c r="G54" s="245">
        <v>20</v>
      </c>
      <c r="H54" s="246" t="str">
        <f>IF(ISNUMBER(F54),F54*G54/5,"[Auto]")</f>
        <v>[Auto]</v>
      </c>
      <c r="I54" s="382"/>
      <c r="J54" s="247" t="str">
        <f>IF(ISNUMBER(I54),I54*G54/5,"[Auto]")</f>
        <v>[Auto]</v>
      </c>
      <c r="K54" s="388"/>
      <c r="L54" s="248" t="str">
        <f>IF(ISNUMBER(K54),K54*G54/5,"[Auto]")</f>
        <v>[Auto]</v>
      </c>
      <c r="M54" s="263"/>
      <c r="N54" s="396" t="s">
        <v>200</v>
      </c>
      <c r="O54" s="397" t="s">
        <v>201</v>
      </c>
      <c r="P54" s="398" t="s">
        <v>202</v>
      </c>
    </row>
    <row r="55" spans="1:16" ht="60" customHeight="1">
      <c r="A55" s="225"/>
      <c r="B55" s="226" t="s">
        <v>137</v>
      </c>
      <c r="C55" s="227" t="s">
        <v>290</v>
      </c>
      <c r="D55" s="228" t="s">
        <v>291</v>
      </c>
      <c r="E55" s="371"/>
      <c r="F55" s="377"/>
      <c r="G55" s="229">
        <v>15</v>
      </c>
      <c r="H55" s="230" t="str">
        <f>IF(ISNUMBER(F55),F55*G55/5,"[Auto]")</f>
        <v>[Auto]</v>
      </c>
      <c r="I55" s="383"/>
      <c r="J55" s="231" t="str">
        <f>IF(ISNUMBER(I55),I55*G55/5,"[Auto]")</f>
        <v>[Auto]</v>
      </c>
      <c r="K55" s="389"/>
      <c r="L55" s="232" t="str">
        <f>IF(ISNUMBER(K55),K55*G55/5,"[Auto]")</f>
        <v>[Auto]</v>
      </c>
      <c r="M55" s="264"/>
      <c r="N55" s="399" t="s">
        <v>200</v>
      </c>
      <c r="O55" s="400" t="s">
        <v>201</v>
      </c>
      <c r="P55" s="401" t="s">
        <v>202</v>
      </c>
    </row>
    <row r="56" spans="1:16" ht="60" customHeight="1" thickBot="1">
      <c r="A56" s="281"/>
      <c r="B56" s="282" t="s">
        <v>292</v>
      </c>
      <c r="C56" s="283" t="s">
        <v>293</v>
      </c>
      <c r="D56" s="284" t="s">
        <v>294</v>
      </c>
      <c r="E56" s="372"/>
      <c r="F56" s="378"/>
      <c r="G56" s="285">
        <v>15</v>
      </c>
      <c r="H56" s="286" t="str">
        <f>IF(ISNUMBER(F56),F56*G56/5,"[Auto]")</f>
        <v>[Auto]</v>
      </c>
      <c r="I56" s="384"/>
      <c r="J56" s="287" t="str">
        <f>IF(ISNUMBER(I56),I56*G56/5,"[Auto]")</f>
        <v>[Auto]</v>
      </c>
      <c r="K56" s="390"/>
      <c r="L56" s="288" t="str">
        <f>IF(ISNUMBER(K56),K56*G56/5,"[Auto]")</f>
        <v>[Auto]</v>
      </c>
      <c r="M56" s="289"/>
      <c r="N56" s="402" t="s">
        <v>200</v>
      </c>
      <c r="O56" s="403" t="s">
        <v>201</v>
      </c>
      <c r="P56" s="404" t="s">
        <v>202</v>
      </c>
    </row>
    <row r="57" spans="1:16" ht="60" customHeight="1">
      <c r="A57" s="266" t="s">
        <v>19</v>
      </c>
      <c r="B57" s="267" t="s">
        <v>138</v>
      </c>
      <c r="C57" s="268" t="s">
        <v>295</v>
      </c>
      <c r="D57" s="269" t="s">
        <v>296</v>
      </c>
      <c r="E57" s="369"/>
      <c r="F57" s="375"/>
      <c r="G57" s="270">
        <v>20</v>
      </c>
      <c r="H57" s="271" t="str">
        <f>IF(ISNUMBER(F57),F57*G57/5,"[Auto]")</f>
        <v>[Auto]</v>
      </c>
      <c r="I57" s="381"/>
      <c r="J57" s="272" t="str">
        <f>IF(ISNUMBER(I57),I57*G57/5,"[Auto]")</f>
        <v>[Auto]</v>
      </c>
      <c r="K57" s="387"/>
      <c r="L57" s="273" t="str">
        <f>IF(ISNUMBER(K57),K57*G57/5,"[Auto]")</f>
        <v>[Auto]</v>
      </c>
      <c r="M57" s="274"/>
      <c r="N57" s="393" t="s">
        <v>200</v>
      </c>
      <c r="O57" s="394" t="s">
        <v>201</v>
      </c>
      <c r="P57" s="395" t="s">
        <v>202</v>
      </c>
    </row>
    <row r="58" spans="1:16" ht="60" customHeight="1">
      <c r="A58" s="241"/>
      <c r="B58" s="242" t="s">
        <v>141</v>
      </c>
      <c r="C58" s="243" t="s">
        <v>297</v>
      </c>
      <c r="D58" s="244" t="s">
        <v>298</v>
      </c>
      <c r="E58" s="370"/>
      <c r="F58" s="376"/>
      <c r="G58" s="245">
        <v>15</v>
      </c>
      <c r="H58" s="246" t="str">
        <f>IF(ISNUMBER(F58),F58*G58/5,"[Auto]")</f>
        <v>[Auto]</v>
      </c>
      <c r="I58" s="382"/>
      <c r="J58" s="247" t="str">
        <f>IF(ISNUMBER(I58),I58*G58/5,"[Auto]")</f>
        <v>[Auto]</v>
      </c>
      <c r="K58" s="388"/>
      <c r="L58" s="248" t="str">
        <f>IF(ISNUMBER(K58),K58*G58/5,"[Auto]")</f>
        <v>[Auto]</v>
      </c>
      <c r="M58" s="263"/>
      <c r="N58" s="396" t="s">
        <v>200</v>
      </c>
      <c r="O58" s="397" t="s">
        <v>201</v>
      </c>
      <c r="P58" s="398" t="s">
        <v>202</v>
      </c>
    </row>
    <row r="59" spans="1:16" ht="60" customHeight="1">
      <c r="A59" s="225"/>
      <c r="B59" s="226" t="s">
        <v>144</v>
      </c>
      <c r="C59" s="227" t="s">
        <v>299</v>
      </c>
      <c r="D59" s="228" t="s">
        <v>300</v>
      </c>
      <c r="E59" s="371"/>
      <c r="F59" s="377"/>
      <c r="G59" s="229">
        <v>20</v>
      </c>
      <c r="H59" s="230" t="str">
        <f>IF(ISNUMBER(F59),F59*G59/5,"[Auto]")</f>
        <v>[Auto]</v>
      </c>
      <c r="I59" s="383"/>
      <c r="J59" s="231" t="str">
        <f>IF(ISNUMBER(I59),I59*G59/5,"[Auto]")</f>
        <v>[Auto]</v>
      </c>
      <c r="K59" s="389"/>
      <c r="L59" s="232" t="str">
        <f>IF(ISNUMBER(K59),K59*G59/5,"[Auto]")</f>
        <v>[Auto]</v>
      </c>
      <c r="M59" s="264"/>
      <c r="N59" s="399" t="s">
        <v>200</v>
      </c>
      <c r="O59" s="400" t="s">
        <v>201</v>
      </c>
      <c r="P59" s="401" t="s">
        <v>202</v>
      </c>
    </row>
    <row r="60" spans="1:16" ht="60" customHeight="1">
      <c r="A60" s="225"/>
      <c r="B60" s="226" t="s">
        <v>147</v>
      </c>
      <c r="C60" s="227" t="s">
        <v>301</v>
      </c>
      <c r="D60" s="228" t="s">
        <v>302</v>
      </c>
      <c r="E60" s="371"/>
      <c r="F60" s="377"/>
      <c r="G60" s="229">
        <v>15</v>
      </c>
      <c r="H60" s="230" t="str">
        <f>IF(ISNUMBER(F60),F60*G60/5,"[Auto]")</f>
        <v>[Auto]</v>
      </c>
      <c r="I60" s="383"/>
      <c r="J60" s="231" t="str">
        <f>IF(ISNUMBER(I60),I60*G60/5,"[Auto]")</f>
        <v>[Auto]</v>
      </c>
      <c r="K60" s="389"/>
      <c r="L60" s="232" t="str">
        <f>IF(ISNUMBER(K60),K60*G60/5,"[Auto]")</f>
        <v>[Auto]</v>
      </c>
      <c r="M60" s="264"/>
      <c r="N60" s="399" t="s">
        <v>200</v>
      </c>
      <c r="O60" s="400" t="s">
        <v>201</v>
      </c>
      <c r="P60" s="401" t="s">
        <v>202</v>
      </c>
    </row>
    <row r="61" spans="1:16" ht="60" customHeight="1" thickBot="1">
      <c r="A61" s="233"/>
      <c r="B61" s="234" t="s">
        <v>150</v>
      </c>
      <c r="C61" s="235" t="s">
        <v>303</v>
      </c>
      <c r="D61" s="236" t="s">
        <v>304</v>
      </c>
      <c r="E61" s="374"/>
      <c r="F61" s="380"/>
      <c r="G61" s="237">
        <v>10</v>
      </c>
      <c r="H61" s="238" t="str">
        <f>IF(ISNUMBER(F61),F61*G61/5,"[Auto]")</f>
        <v>[Auto]</v>
      </c>
      <c r="I61" s="386"/>
      <c r="J61" s="239" t="str">
        <f>IF(ISNUMBER(I61),I61*G61/5,"[Auto]")</f>
        <v>[Auto]</v>
      </c>
      <c r="K61" s="392"/>
      <c r="L61" s="240" t="str">
        <f>IF(ISNUMBER(K61),K61*G61/5,"[Auto]")</f>
        <v>[Auto]</v>
      </c>
      <c r="M61" s="265"/>
      <c r="N61" s="408" t="s">
        <v>200</v>
      </c>
      <c r="O61" s="409" t="s">
        <v>201</v>
      </c>
      <c r="P61" s="410" t="s">
        <v>202</v>
      </c>
    </row>
    <row r="62" spans="1:16" ht="100" customHeight="1">
      <c r="N62"/>
      <c r="O62"/>
      <c r="P62"/>
    </row>
  </sheetData>
  <sheetProtection sheet="1" objects="1" scenarios="1" autoFilter="0"/>
  <mergeCells count="8">
    <mergeCell ref="A1:P1"/>
    <mergeCell ref="B2:C2"/>
    <mergeCell ref="D2:E2"/>
    <mergeCell ref="F2:G2"/>
    <mergeCell ref="H2:I2"/>
    <mergeCell ref="J2:K2"/>
    <mergeCell ref="L2:M2"/>
    <mergeCell ref="N2:P2"/>
  </mergeCells>
  <phoneticPr fontId="50" type="noConversion"/>
  <dataValidations count="4">
    <dataValidation type="list" allowBlank="1" showInputMessage="1" showErrorMessage="1" promptTitle="Select Importance" prompt="Choose importance level for this criterion" sqref="E5:E61" xr:uid="{F70536DD-983E-4E2A-AA68-E2CB0BF5FFA6}">
      <formula1>"Very Low,Low,Moderate,High,Very High"</formula1>
    </dataValidation>
    <dataValidation type="list" allowBlank="1" showInputMessage="1" showErrorMessage="1" promptTitle="AWS Score" prompt="Select 1-5 (1=Lowest, 5=Highest)" sqref="F5:F61" xr:uid="{D445D092-5EAC-4273-9104-E39322A914AD}">
      <formula1>"1,2,3,4,5"</formula1>
    </dataValidation>
    <dataValidation type="list" allowBlank="1" showInputMessage="1" showErrorMessage="1" promptTitle="Azure Score" prompt="Select 1-5 (1=Lowest, 5=Highest)" sqref="I5:I61" xr:uid="{AA9C6B6D-1094-408D-986E-72F45E9FFD39}">
      <formula1>"1,2,3,4,5"</formula1>
    </dataValidation>
    <dataValidation type="list" allowBlank="1" showInputMessage="1" showErrorMessage="1" promptTitle="GCP Score" prompt="Select 1-5 (1=Lowest, 5=Highest)" sqref="K5:K61" xr:uid="{F034B27A-00A4-4CBD-B984-8C07A705B8ED}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J3" sqref="J3"/>
    </sheetView>
  </sheetViews>
  <sheetFormatPr defaultColWidth="8.81640625" defaultRowHeight="14.5"/>
  <cols>
    <col min="1" max="1" width="27.26953125" customWidth="1"/>
    <col min="2" max="2" width="14.54296875" customWidth="1"/>
  </cols>
  <sheetData>
    <row r="1" spans="1:5" ht="35" customHeight="1">
      <c r="A1" s="170" t="s">
        <v>193</v>
      </c>
      <c r="B1" s="50"/>
      <c r="C1" s="50"/>
      <c r="D1" s="50"/>
      <c r="E1" s="50"/>
    </row>
    <row r="2" spans="1:5" ht="25" customHeight="1">
      <c r="A2" s="210" t="s">
        <v>159</v>
      </c>
      <c r="B2" s="211" t="s">
        <v>160</v>
      </c>
      <c r="C2" s="165"/>
    </row>
    <row r="3" spans="1:5" ht="22" customHeight="1">
      <c r="A3" s="217" t="s">
        <v>53</v>
      </c>
      <c r="B3" s="212">
        <v>1</v>
      </c>
      <c r="C3" s="166"/>
    </row>
    <row r="4" spans="1:5" ht="22" customHeight="1">
      <c r="A4" s="218" t="s">
        <v>32</v>
      </c>
      <c r="B4" s="213">
        <v>2</v>
      </c>
      <c r="C4" s="167"/>
    </row>
    <row r="5" spans="1:5" ht="22" customHeight="1">
      <c r="A5" s="219" t="s">
        <v>30</v>
      </c>
      <c r="B5" s="214">
        <v>3</v>
      </c>
      <c r="C5" s="168"/>
    </row>
    <row r="6" spans="1:5" ht="22" customHeight="1">
      <c r="A6" s="220" t="s">
        <v>40</v>
      </c>
      <c r="B6" s="215">
        <v>4</v>
      </c>
      <c r="C6" s="169"/>
    </row>
    <row r="7" spans="1:5" ht="22" customHeight="1" thickBot="1">
      <c r="A7" s="221" t="s">
        <v>36</v>
      </c>
      <c r="B7" s="216">
        <v>5</v>
      </c>
    </row>
  </sheetData>
  <sheetProtection sheet="1" objects="1" scenarios="1" autoFilter="0"/>
  <mergeCells count="1"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g xmlns="236d467e-fe90-4ae0-9fe2-011d77897820" xsi:nil="true"/>
    <DateandTime xmlns="236d467e-fe90-4ae0-9fe2-011d77897820" xsi:nil="true"/>
    <_Flow_SignoffStatus xmlns="236d467e-fe90-4ae0-9fe2-011d77897820" xsi:nil="true"/>
    <AssignedTo xmlns="236d467e-fe90-4ae0-9fe2-011d77897820">
      <UserInfo>
        <DisplayName/>
        <AccountId xsi:nil="true"/>
        <AccountType/>
      </UserInfo>
    </AssignedTo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501E9-56EA-4320-9BB4-A827996232A9}">
  <ds:schemaRefs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544b03d-ed08-46e1-a5f8-632fc735be33"/>
    <ds:schemaRef ds:uri="236d467e-fe90-4ae0-9fe2-011d77897820"/>
  </ds:schemaRefs>
</ds:datastoreItem>
</file>

<file path=customXml/itemProps2.xml><?xml version="1.0" encoding="utf-8"?>
<ds:datastoreItem xmlns:ds="http://schemas.openxmlformats.org/officeDocument/2006/customXml" ds:itemID="{4B515CA2-8B0A-4C4B-8AE0-65AF06C04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6d467e-fe90-4ae0-9fe2-011d77897820"/>
    <ds:schemaRef ds:uri="4544b03d-ed08-46e1-a5f8-632fc735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1457CF-F5DF-4F00-9F5C-0B3C90D6936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Strategic View</vt:lpstr>
      <vt:lpstr>ScoringSummary</vt:lpstr>
      <vt:lpstr>High+VHigh</vt:lpstr>
      <vt:lpstr>Selection Criteria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Upendra Kumar</cp:lastModifiedBy>
  <cp:revision/>
  <dcterms:created xsi:type="dcterms:W3CDTF">2026-03-13T10:54:57Z</dcterms:created>
  <dcterms:modified xsi:type="dcterms:W3CDTF">2026-04-26T06:13:09Z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0x010100B104D1C152C32946844AA72ED5B510AE</vt:lpwstr>
  </property>
</Properties>
</file>