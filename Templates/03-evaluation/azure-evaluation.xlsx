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1" activeTab="0" autoFilterDateGrouping="1"/>
  </bookViews>
  <sheets>
    <sheet xmlns:r="http://schemas.openxmlformats.org/officeDocument/2006/relationships" name="Instructions" sheetId="1" state="visible" r:id="rId1"/>
    <sheet xmlns:r="http://schemas.openxmlformats.org/officeDocument/2006/relationships" name="Read Me" sheetId="2" state="visible" r:id="rId2"/>
    <sheet xmlns:r="http://schemas.openxmlformats.org/officeDocument/2006/relationships" name="Azure Migrate appliance Guide" sheetId="3" state="visible" r:id="rId3"/>
    <sheet xmlns:r="http://schemas.openxmlformats.org/officeDocument/2006/relationships" name="Assumptions" sheetId="4" state="visible" r:id="rId4"/>
    <sheet xmlns:r="http://schemas.openxmlformats.org/officeDocument/2006/relationships" name="Azure Evaluation" sheetId="5" state="visible" r:id="rId5"/>
    <sheet xmlns:r="http://schemas.openxmlformats.org/officeDocument/2006/relationships" name="Compatibility Exclusions" sheetId="6" state="visible" r:id="rId6"/>
    <sheet xmlns:r="http://schemas.openxmlformats.org/officeDocument/2006/relationships" name="AHB Overlay" sheetId="7" state="visible" r:id="rId7"/>
  </sheets>
  <definedNames/>
  <calcPr calcId="191028" fullCalcOnLoad="1"/>
</workbook>
</file>

<file path=xl/styles.xml><?xml version="1.0" encoding="utf-8"?>
<styleSheet xmlns="http://schemas.openxmlformats.org/spreadsheetml/2006/main">
  <numFmts count="1">
    <numFmt numFmtId="164" formatCode="[$$-409]#,##0"/>
  </numFmts>
  <fonts count="77">
    <font>
      <name val="Calibri"/>
      <charset val="1"/>
      <family val="2"/>
      <color theme="1"/>
      <sz val="11"/>
    </font>
    <font>
      <name val="Calibri"/>
      <charset val="1"/>
      <family val="2"/>
      <color rgb="FFFFFFFF"/>
      <sz val="11"/>
    </font>
    <font>
      <name val="Calibri"/>
      <charset val="1"/>
      <family val="2"/>
      <b val="1"/>
      <color rgb="FFFFFFFF"/>
      <sz val="16"/>
    </font>
    <font>
      <name val="Calibri"/>
      <charset val="1"/>
      <family val="2"/>
      <b val="1"/>
      <color theme="1"/>
      <sz val="11"/>
    </font>
    <font>
      <name val="Calibri"/>
      <charset val="1"/>
      <family val="2"/>
      <b val="1"/>
      <color theme="1"/>
      <sz val="12"/>
    </font>
    <font>
      <name val="Calibri"/>
      <charset val="1"/>
      <family val="2"/>
      <b val="1"/>
      <color theme="1"/>
      <sz val="14"/>
    </font>
    <font>
      <name val="Calibri"/>
      <charset val="1"/>
      <family val="2"/>
      <color rgb="FFCCCCCC"/>
      <sz val="11"/>
    </font>
    <font>
      <name val="Calibri"/>
      <charset val="1"/>
      <family val="2"/>
      <color theme="1"/>
      <sz val="10"/>
    </font>
    <font>
      <name val="Calibri"/>
      <charset val="1"/>
      <family val="2"/>
      <b val="1"/>
      <color rgb="FFFFFFFF"/>
      <sz val="12"/>
    </font>
    <font>
      <name val="Calibri"/>
      <charset val="1"/>
      <family val="2"/>
      <b val="1"/>
      <color theme="1"/>
      <sz val="10"/>
    </font>
    <font>
      <name val="Calibri"/>
      <charset val="1"/>
      <family val="2"/>
      <i val="1"/>
      <color theme="1"/>
      <sz val="11"/>
    </font>
    <font>
      <name val="Calibri"/>
      <charset val="1"/>
      <family val="2"/>
      <color rgb="FF666666"/>
      <sz val="9"/>
    </font>
    <font>
      <name val="Calibri"/>
      <charset val="1"/>
      <family val="2"/>
      <b val="1"/>
      <color rgb="FFFFFFFF"/>
      <sz val="13"/>
    </font>
    <font>
      <name val="Calibri"/>
      <charset val="1"/>
      <family val="2"/>
      <b val="1"/>
      <color rgb="FFFFFFFF"/>
      <sz val="22"/>
    </font>
    <font>
      <name val="Calibri"/>
      <charset val="1"/>
      <family val="2"/>
      <i val="1"/>
      <color rgb="FFFFFFFF"/>
      <sz val="14"/>
    </font>
    <font>
      <name val="Calibri"/>
      <charset val="1"/>
      <family val="2"/>
      <color rgb="FF0078D4"/>
      <sz val="10"/>
    </font>
    <font>
      <name val="Calibri"/>
      <charset val="1"/>
      <family val="2"/>
      <color rgb="FF1E6B0E"/>
      <sz val="10"/>
    </font>
    <font>
      <name val="Calibri"/>
      <charset val="1"/>
      <family val="2"/>
      <b val="1"/>
      <color rgb="FFB45309"/>
      <sz val="11"/>
    </font>
    <font>
      <name val="Calibri"/>
      <charset val="1"/>
      <family val="2"/>
      <i val="1"/>
      <color rgb="FF374151"/>
      <sz val="10"/>
    </font>
    <font>
      <name val="Calibri"/>
      <charset val="1"/>
      <family val="2"/>
      <b val="1"/>
      <color rgb="FF1E3A5F"/>
      <sz val="10"/>
    </font>
    <font>
      <name val="Calibri"/>
      <charset val="1"/>
      <family val="2"/>
      <b val="1"/>
      <color rgb="FF0078D4"/>
      <sz val="11"/>
    </font>
    <font>
      <name val="Calibri"/>
      <charset val="1"/>
      <family val="2"/>
      <color rgb="FF6B7280"/>
      <sz val="11"/>
    </font>
    <font>
      <name val="Calibri"/>
      <charset val="1"/>
      <family val="2"/>
      <b val="1"/>
      <i val="1"/>
      <color rgb="FF6B7280"/>
      <sz val="11"/>
    </font>
    <font>
      <name val="Calibri"/>
      <charset val="1"/>
      <family val="2"/>
      <color rgb="FFD1D5DB"/>
      <sz val="11"/>
    </font>
    <font>
      <name val="Calibri"/>
      <charset val="1"/>
      <family val="2"/>
      <i val="1"/>
      <color rgb="FF6B7280"/>
      <sz val="10"/>
    </font>
    <font>
      <name val="Calibri"/>
      <charset val="1"/>
      <family val="2"/>
      <color rgb="FF9CA3AF"/>
      <sz val="9"/>
    </font>
    <font>
      <name val="Calibri"/>
      <charset val="1"/>
      <family val="2"/>
      <b val="1"/>
      <color rgb="FF1E6B0E"/>
      <sz val="11"/>
    </font>
    <font>
      <name val="Calibri"/>
      <charset val="1"/>
      <family val="2"/>
      <b val="1"/>
      <color rgb="FFFFFFFF"/>
      <sz val="28"/>
    </font>
    <font>
      <name val="Calibri"/>
      <charset val="1"/>
      <family val="2"/>
      <color rgb="FF0078D4"/>
      <sz val="11"/>
    </font>
    <font>
      <name val="Calibri"/>
      <charset val="1"/>
      <family val="2"/>
      <b val="1"/>
      <color rgb="FF0078D4"/>
      <sz val="14"/>
    </font>
    <font>
      <name val="Calibri"/>
      <charset val="1"/>
      <family val="2"/>
      <i val="1"/>
      <color rgb="FF505050"/>
      <sz val="10"/>
    </font>
    <font>
      <name val="Calibri"/>
      <charset val="1"/>
      <family val="2"/>
      <b val="1"/>
      <color rgb="FFFFFFFF"/>
      <sz val="14"/>
    </font>
    <font>
      <name val="Calibri"/>
      <charset val="1"/>
      <family val="2"/>
      <color rgb="FF333333"/>
      <sz val="11"/>
    </font>
    <font>
      <name val="Calibri"/>
      <charset val="1"/>
      <family val="2"/>
      <b val="1"/>
      <color rgb="FF0078D4"/>
      <sz val="12"/>
    </font>
    <font>
      <name val="Calibri"/>
      <charset val="1"/>
      <family val="2"/>
      <b val="1"/>
      <color rgb="FF2E7D32"/>
      <sz val="11"/>
    </font>
    <font>
      <name val="Calibri"/>
      <charset val="1"/>
      <family val="2"/>
      <b val="1"/>
      <color rgb="FFF9A825"/>
      <sz val="11"/>
    </font>
    <font>
      <name val="Calibri"/>
      <charset val="1"/>
      <family val="2"/>
      <b val="1"/>
      <color rgb="FFEF6C00"/>
      <sz val="11"/>
    </font>
    <font>
      <name val="Calibri"/>
      <charset val="1"/>
      <family val="2"/>
      <b val="1"/>
      <color rgb="FFC62828"/>
      <sz val="11"/>
    </font>
    <font>
      <name val="Calibri"/>
      <charset val="1"/>
      <family val="2"/>
      <i val="1"/>
      <color rgb="FF0078D4"/>
      <sz val="11"/>
    </font>
    <font>
      <name val="Calibri"/>
      <charset val="1"/>
      <family val="2"/>
      <color rgb="FF1B5E20"/>
      <sz val="11"/>
    </font>
    <font>
      <name val="Calibri"/>
      <charset val="1"/>
      <family val="2"/>
      <b val="1"/>
      <color rgb="FF856404"/>
      <sz val="13"/>
    </font>
    <font>
      <name val="Calibri"/>
      <charset val="1"/>
      <family val="2"/>
      <color rgb="FF5D4037"/>
      <sz val="10"/>
    </font>
    <font>
      <name val="Calibri"/>
      <charset val="1"/>
      <family val="2"/>
      <i val="1"/>
      <color rgb="FF707070"/>
      <sz val="10"/>
    </font>
    <font>
      <name val="Calibri"/>
      <charset val="1"/>
      <family val="2"/>
      <color rgb="FF909090"/>
      <sz val="9"/>
    </font>
    <font>
      <name val="Calibri"/>
      <charset val="1"/>
      <family val="2"/>
      <b val="1"/>
      <color rgb="FFFFFFFF"/>
      <sz val="10"/>
    </font>
    <font>
      <name val="Calibri"/>
      <charset val="1"/>
      <family val="2"/>
      <i val="1"/>
      <color rgb="FF666666"/>
      <sz val="11"/>
    </font>
    <font>
      <name val="Calibri"/>
      <charset val="1"/>
      <family val="2"/>
      <i val="1"/>
      <color rgb="FF666666"/>
      <sz val="10"/>
    </font>
    <font>
      <name val="Calibri"/>
      <charset val="1"/>
      <family val="2"/>
      <b val="1"/>
      <i val="1"/>
      <color rgb="FF666666"/>
      <sz val="11"/>
    </font>
    <font>
      <name val="Calibri"/>
      <charset val="1"/>
      <family val="2"/>
      <color rgb="FFD32F2F"/>
      <sz val="11"/>
    </font>
    <font>
      <name val="Calibri"/>
      <charset val="1"/>
      <family val="2"/>
      <b val="1"/>
      <color rgb="FFD32F2F"/>
      <sz val="11"/>
    </font>
    <font>
      <name val="Calibri"/>
      <charset val="1"/>
      <family val="2"/>
      <color rgb="FFF57C00"/>
      <sz val="11"/>
    </font>
    <font>
      <name val="Calibri"/>
      <charset val="1"/>
      <family val="2"/>
      <b val="1"/>
      <color rgb="FFF57C00"/>
      <sz val="11"/>
    </font>
    <font>
      <name val="Calibri"/>
      <charset val="1"/>
      <family val="2"/>
      <color rgb="FFFBC02D"/>
      <sz val="11"/>
    </font>
    <font>
      <name val="Calibri"/>
      <charset val="1"/>
      <family val="2"/>
      <b val="1"/>
      <color rgb="FFFBC02D"/>
      <sz val="11"/>
    </font>
    <font>
      <name val="Calibri"/>
      <charset val="1"/>
      <family val="2"/>
      <color rgb="FF388E3C"/>
      <sz val="11"/>
    </font>
    <font>
      <name val="Calibri"/>
      <charset val="1"/>
      <family val="2"/>
      <b val="1"/>
      <color rgb="FF388E3C"/>
      <sz val="11"/>
    </font>
    <font>
      <name val="Calibri"/>
      <charset val="1"/>
      <family val="2"/>
      <b val="1"/>
      <i val="1"/>
      <color rgb="FF666666"/>
      <sz val="10"/>
    </font>
    <font>
      <name val="Calibri"/>
      <charset val="1"/>
      <family val="2"/>
      <b val="1"/>
      <color rgb="FF0078D4"/>
      <sz val="10"/>
    </font>
    <font>
      <name val="Calibri"/>
      <charset val="1"/>
      <family val="2"/>
      <i val="1"/>
      <color rgb="FF002050"/>
      <sz val="13"/>
    </font>
    <font>
      <name val="Calibri"/>
      <charset val="1"/>
      <family val="2"/>
      <color rgb="FF666666"/>
      <sz val="10"/>
    </font>
    <font>
      <name val="Calibri"/>
      <charset val="1"/>
      <family val="2"/>
      <color rgb="FF856404"/>
      <sz val="11"/>
    </font>
    <font>
      <name val="Calibri"/>
      <charset val="1"/>
      <family val="2"/>
      <b val="1"/>
      <color rgb="FF856404"/>
      <sz val="11"/>
    </font>
    <font>
      <name val="Calibri"/>
      <charset val="1"/>
      <family val="2"/>
      <color rgb="FFCCCCCC"/>
      <sz val="10"/>
    </font>
    <font>
      <name val="Calibri"/>
      <charset val="1"/>
      <family val="2"/>
      <color rgb="FF888888"/>
      <sz val="10"/>
    </font>
    <font>
      <name val="Calibri"/>
      <charset val="1"/>
      <family val="2"/>
      <color rgb="FF333333"/>
      <sz val="10"/>
    </font>
    <font>
      <name val="Calibri"/>
      <charset val="1"/>
      <family val="2"/>
      <color rgb="FF0066CC"/>
      <sz val="11"/>
      <u val="single"/>
    </font>
    <font>
      <name val="Calibri"/>
      <charset val="1"/>
      <family val="2"/>
      <i val="1"/>
      <color rgb="FF666666"/>
      <sz val="9"/>
    </font>
    <font>
      <name val="Calibri"/>
      <charset val="1"/>
      <family val="2"/>
      <color theme="10"/>
      <sz val="11"/>
      <u val="single"/>
    </font>
    <font>
      <name val="Calibri"/>
      <b val="1"/>
      <color rgb="00E31C3D"/>
      <sz val="16"/>
    </font>
    <font>
      <name val="Calibri"/>
      <i val="1"/>
      <color rgb="00666666"/>
      <sz val="11"/>
    </font>
    <font>
      <name val="Calibri"/>
      <b val="1"/>
      <sz val="10"/>
    </font>
    <font>
      <name val="Calibri"/>
      <b val="1"/>
      <color rgb="00FFFFFF"/>
      <sz val="10"/>
    </font>
    <font>
      <name val="Calibri"/>
      <sz val="10"/>
    </font>
    <font>
      <name val="Calibri"/>
      <sz val="9"/>
    </font>
    <font>
      <name val="Calibri"/>
      <i val="1"/>
      <color rgb="00999999"/>
      <sz val="8"/>
    </font>
    <font>
      <name val="Calibri"/>
      <b val="1"/>
      <color rgb="00FFFFFF"/>
      <sz val="11"/>
    </font>
    <font>
      <name val="Calibri"/>
      <i val="1"/>
      <sz val="10"/>
    </font>
  </fonts>
  <fills count="45">
    <fill>
      <patternFill/>
    </fill>
    <fill>
      <patternFill patternType="gray125"/>
    </fill>
    <fill>
      <patternFill patternType="solid">
        <fgColor rgb="FF0078D4"/>
        <bgColor indexed="64"/>
      </patternFill>
    </fill>
    <fill>
      <patternFill patternType="solid">
        <fgColor rgb="FFFFF3CD"/>
        <bgColor indexed="64"/>
      </patternFill>
    </fill>
    <fill>
      <patternFill patternType="solid">
        <fgColor rgb="FFE6F2FF"/>
        <bgColor indexed="64"/>
      </patternFill>
    </fill>
    <fill>
      <patternFill patternType="solid">
        <fgColor rgb="FFD0E8FF"/>
        <bgColor indexed="64"/>
      </patternFill>
    </fill>
    <fill>
      <patternFill patternType="solid">
        <fgColor rgb="FFF0F7FF"/>
        <bgColor indexed="64"/>
      </patternFill>
    </fill>
    <fill>
      <patternFill patternType="solid">
        <fgColor rgb="FFFAFAFA"/>
        <bgColor indexed="64"/>
      </patternFill>
    </fill>
    <fill>
      <patternFill patternType="solid">
        <fgColor rgb="FFFFFFFF"/>
        <bgColor indexed="64"/>
      </patternFill>
    </fill>
    <fill>
      <patternFill patternType="solid">
        <fgColor rgb="FFFFF8E1"/>
        <bgColor indexed="64"/>
      </patternFill>
    </fill>
    <fill>
      <patternFill patternType="solid">
        <fgColor rgb="FFFFFDE7"/>
        <bgColor indexed="64"/>
      </patternFill>
    </fill>
    <fill>
      <patternFill patternType="solid">
        <fgColor rgb="FFE8F5E9"/>
        <bgColor indexed="64"/>
      </patternFill>
    </fill>
    <fill>
      <patternFill patternType="solid">
        <fgColor rgb="FFE3F2FD"/>
        <bgColor indexed="64"/>
      </patternFill>
    </fill>
    <fill>
      <patternFill patternType="solid">
        <fgColor rgb="FFFFF3E0"/>
        <bgColor indexed="64"/>
      </patternFill>
    </fill>
    <fill>
      <patternFill patternType="solid">
        <fgColor rgb="FFE6F2FA"/>
        <bgColor indexed="64"/>
      </patternFill>
    </fill>
    <fill>
      <patternFill patternType="solid">
        <fgColor rgb="FFFEF3C7"/>
        <bgColor indexed="64"/>
      </patternFill>
    </fill>
    <fill>
      <patternFill patternType="solid">
        <fgColor rgb="FFF3F4F6"/>
        <bgColor indexed="64"/>
      </patternFill>
    </fill>
    <fill>
      <patternFill patternType="solid">
        <fgColor rgb="FFDBEAFE"/>
        <bgColor indexed="64"/>
      </patternFill>
    </fill>
    <fill>
      <patternFill patternType="solid">
        <fgColor rgb="FFF9FAFB"/>
        <bgColor indexed="64"/>
      </patternFill>
    </fill>
    <fill>
      <patternFill patternType="solid">
        <fgColor rgb="FFF0F9FF"/>
        <bgColor indexed="64"/>
      </patternFill>
    </fill>
    <fill>
      <patternFill patternType="solid">
        <fgColor rgb="FFEFF6FF"/>
        <bgColor indexed="64"/>
      </patternFill>
    </fill>
    <fill>
      <patternFill patternType="solid">
        <fgColor rgb="FFFEF9C3"/>
        <bgColor indexed="64"/>
      </patternFill>
    </fill>
    <fill>
      <patternFill patternType="solid">
        <fgColor rgb="FFD1FAE5"/>
        <bgColor indexed="64"/>
      </patternFill>
    </fill>
    <fill>
      <patternFill patternType="solid">
        <fgColor rgb="FFE0E7FF"/>
        <bgColor indexed="64"/>
      </patternFill>
    </fill>
    <fill>
      <patternFill patternType="solid">
        <fgColor rgb="FFFED7AA"/>
        <bgColor indexed="64"/>
      </patternFill>
    </fill>
    <fill>
      <patternFill patternType="solid">
        <fgColor rgb="FFFECACA"/>
        <bgColor indexed="64"/>
      </patternFill>
    </fill>
    <fill>
      <patternFill patternType="solid">
        <fgColor rgb="FF50E6FF"/>
        <bgColor indexed="64"/>
      </patternFill>
    </fill>
    <fill>
      <patternFill patternType="solid">
        <fgColor rgb="FFF3F3F3"/>
        <bgColor indexed="64"/>
      </patternFill>
    </fill>
    <fill>
      <patternFill patternType="solid">
        <fgColor rgb="FF002050"/>
        <bgColor indexed="64"/>
      </patternFill>
    </fill>
    <fill>
      <patternFill patternType="solid">
        <fgColor rgb="FFF8F9FA"/>
        <bgColor indexed="64"/>
      </patternFill>
    </fill>
    <fill>
      <patternFill patternType="solid">
        <fgColor rgb="FFE1EFFA"/>
        <bgColor indexed="64"/>
      </patternFill>
    </fill>
    <fill>
      <patternFill patternType="solid">
        <fgColor rgb="FFFFEBEE"/>
        <bgColor indexed="64"/>
      </patternFill>
    </fill>
    <fill>
      <patternFill patternType="solid">
        <fgColor rgb="FF107C10"/>
        <bgColor indexed="64"/>
      </patternFill>
    </fill>
    <fill>
      <patternFill patternType="solid">
        <fgColor rgb="FFE8E8E8"/>
        <bgColor indexed="64"/>
      </patternFill>
    </fill>
    <fill>
      <patternFill patternType="solid">
        <fgColor rgb="FF002060"/>
        <bgColor indexed="64"/>
      </patternFill>
    </fill>
    <fill>
      <patternFill patternType="solid">
        <fgColor rgb="FFFF0000"/>
        <bgColor indexed="64"/>
      </patternFill>
    </fill>
    <fill>
      <patternFill patternType="solid">
        <fgColor rgb="FFF0F0F0"/>
        <bgColor indexed="64"/>
      </patternFill>
    </fill>
    <fill>
      <patternFill patternType="solid">
        <fgColor rgb="FFE8F4FD"/>
        <bgColor indexed="64"/>
      </patternFill>
    </fill>
    <fill>
      <patternFill patternType="solid">
        <fgColor rgb="FFFFFEF5"/>
        <bgColor indexed="64"/>
      </patternFill>
    </fill>
    <fill>
      <patternFill patternType="solid">
        <fgColor rgb="FFF5F5F5"/>
        <bgColor indexed="64"/>
      </patternFill>
    </fill>
    <fill>
      <patternFill patternType="solid">
        <fgColor rgb="001A1F36"/>
      </patternFill>
    </fill>
    <fill>
      <patternFill patternType="solid">
        <fgColor rgb="00E8F4FD"/>
      </patternFill>
    </fill>
    <fill>
      <patternFill patternType="solid">
        <fgColor rgb="00E31C3D"/>
      </patternFill>
    </fill>
    <fill>
      <patternFill patternType="solid">
        <fgColor rgb="00FFF3CD"/>
      </patternFill>
    </fill>
    <fill>
      <patternFill patternType="solid">
        <fgColor rgb="00F2F2F2"/>
      </patternFill>
    </fill>
  </fills>
  <borders count="75">
    <border>
      <left/>
      <right/>
      <top/>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style="thin">
        <color auto="1"/>
      </top>
      <bottom style="thin">
        <color rgb="FFE5E7EB"/>
      </bottom>
      <diagonal/>
    </border>
    <border>
      <left style="thin">
        <color rgb="FFE5E7EB"/>
      </left>
      <right style="thin">
        <color rgb="FFE5E7EB"/>
      </right>
      <top style="thin">
        <color rgb="FFE5E7EB"/>
      </top>
      <bottom style="thin">
        <color auto="1"/>
      </bottom>
      <diagonal/>
    </border>
    <border>
      <left style="thin">
        <color rgb="FFE5E7EB"/>
      </left>
      <right style="thin">
        <color auto="1"/>
      </right>
      <top style="thin">
        <color auto="1"/>
      </top>
      <bottom style="thin">
        <color rgb="FFE5E7EB"/>
      </bottom>
      <diagonal/>
    </border>
    <border>
      <left style="thin">
        <color rgb="FFE5E7EB"/>
      </left>
      <right style="thin">
        <color auto="1"/>
      </right>
      <top style="thin">
        <color rgb="FFE5E7EB"/>
      </top>
      <bottom style="thin">
        <color rgb="FFE5E7EB"/>
      </bottom>
      <diagonal/>
    </border>
    <border>
      <left style="thin">
        <color rgb="FFE5E7EB"/>
      </left>
      <right style="thin">
        <color auto="1"/>
      </right>
      <top style="thin">
        <color rgb="FFE5E7EB"/>
      </top>
      <bottom style="thin">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rgb="FFE8E8E8"/>
      </left>
      <right style="thin">
        <color rgb="FFE8E8E8"/>
      </right>
      <top style="thin">
        <color rgb="FFD0D0D0"/>
      </top>
      <bottom style="medium">
        <color rgb="FFE8E8E8"/>
      </bottom>
      <diagonal/>
    </border>
    <border>
      <left style="thin">
        <color rgb="FFE8E8E8"/>
      </left>
      <right style="thin">
        <color rgb="FFD0D0D0"/>
      </right>
      <top style="thin">
        <color rgb="FFD0D0D0"/>
      </top>
      <bottom style="medium">
        <color rgb="FFE8E8E8"/>
      </bottom>
      <diagonal/>
    </border>
    <border>
      <left style="thin">
        <color rgb="FFE8E8E8"/>
      </left>
      <right style="thin">
        <color rgb="FFE8E8E8"/>
      </right>
      <top style="medium">
        <color rgb="FFE8E8E8"/>
      </top>
      <bottom style="medium">
        <color rgb="FFE8E8E8"/>
      </bottom>
      <diagonal/>
    </border>
    <border>
      <left style="thin">
        <color rgb="FFE8E8E8"/>
      </left>
      <right style="thin">
        <color rgb="FFD0D0D0"/>
      </right>
      <top style="medium">
        <color rgb="FFE8E8E8"/>
      </top>
      <bottom style="medium">
        <color rgb="FFE8E8E8"/>
      </bottom>
      <diagonal/>
    </border>
    <border>
      <left style="thin">
        <color rgb="FFE8E8E8"/>
      </left>
      <right style="thin">
        <color rgb="FFE8E8E8"/>
      </right>
      <top style="medium">
        <color rgb="FFE8E8E8"/>
      </top>
      <bottom style="thin">
        <color rgb="FFD0D0D0"/>
      </bottom>
      <diagonal/>
    </border>
    <border>
      <left style="thin">
        <color rgb="FFE8E8E8"/>
      </left>
      <right style="thin">
        <color rgb="FFD0D0D0"/>
      </right>
      <top style="medium">
        <color rgb="FFE8E8E8"/>
      </top>
      <bottom style="thin">
        <color rgb="FFD0D0D0"/>
      </bottom>
      <diagonal/>
    </border>
    <border>
      <left style="thin">
        <color rgb="FFE8E8E8"/>
      </left>
      <right style="thin">
        <color rgb="FFE8E8E8"/>
      </right>
      <top style="thin">
        <color rgb="FFD0D0D0"/>
      </top>
      <bottom style="thin">
        <color rgb="FFE8E8E8"/>
      </bottom>
      <diagonal/>
    </border>
    <border>
      <left style="thin">
        <color rgb="FFE8E8E8"/>
      </left>
      <right style="thin">
        <color rgb="FFD0D0D0"/>
      </right>
      <top style="thin">
        <color rgb="FFD0D0D0"/>
      </top>
      <bottom style="thin">
        <color rgb="FFE8E8E8"/>
      </bottom>
      <diagonal/>
    </border>
    <border>
      <left style="thin">
        <color rgb="FFE8E8E8"/>
      </left>
      <right style="thin">
        <color rgb="FFE8E8E8"/>
      </right>
      <top style="thin">
        <color rgb="FFE8E8E8"/>
      </top>
      <bottom style="thin">
        <color rgb="FFE8E8E8"/>
      </bottom>
      <diagonal/>
    </border>
    <border>
      <left style="thin">
        <color rgb="FFE8E8E8"/>
      </left>
      <right style="thin">
        <color rgb="FFD0D0D0"/>
      </right>
      <top style="thin">
        <color rgb="FFE8E8E8"/>
      </top>
      <bottom style="thin">
        <color rgb="FFE8E8E8"/>
      </bottom>
      <diagonal/>
    </border>
    <border>
      <left style="thin">
        <color rgb="FFE8E8E8"/>
      </left>
      <right style="thin">
        <color rgb="FFE8E8E8"/>
      </right>
      <top style="thin">
        <color rgb="FFE8E8E8"/>
      </top>
      <bottom style="thin">
        <color rgb="FFD0D0D0"/>
      </bottom>
      <diagonal/>
    </border>
    <border>
      <left style="thin">
        <color rgb="FFE8E8E8"/>
      </left>
      <right style="thin">
        <color rgb="FFD0D0D0"/>
      </right>
      <top style="thin">
        <color rgb="FFE8E8E8"/>
      </top>
      <bottom style="thin">
        <color rgb="FFD0D0D0"/>
      </bottom>
      <diagonal/>
    </border>
    <border>
      <left/>
      <right style="thin">
        <color rgb="FFB0D4F1"/>
      </right>
      <top style="thin">
        <color rgb="FFB0D4F1"/>
      </top>
      <bottom style="thin">
        <color rgb="FFD4E8F8"/>
      </bottom>
      <diagonal/>
    </border>
    <border>
      <left style="thin">
        <color rgb="FFB0D4F1"/>
      </left>
      <right/>
      <top style="thin">
        <color rgb="FFD4E8F8"/>
      </top>
      <bottom style="thin">
        <color rgb="FFD4E8F8"/>
      </bottom>
      <diagonal/>
    </border>
    <border>
      <left style="thin">
        <color rgb="FFB0D4F1"/>
      </left>
      <right/>
      <top style="thin">
        <color rgb="FFD4E8F8"/>
      </top>
      <bottom style="thin">
        <color rgb="FFB0D4F1"/>
      </bottom>
      <diagonal/>
    </border>
    <border>
      <left style="thin">
        <color rgb="FFB0D4F1"/>
      </left>
      <right/>
      <top/>
      <bottom style="thin">
        <color rgb="FFD4E8F8"/>
      </bottom>
      <diagonal/>
    </border>
    <border>
      <left style="thick">
        <color rgb="FF50E6FF"/>
      </left>
      <right/>
      <top style="thin">
        <color rgb="FFB0D4F1"/>
      </top>
      <bottom style="thin">
        <color rgb="FFD4E8F8"/>
      </bottom>
      <diagonal/>
    </border>
    <border>
      <left style="thin">
        <color auto="1"/>
      </left>
      <right/>
      <top style="thin">
        <color auto="1"/>
      </top>
      <bottom style="thin">
        <color rgb="FFE0E0E0"/>
      </bottom>
      <diagonal/>
    </border>
    <border>
      <left style="thin">
        <color auto="1"/>
      </left>
      <right/>
      <top style="thin">
        <color rgb="FFE0E0E0"/>
      </top>
      <bottom style="thin">
        <color rgb="FFE0E0E0"/>
      </bottom>
      <diagonal/>
    </border>
    <border>
      <left style="thin">
        <color auto="1"/>
      </left>
      <right/>
      <top style="thin">
        <color rgb="FFE0E0E0"/>
      </top>
      <bottom style="thin">
        <color auto="1"/>
      </bottom>
      <diagonal/>
    </border>
    <border>
      <left style="thin">
        <color rgb="FFE0E0E0"/>
      </left>
      <right style="thin">
        <color rgb="FFE0E0E0"/>
      </right>
      <top style="thin">
        <color auto="1"/>
      </top>
      <bottom style="thin">
        <color rgb="FFE0E0E0"/>
      </bottom>
      <diagonal/>
    </border>
    <border>
      <left style="thin">
        <color rgb="FFE0E0E0"/>
      </left>
      <right style="thin">
        <color auto="1"/>
      </right>
      <top style="thin">
        <color auto="1"/>
      </top>
      <bottom style="thin">
        <color rgb="FFE0E0E0"/>
      </bottom>
      <diagonal/>
    </border>
    <border>
      <left style="thin">
        <color rgb="FFE0E0E0"/>
      </left>
      <right style="thin">
        <color rgb="FFE0E0E0"/>
      </right>
      <top style="thin">
        <color rgb="FFE0E0E0"/>
      </top>
      <bottom style="thin">
        <color rgb="FFE0E0E0"/>
      </bottom>
      <diagonal/>
    </border>
    <border>
      <left style="thin">
        <color rgb="FFE0E0E0"/>
      </left>
      <right style="thin">
        <color auto="1"/>
      </right>
      <top style="thin">
        <color rgb="FFE0E0E0"/>
      </top>
      <bottom style="thin">
        <color rgb="FFE0E0E0"/>
      </bottom>
      <diagonal/>
    </border>
    <border>
      <left style="thin">
        <color rgb="FFE0E0E0"/>
      </left>
      <right style="thin">
        <color rgb="FFE0E0E0"/>
      </right>
      <top style="thin">
        <color rgb="FFE0E0E0"/>
      </top>
      <bottom style="thin">
        <color auto="1"/>
      </bottom>
      <diagonal/>
    </border>
    <border>
      <left style="thin">
        <color rgb="FFE0E0E0"/>
      </left>
      <right style="thin">
        <color auto="1"/>
      </right>
      <top style="thin">
        <color rgb="FFE0E0E0"/>
      </top>
      <bottom style="thin">
        <color auto="1"/>
      </bottom>
      <diagonal/>
    </border>
    <border>
      <left/>
      <right/>
      <top style="thin">
        <color rgb="FFD4E8F8"/>
      </top>
      <bottom style="thin">
        <color rgb="FFD4E8F8"/>
      </bottom>
      <diagonal/>
    </border>
    <border>
      <left/>
      <right style="thin">
        <color rgb="FFE8E8E8"/>
      </right>
      <top style="thin">
        <color rgb="FFD0D0D0"/>
      </top>
      <bottom style="medium">
        <color rgb="FFE8E8E8"/>
      </bottom>
      <diagonal/>
    </border>
    <border>
      <left/>
      <right style="thin">
        <color rgb="FFE8E8E8"/>
      </right>
      <top style="medium">
        <color rgb="FFE8E8E8"/>
      </top>
      <bottom style="medium">
        <color rgb="FFE8E8E8"/>
      </bottom>
      <diagonal/>
    </border>
    <border>
      <left/>
      <right style="thin">
        <color rgb="FFE8E8E8"/>
      </right>
      <top style="medium">
        <color rgb="FFE8E8E8"/>
      </top>
      <bottom style="thin">
        <color rgb="FFD0D0D0"/>
      </bottom>
      <diagonal/>
    </border>
    <border>
      <left/>
      <right style="thin">
        <color rgb="FFE8E8E8"/>
      </right>
      <top style="thin">
        <color rgb="FFD0D0D0"/>
      </top>
      <bottom style="thin">
        <color rgb="FFE8E8E8"/>
      </bottom>
      <diagonal/>
    </border>
    <border>
      <left/>
      <right style="thin">
        <color rgb="FFE8E8E8"/>
      </right>
      <top style="thin">
        <color rgb="FFE8E8E8"/>
      </top>
      <bottom style="thin">
        <color rgb="FFE8E8E8"/>
      </bottom>
      <diagonal/>
    </border>
    <border>
      <left/>
      <right style="thin">
        <color rgb="FFE8E8E8"/>
      </right>
      <top style="thin">
        <color rgb="FFE8E8E8"/>
      </top>
      <bottom style="thin">
        <color rgb="FFD0D0D0"/>
      </bottom>
      <diagonal/>
    </border>
    <border>
      <left/>
      <right style="thin">
        <color rgb="FFE5E7EB"/>
      </right>
      <top style="thin">
        <color auto="1"/>
      </top>
      <bottom style="thin">
        <color rgb="FFE5E7EB"/>
      </bottom>
      <diagonal/>
    </border>
    <border>
      <left/>
      <right style="thin">
        <color rgb="FFE5E7EB"/>
      </right>
      <top style="thin">
        <color rgb="FFE5E7EB"/>
      </top>
      <bottom style="thin">
        <color rgb="FFE5E7EB"/>
      </bottom>
      <diagonal/>
    </border>
    <border>
      <left/>
      <right style="thin">
        <color rgb="FFE5E7EB"/>
      </right>
      <top style="thin">
        <color rgb="FFE5E7EB"/>
      </top>
      <bottom style="thin">
        <color auto="1"/>
      </bottom>
      <diagonal/>
    </border>
    <border>
      <left/>
      <right style="thin">
        <color rgb="FFE0E0E0"/>
      </right>
      <top style="thin">
        <color auto="1"/>
      </top>
      <bottom style="thin">
        <color rgb="FFE0E0E0"/>
      </bottom>
      <diagonal/>
    </border>
    <border>
      <left/>
      <right style="thin">
        <color rgb="FFE0E0E0"/>
      </right>
      <top style="thin">
        <color rgb="FFE0E0E0"/>
      </top>
      <bottom style="thin">
        <color rgb="FFE0E0E0"/>
      </bottom>
      <diagonal/>
    </border>
    <border>
      <left/>
      <right style="thin">
        <color rgb="FFE0E0E0"/>
      </right>
      <top style="thin">
        <color rgb="FFE0E0E0"/>
      </top>
      <bottom style="thin">
        <color auto="1"/>
      </bottom>
      <diagonal/>
    </border>
    <border>
      <left style="thin">
        <color rgb="FFD0D0D0"/>
      </left>
      <right/>
      <top style="thin">
        <color rgb="FFD0D0D0"/>
      </top>
      <bottom style="medium">
        <color rgb="FFE8E8E8"/>
      </bottom>
      <diagonal/>
    </border>
    <border>
      <left style="thin">
        <color rgb="FFD0D0D0"/>
      </left>
      <right/>
      <top style="medium">
        <color rgb="FFE8E8E8"/>
      </top>
      <bottom style="medium">
        <color rgb="FFE8E8E8"/>
      </bottom>
      <diagonal/>
    </border>
    <border>
      <left style="thin">
        <color rgb="FFD0D0D0"/>
      </left>
      <right/>
      <top style="medium">
        <color rgb="FFE8E8E8"/>
      </top>
      <bottom style="thin">
        <color rgb="FFD0D0D0"/>
      </bottom>
      <diagonal/>
    </border>
    <border>
      <left style="thin">
        <color rgb="FFD0D0D0"/>
      </left>
      <right/>
      <top style="thin">
        <color rgb="FFD0D0D0"/>
      </top>
      <bottom style="thin">
        <color rgb="FFE8E8E8"/>
      </bottom>
      <diagonal/>
    </border>
    <border>
      <left style="thin">
        <color rgb="FFD0D0D0"/>
      </left>
      <right/>
      <top style="thin">
        <color rgb="FFE8E8E8"/>
      </top>
      <bottom style="thin">
        <color rgb="FFE8E8E8"/>
      </bottom>
      <diagonal/>
    </border>
    <border>
      <left style="thin">
        <color rgb="FFD0D0D0"/>
      </left>
      <right/>
      <top style="thin">
        <color rgb="FFE8E8E8"/>
      </top>
      <bottom style="thin">
        <color rgb="FFD0D0D0"/>
      </bottom>
      <diagonal/>
    </border>
    <border>
      <left style="thin">
        <color auto="1"/>
      </left>
      <right/>
      <top style="thin">
        <color auto="1"/>
      </top>
      <bottom style="thin">
        <color rgb="FFE5E7EB"/>
      </bottom>
      <diagonal/>
    </border>
    <border>
      <left style="thin">
        <color auto="1"/>
      </left>
      <right/>
      <top style="thin">
        <color rgb="FFE5E7EB"/>
      </top>
      <bottom style="thin">
        <color rgb="FFE5E7EB"/>
      </bottom>
      <diagonal/>
    </border>
    <border>
      <left style="thin">
        <color auto="1"/>
      </left>
      <right/>
      <top style="thin">
        <color rgb="FFE5E7EB"/>
      </top>
      <bottom style="thin">
        <color auto="1"/>
      </bottom>
      <diagonal/>
    </border>
    <border>
      <left/>
      <right/>
      <top style="thin">
        <color rgb="FFB0D4F1"/>
      </top>
      <bottom/>
      <diagonal/>
    </border>
    <border>
      <left/>
      <right/>
      <top style="thin">
        <color rgb="FFB0D4F1"/>
      </top>
      <bottom style="thin">
        <color rgb="FFD4E8F8"/>
      </bottom>
      <diagonal/>
    </border>
    <border>
      <left/>
      <right/>
      <top style="thin">
        <color rgb="FFD4E8F8"/>
      </top>
      <bottom/>
      <diagonal/>
    </border>
    <border>
      <left style="thin"/>
      <right style="thin"/>
      <top style="thin"/>
      <bottom style="thin"/>
    </border>
  </borders>
  <cellStyleXfs count="2">
    <xf numFmtId="0" fontId="0" fillId="0" borderId="0"/>
    <xf numFmtId="0" fontId="67" fillId="0" borderId="0"/>
  </cellStyleXfs>
  <cellXfs count="367">
    <xf numFmtId="0" fontId="0" fillId="0" borderId="0" pivotButton="0" quotePrefix="0" xfId="0"/>
    <xf numFmtId="0" fontId="0" fillId="0" borderId="0" applyAlignment="1" pivotButton="0" quotePrefix="0" xfId="0">
      <alignment vertical="center"/>
    </xf>
    <xf numFmtId="0" fontId="19" fillId="17" borderId="15" applyAlignment="1" pivotButton="0" quotePrefix="0" xfId="0">
      <alignment horizontal="center"/>
    </xf>
    <xf numFmtId="0" fontId="19" fillId="17" borderId="17" applyAlignment="1" pivotButton="0" quotePrefix="0" xfId="0">
      <alignment horizontal="center"/>
    </xf>
    <xf numFmtId="0" fontId="7" fillId="18" borderId="14" pivotButton="0" quotePrefix="0" xfId="0"/>
    <xf numFmtId="0" fontId="7" fillId="8" borderId="14" pivotButton="0" quotePrefix="0" xfId="0"/>
    <xf numFmtId="0" fontId="9" fillId="17" borderId="15" applyAlignment="1" pivotButton="0" quotePrefix="0" xfId="0">
      <alignment horizontal="center"/>
    </xf>
    <xf numFmtId="0" fontId="7" fillId="18" borderId="16" pivotButton="0" quotePrefix="0" xfId="0"/>
    <xf numFmtId="0" fontId="9" fillId="17" borderId="17" applyAlignment="1" pivotButton="0" quotePrefix="0" xfId="0">
      <alignment horizontal="center"/>
    </xf>
    <xf numFmtId="0" fontId="7" fillId="18" borderId="18" pivotButton="0" quotePrefix="0" xfId="0"/>
    <xf numFmtId="0" fontId="7" fillId="8" borderId="18" pivotButton="0" quotePrefix="0" xfId="0"/>
    <xf numFmtId="0" fontId="7" fillId="18" borderId="19" pivotButton="0" quotePrefix="0" xfId="0"/>
    <xf numFmtId="0" fontId="7" fillId="8" borderId="16" pivotButton="0" quotePrefix="0" xfId="0"/>
    <xf numFmtId="0" fontId="7" fillId="8" borderId="19" pivotButton="0" quotePrefix="0" xfId="0"/>
    <xf numFmtId="0" fontId="3" fillId="17" borderId="8" applyAlignment="1" pivotButton="0" quotePrefix="0" xfId="0">
      <alignment horizontal="center"/>
    </xf>
    <xf numFmtId="0" fontId="3" fillId="17" borderId="8" pivotButton="0" quotePrefix="0" xfId="0"/>
    <xf numFmtId="0" fontId="21" fillId="10" borderId="8" pivotButton="0" quotePrefix="0" xfId="0"/>
    <xf numFmtId="0" fontId="9" fillId="22" borderId="16" pivotButton="0" quotePrefix="0" xfId="0"/>
    <xf numFmtId="0" fontId="9" fillId="17" borderId="8" applyAlignment="1" pivotButton="0" quotePrefix="0" xfId="0">
      <alignment horizontal="center"/>
    </xf>
    <xf numFmtId="0" fontId="9" fillId="22" borderId="8" pivotButton="0" quotePrefix="0" xfId="0"/>
    <xf numFmtId="0" fontId="7" fillId="8" borderId="14" applyAlignment="1" pivotButton="0" quotePrefix="0" xfId="0">
      <alignment horizontal="center"/>
    </xf>
    <xf numFmtId="0" fontId="7" fillId="18" borderId="14" applyAlignment="1" pivotButton="0" quotePrefix="0" xfId="0">
      <alignment horizontal="center"/>
    </xf>
    <xf numFmtId="0" fontId="7" fillId="8" borderId="16" applyAlignment="1" pivotButton="0" quotePrefix="0" xfId="0">
      <alignment horizontal="center"/>
    </xf>
    <xf numFmtId="0" fontId="0" fillId="0" borderId="0" applyAlignment="1" pivotButton="0" quotePrefix="0" xfId="0">
      <alignment horizontal="center"/>
    </xf>
    <xf numFmtId="9" fontId="3" fillId="20" borderId="20" applyAlignment="1" pivotButton="0" quotePrefix="0" xfId="0">
      <alignment horizontal="center"/>
    </xf>
    <xf numFmtId="0" fontId="5" fillId="20" borderId="20" applyAlignment="1" pivotButton="0" quotePrefix="0" xfId="0">
      <alignment horizontal="center"/>
    </xf>
    <xf numFmtId="0" fontId="4" fillId="20" borderId="21" pivotButton="0" quotePrefix="0" xfId="0"/>
    <xf numFmtId="0" fontId="7" fillId="22" borderId="8" pivotButton="0" quotePrefix="0" xfId="0"/>
    <xf numFmtId="0" fontId="0" fillId="22" borderId="8" pivotButton="0" quotePrefix="0" xfId="0"/>
    <xf numFmtId="0" fontId="7" fillId="21" borderId="8" pivotButton="0" quotePrefix="0" xfId="0"/>
    <xf numFmtId="0" fontId="0" fillId="21" borderId="8" pivotButton="0" quotePrefix="0" xfId="0"/>
    <xf numFmtId="0" fontId="7" fillId="24" borderId="8" pivotButton="0" quotePrefix="0" xfId="0"/>
    <xf numFmtId="0" fontId="0" fillId="24" borderId="8" pivotButton="0" quotePrefix="0" xfId="0"/>
    <xf numFmtId="0" fontId="7" fillId="25" borderId="8" pivotButton="0" quotePrefix="0" xfId="0"/>
    <xf numFmtId="0" fontId="0" fillId="25" borderId="8" pivotButton="0" quotePrefix="0" xfId="0"/>
    <xf numFmtId="164" fontId="7" fillId="18" borderId="8" pivotButton="0" quotePrefix="0" xfId="0"/>
    <xf numFmtId="164" fontId="7" fillId="8" borderId="8" pivotButton="0" quotePrefix="0" xfId="0"/>
    <xf numFmtId="164" fontId="9" fillId="22" borderId="8" pivotButton="0" quotePrefix="0" xfId="0"/>
    <xf numFmtId="0" fontId="0" fillId="0" borderId="0" applyAlignment="1" pivotButton="0" quotePrefix="0" xfId="0">
      <alignment horizontal="center" vertical="center"/>
    </xf>
    <xf numFmtId="0" fontId="3" fillId="5" borderId="8" applyAlignment="1" pivotButton="0" quotePrefix="0" xfId="0">
      <alignment horizontal="center" vertical="center"/>
    </xf>
    <xf numFmtId="0" fontId="0" fillId="7" borderId="8" applyAlignment="1" pivotButton="0" quotePrefix="0" xfId="0">
      <alignment horizontal="center" vertical="center"/>
    </xf>
    <xf numFmtId="0" fontId="0" fillId="0" borderId="8" applyAlignment="1" pivotButton="0" quotePrefix="0" xfId="0">
      <alignment horizontal="center" vertical="center"/>
    </xf>
    <xf numFmtId="9" fontId="0" fillId="0" borderId="8" applyAlignment="1" pivotButton="0" quotePrefix="0" xfId="0">
      <alignment horizontal="center" vertical="center"/>
    </xf>
    <xf numFmtId="0" fontId="10" fillId="7" borderId="8" applyAlignment="1" pivotButton="0" quotePrefix="0" xfId="0">
      <alignment horizontal="center" vertical="center"/>
    </xf>
    <xf numFmtId="0" fontId="10" fillId="0" borderId="8" applyAlignment="1" pivotButton="0" quotePrefix="0" xfId="0">
      <alignment horizontal="center" vertical="center"/>
    </xf>
    <xf numFmtId="0" fontId="0" fillId="7" borderId="8" applyAlignment="1" pivotButton="0" quotePrefix="0" xfId="0">
      <alignment horizontal="center" vertical="center" wrapText="1"/>
    </xf>
    <xf numFmtId="0" fontId="20" fillId="30" borderId="23" applyAlignment="1" pivotButton="0" quotePrefix="0" xfId="0">
      <alignment horizontal="center"/>
    </xf>
    <xf numFmtId="0" fontId="20" fillId="30" borderId="24" applyAlignment="1" pivotButton="0" quotePrefix="0" xfId="0">
      <alignment horizontal="center"/>
    </xf>
    <xf numFmtId="0" fontId="7" fillId="8" borderId="25" applyAlignment="1" pivotButton="0" quotePrefix="0" xfId="0">
      <alignment horizontal="center"/>
    </xf>
    <xf numFmtId="0" fontId="7" fillId="8" borderId="26" applyAlignment="1" pivotButton="0" quotePrefix="0" xfId="0">
      <alignment horizontal="center"/>
    </xf>
    <xf numFmtId="0" fontId="7" fillId="29" borderId="25" applyAlignment="1" pivotButton="0" quotePrefix="0" xfId="0">
      <alignment horizontal="center"/>
    </xf>
    <xf numFmtId="0" fontId="7" fillId="29" borderId="26" applyAlignment="1" pivotButton="0" quotePrefix="0" xfId="0">
      <alignment horizontal="center"/>
    </xf>
    <xf numFmtId="0" fontId="7" fillId="8" borderId="27" applyAlignment="1" pivotButton="0" quotePrefix="0" xfId="0">
      <alignment horizontal="center"/>
    </xf>
    <xf numFmtId="0" fontId="7" fillId="8" borderId="28" applyAlignment="1" pivotButton="0" quotePrefix="0" xfId="0">
      <alignment horizontal="center"/>
    </xf>
    <xf numFmtId="0" fontId="0" fillId="0" borderId="8" applyAlignment="1" pivotButton="0" quotePrefix="0" xfId="0">
      <alignment horizontal="center" vertical="center" wrapText="1"/>
    </xf>
    <xf numFmtId="0" fontId="20" fillId="30" borderId="29" applyAlignment="1" pivotButton="0" quotePrefix="0" xfId="0">
      <alignment horizontal="center"/>
    </xf>
    <xf numFmtId="0" fontId="20" fillId="30" borderId="30" applyAlignment="1" pivotButton="0" quotePrefix="0" xfId="0">
      <alignment horizontal="center"/>
    </xf>
    <xf numFmtId="0" fontId="0" fillId="11" borderId="31" pivotButton="0" quotePrefix="0" xfId="0"/>
    <xf numFmtId="0" fontId="0" fillId="11" borderId="32" pivotButton="0" quotePrefix="0" xfId="0"/>
    <xf numFmtId="0" fontId="0" fillId="9" borderId="31" pivotButton="0" quotePrefix="0" xfId="0"/>
    <xf numFmtId="0" fontId="0" fillId="9" borderId="32" pivotButton="0" quotePrefix="0" xfId="0"/>
    <xf numFmtId="0" fontId="0" fillId="13" borderId="31" pivotButton="0" quotePrefix="0" xfId="0"/>
    <xf numFmtId="0" fontId="0" fillId="13" borderId="32" pivotButton="0" quotePrefix="0" xfId="0"/>
    <xf numFmtId="0" fontId="0" fillId="31" borderId="33" pivotButton="0" quotePrefix="0" xfId="0"/>
    <xf numFmtId="0" fontId="0" fillId="31" borderId="34" pivotButton="0" quotePrefix="0" xfId="0"/>
    <xf numFmtId="0" fontId="38" fillId="8" borderId="32" pivotButton="0" quotePrefix="0" xfId="0"/>
    <xf numFmtId="0" fontId="38" fillId="29" borderId="32" pivotButton="0" quotePrefix="0" xfId="0"/>
    <xf numFmtId="0" fontId="38" fillId="8" borderId="34" pivotButton="0" quotePrefix="0" xfId="0"/>
    <xf numFmtId="0" fontId="20" fillId="6" borderId="36" pivotButton="0" quotePrefix="0" xfId="0"/>
    <xf numFmtId="0" fontId="20" fillId="6" borderId="37" pivotButton="0" quotePrefix="0" xfId="0"/>
    <xf numFmtId="0" fontId="20" fillId="6" borderId="38" pivotButton="0" quotePrefix="0" xfId="0"/>
    <xf numFmtId="0" fontId="7" fillId="22" borderId="8" applyAlignment="1" pivotButton="0" quotePrefix="0" xfId="0">
      <alignment wrapText="1"/>
    </xf>
    <xf numFmtId="0" fontId="7" fillId="21" borderId="8" applyAlignment="1" pivotButton="0" quotePrefix="0" xfId="0">
      <alignment wrapText="1"/>
    </xf>
    <xf numFmtId="0" fontId="7" fillId="24" borderId="8" applyAlignment="1" pivotButton="0" quotePrefix="0" xfId="0">
      <alignment wrapText="1"/>
    </xf>
    <xf numFmtId="0" fontId="7" fillId="25" borderId="8" applyAlignment="1" pivotButton="0" quotePrefix="0" xfId="0">
      <alignment wrapText="1"/>
    </xf>
    <xf numFmtId="0" fontId="3" fillId="5" borderId="0" applyAlignment="1" pivotButton="0" quotePrefix="0" xfId="0">
      <alignment horizontal="center"/>
    </xf>
    <xf numFmtId="0" fontId="3" fillId="33" borderId="0" pivotButton="0" quotePrefix="0" xfId="0"/>
    <xf numFmtId="0" fontId="3" fillId="33" borderId="0" applyAlignment="1" pivotButton="0" quotePrefix="0" xfId="0">
      <alignment horizontal="center"/>
    </xf>
    <xf numFmtId="9" fontId="3" fillId="33" borderId="0" applyAlignment="1" pivotButton="0" quotePrefix="0" xfId="0">
      <alignment horizontal="center"/>
    </xf>
    <xf numFmtId="0" fontId="3" fillId="0" borderId="1" pivotButton="0" quotePrefix="0" xfId="0"/>
    <xf numFmtId="0" fontId="3" fillId="5" borderId="2" applyAlignment="1" pivotButton="0" quotePrefix="0" xfId="0">
      <alignment horizontal="center"/>
    </xf>
    <xf numFmtId="0" fontId="3" fillId="5" borderId="3" applyAlignment="1" pivotButton="0" quotePrefix="0" xfId="0">
      <alignment horizontal="center"/>
    </xf>
    <xf numFmtId="0" fontId="3" fillId="5" borderId="9" applyAlignment="1" pivotButton="0" quotePrefix="0" xfId="0">
      <alignment horizontal="center"/>
    </xf>
    <xf numFmtId="0" fontId="3" fillId="33" borderId="7" pivotButton="0" quotePrefix="0" xfId="0"/>
    <xf numFmtId="0" fontId="3" fillId="33" borderId="5" applyAlignment="1" pivotButton="0" quotePrefix="0" xfId="0">
      <alignment horizontal="center"/>
    </xf>
    <xf numFmtId="9" fontId="3" fillId="33" borderId="5" applyAlignment="1" pivotButton="0" quotePrefix="0" xfId="0">
      <alignment horizontal="center"/>
    </xf>
    <xf numFmtId="0" fontId="3" fillId="33" borderId="5" pivotButton="0" quotePrefix="0" xfId="0"/>
    <xf numFmtId="0" fontId="3" fillId="33" borderId="11" pivotButton="0" quotePrefix="0" xfId="0"/>
    <xf numFmtId="0" fontId="0" fillId="0" borderId="0" applyAlignment="1" pivotButton="0" quotePrefix="0" xfId="0">
      <alignment horizontal="left"/>
    </xf>
    <xf numFmtId="0" fontId="4" fillId="6" borderId="0" applyAlignment="1" pivotButton="0" quotePrefix="0" xfId="0">
      <alignment horizontal="center"/>
    </xf>
    <xf numFmtId="0" fontId="45" fillId="0" borderId="0" pivotButton="0" quotePrefix="0" xfId="0"/>
    <xf numFmtId="0" fontId="4" fillId="11" borderId="0" applyAlignment="1" pivotButton="0" quotePrefix="0" xfId="0">
      <alignment horizontal="center"/>
    </xf>
    <xf numFmtId="0" fontId="3" fillId="11" borderId="0" applyAlignment="1" pivotButton="0" quotePrefix="0" xfId="0">
      <alignment horizontal="center"/>
    </xf>
    <xf numFmtId="0" fontId="47" fillId="11" borderId="0" pivotButton="0" quotePrefix="0" xfId="0"/>
    <xf numFmtId="0" fontId="49" fillId="0" borderId="0" applyAlignment="1" pivotButton="0" quotePrefix="0" xfId="0">
      <alignment horizontal="center"/>
    </xf>
    <xf numFmtId="0" fontId="51" fillId="0" borderId="0" applyAlignment="1" pivotButton="0" quotePrefix="0" xfId="0">
      <alignment horizontal="center"/>
    </xf>
    <xf numFmtId="0" fontId="53" fillId="0" borderId="0" applyAlignment="1" pivotButton="0" quotePrefix="0" xfId="0">
      <alignment horizontal="center"/>
    </xf>
    <xf numFmtId="0" fontId="55" fillId="0" borderId="0" applyAlignment="1" pivotButton="0" quotePrefix="0" xfId="0">
      <alignment horizontal="center"/>
    </xf>
    <xf numFmtId="0" fontId="54" fillId="0" borderId="0" applyAlignment="1" pivotButton="0" quotePrefix="0" xfId="0">
      <alignment horizontal="center"/>
    </xf>
    <xf numFmtId="0" fontId="0" fillId="7" borderId="0" applyAlignment="1" pivotButton="0" quotePrefix="0" xfId="0">
      <alignment horizontal="left"/>
    </xf>
    <xf numFmtId="0" fontId="0" fillId="7" borderId="0" applyAlignment="1" pivotButton="0" quotePrefix="0" xfId="0">
      <alignment horizontal="center"/>
    </xf>
    <xf numFmtId="0" fontId="57" fillId="5" borderId="13" applyAlignment="1" pivotButton="0" quotePrefix="0" xfId="0">
      <alignment horizontal="center"/>
    </xf>
    <xf numFmtId="0" fontId="0" fillId="10" borderId="8" applyAlignment="1" applyProtection="1" pivotButton="0" quotePrefix="0" xfId="0">
      <alignment horizontal="center" vertical="center"/>
      <protection locked="0" hidden="0"/>
    </xf>
    <xf numFmtId="0" fontId="0" fillId="0" borderId="8" applyAlignment="1" applyProtection="1" pivotButton="0" quotePrefix="0" xfId="0">
      <alignment horizontal="center" vertical="center"/>
      <protection locked="0" hidden="0"/>
    </xf>
    <xf numFmtId="0" fontId="0" fillId="7" borderId="8" applyAlignment="1" applyProtection="1" pivotButton="0" quotePrefix="0" xfId="0">
      <alignment horizontal="center" vertical="center"/>
      <protection locked="0" hidden="0"/>
    </xf>
    <xf numFmtId="0" fontId="0" fillId="8" borderId="14" applyProtection="1" pivotButton="0" quotePrefix="0" xfId="0">
      <protection locked="0" hidden="0"/>
    </xf>
    <xf numFmtId="0" fontId="0" fillId="8" borderId="18" applyProtection="1" pivotButton="0" quotePrefix="0" xfId="0">
      <protection locked="0" hidden="0"/>
    </xf>
    <xf numFmtId="0" fontId="0" fillId="18" borderId="14" applyProtection="1" pivotButton="0" quotePrefix="0" xfId="0">
      <protection locked="0" hidden="0"/>
    </xf>
    <xf numFmtId="0" fontId="0" fillId="18" borderId="18" applyProtection="1" pivotButton="0" quotePrefix="0" xfId="0">
      <protection locked="0" hidden="0"/>
    </xf>
    <xf numFmtId="0" fontId="0" fillId="8" borderId="16" applyProtection="1" pivotButton="0" quotePrefix="0" xfId="0">
      <protection locked="0" hidden="0"/>
    </xf>
    <xf numFmtId="0" fontId="0" fillId="8" borderId="19" applyProtection="1" pivotButton="0" quotePrefix="0" xfId="0">
      <protection locked="0" hidden="0"/>
    </xf>
    <xf numFmtId="0" fontId="0" fillId="0" borderId="0" applyProtection="1" pivotButton="0" quotePrefix="0" xfId="0">
      <protection locked="0" hidden="0"/>
    </xf>
    <xf numFmtId="0" fontId="0" fillId="10" borderId="0" applyAlignment="1" applyProtection="1" pivotButton="0" quotePrefix="0" xfId="0">
      <alignment horizontal="center"/>
      <protection locked="0" hidden="0"/>
    </xf>
    <xf numFmtId="0" fontId="0" fillId="10" borderId="10" applyProtection="1" pivotButton="0" quotePrefix="0" xfId="0">
      <protection locked="0" hidden="0"/>
    </xf>
    <xf numFmtId="0" fontId="0" fillId="10" borderId="0" applyProtection="1" pivotButton="0" quotePrefix="0" xfId="0">
      <protection locked="0" hidden="0"/>
    </xf>
    <xf numFmtId="0" fontId="52" fillId="0" borderId="0" applyAlignment="1" applyProtection="1" pivotButton="0" quotePrefix="0" xfId="0">
      <alignment horizontal="center"/>
      <protection locked="0" hidden="0"/>
    </xf>
    <xf numFmtId="0" fontId="50" fillId="0" borderId="0" applyAlignment="1" applyProtection="1" pivotButton="0" quotePrefix="0" xfId="0">
      <alignment horizontal="center"/>
      <protection locked="0" hidden="0"/>
    </xf>
    <xf numFmtId="0" fontId="48" fillId="0" borderId="0" applyAlignment="1" applyProtection="1" pivotButton="0" quotePrefix="0" xfId="0">
      <alignment horizontal="center"/>
      <protection locked="0" hidden="0"/>
    </xf>
    <xf numFmtId="164" fontId="7" fillId="8" borderId="14" applyProtection="1" pivotButton="0" quotePrefix="0" xfId="0">
      <protection locked="0" hidden="0"/>
    </xf>
    <xf numFmtId="164" fontId="7" fillId="18" borderId="14" applyProtection="1" pivotButton="0" quotePrefix="0" xfId="0">
      <protection locked="0" hidden="0"/>
    </xf>
    <xf numFmtId="164" fontId="9" fillId="21" borderId="14" applyProtection="1" pivotButton="0" quotePrefix="0" xfId="0">
      <protection locked="0" hidden="0"/>
    </xf>
    <xf numFmtId="164" fontId="9" fillId="22" borderId="14" applyProtection="1" pivotButton="0" quotePrefix="0" xfId="0">
      <protection locked="0" hidden="0"/>
    </xf>
    <xf numFmtId="164" fontId="9" fillId="17" borderId="14" applyProtection="1" pivotButton="0" quotePrefix="0" xfId="0">
      <protection locked="0" hidden="0"/>
    </xf>
    <xf numFmtId="164" fontId="9" fillId="23" borderId="14" applyProtection="1" pivotButton="0" quotePrefix="0" xfId="0">
      <protection locked="0" hidden="0"/>
    </xf>
    <xf numFmtId="0" fontId="7" fillId="8" borderId="14" applyProtection="1" pivotButton="0" quotePrefix="0" xfId="0">
      <protection locked="0" hidden="0"/>
    </xf>
    <xf numFmtId="0" fontId="7" fillId="18" borderId="14" applyProtection="1" pivotButton="0" quotePrefix="0" xfId="0">
      <protection locked="0" hidden="0"/>
    </xf>
    <xf numFmtId="0" fontId="7" fillId="8" borderId="16" applyProtection="1" pivotButton="0" quotePrefix="0" xfId="0">
      <protection locked="0" hidden="0"/>
    </xf>
    <xf numFmtId="0" fontId="7" fillId="8" borderId="18" applyProtection="1" pivotButton="0" quotePrefix="0" xfId="0">
      <protection locked="0" hidden="0"/>
    </xf>
    <xf numFmtId="0" fontId="7" fillId="18" borderId="18" applyProtection="1" pivotButton="0" quotePrefix="0" xfId="0">
      <protection locked="0" hidden="0"/>
    </xf>
    <xf numFmtId="0" fontId="9" fillId="21" borderId="14" applyProtection="1" pivotButton="0" quotePrefix="0" xfId="0">
      <protection locked="0" hidden="0"/>
    </xf>
    <xf numFmtId="0" fontId="9" fillId="21" borderId="18" applyProtection="1" pivotButton="0" quotePrefix="0" xfId="0">
      <protection locked="0" hidden="0"/>
    </xf>
    <xf numFmtId="0" fontId="9" fillId="22" borderId="14" applyProtection="1" pivotButton="0" quotePrefix="0" xfId="0">
      <protection locked="0" hidden="0"/>
    </xf>
    <xf numFmtId="0" fontId="9" fillId="22" borderId="18" applyProtection="1" pivotButton="0" quotePrefix="0" xfId="0">
      <protection locked="0" hidden="0"/>
    </xf>
    <xf numFmtId="0" fontId="9" fillId="17" borderId="14" applyProtection="1" pivotButton="0" quotePrefix="0" xfId="0">
      <protection locked="0" hidden="0"/>
    </xf>
    <xf numFmtId="0" fontId="9" fillId="17" borderId="18" applyProtection="1" pivotButton="0" quotePrefix="0" xfId="0">
      <protection locked="0" hidden="0"/>
    </xf>
    <xf numFmtId="0" fontId="9" fillId="23" borderId="14" applyProtection="1" pivotButton="0" quotePrefix="0" xfId="0">
      <protection locked="0" hidden="0"/>
    </xf>
    <xf numFmtId="0" fontId="9" fillId="23" borderId="18" applyProtection="1" pivotButton="0" quotePrefix="0" xfId="0">
      <protection locked="0" hidden="0"/>
    </xf>
    <xf numFmtId="0" fontId="7" fillId="8" borderId="19" applyProtection="1" pivotButton="0" quotePrefix="0" xfId="0">
      <protection locked="0" hidden="0"/>
    </xf>
    <xf numFmtId="0" fontId="21" fillId="10" borderId="8" applyProtection="1" pivotButton="0" quotePrefix="0" xfId="0">
      <protection locked="0" hidden="0"/>
    </xf>
    <xf numFmtId="164" fontId="9" fillId="22" borderId="16" applyProtection="1" pivotButton="0" quotePrefix="0" xfId="0">
      <protection locked="0" hidden="0"/>
    </xf>
    <xf numFmtId="0" fontId="9" fillId="22" borderId="19" applyProtection="1" pivotButton="0" quotePrefix="0" xfId="0">
      <protection locked="0" hidden="0"/>
    </xf>
    <xf numFmtId="0" fontId="7" fillId="18" borderId="8" applyProtection="1" pivotButton="0" quotePrefix="0" xfId="0">
      <protection locked="0" hidden="0"/>
    </xf>
    <xf numFmtId="0" fontId="7" fillId="8" borderId="8" applyProtection="1" pivotButton="0" quotePrefix="0" xfId="0">
      <protection locked="0" hidden="0"/>
    </xf>
    <xf numFmtId="164" fontId="21" fillId="10" borderId="8" applyProtection="1" pivotButton="0" quotePrefix="0" xfId="0">
      <protection locked="0" hidden="0"/>
    </xf>
    <xf numFmtId="0" fontId="7" fillId="10" borderId="14" applyAlignment="1" applyProtection="1" pivotButton="0" quotePrefix="0" xfId="0">
      <alignment horizontal="center"/>
      <protection locked="0" hidden="0"/>
    </xf>
    <xf numFmtId="0" fontId="7" fillId="10" borderId="16" applyAlignment="1" applyProtection="1" pivotButton="0" quotePrefix="0" xfId="0">
      <alignment horizontal="center"/>
      <protection locked="0" hidden="0"/>
    </xf>
    <xf numFmtId="0" fontId="3" fillId="20" borderId="20" applyAlignment="1" applyProtection="1" pivotButton="0" quotePrefix="0" xfId="0">
      <alignment horizontal="center"/>
      <protection locked="0" hidden="0"/>
    </xf>
    <xf numFmtId="0" fontId="3" fillId="20" borderId="20" applyProtection="1" pivotButton="0" quotePrefix="0" xfId="0">
      <protection locked="0" hidden="0"/>
    </xf>
    <xf numFmtId="0" fontId="22" fillId="20" borderId="22" applyProtection="1" pivotButton="0" quotePrefix="0" xfId="0">
      <protection locked="0" hidden="0"/>
    </xf>
    <xf numFmtId="0" fontId="3" fillId="5" borderId="6" pivotButton="0" quotePrefix="0" xfId="0"/>
    <xf numFmtId="0" fontId="3" fillId="5" borderId="40" pivotButton="0" quotePrefix="0" xfId="0"/>
    <xf numFmtId="0" fontId="0" fillId="0" borderId="41" pivotButton="0" quotePrefix="0" xfId="0"/>
    <xf numFmtId="0" fontId="0" fillId="10" borderId="42" pivotButton="0" quotePrefix="0" xfId="0"/>
    <xf numFmtId="0" fontId="3" fillId="5" borderId="43" pivotButton="0" quotePrefix="0" xfId="0"/>
    <xf numFmtId="0" fontId="3" fillId="5" borderId="44" pivotButton="0" quotePrefix="0" xfId="0"/>
    <xf numFmtId="0" fontId="0" fillId="0" borderId="45" pivotButton="0" quotePrefix="0" xfId="0"/>
    <xf numFmtId="0" fontId="0" fillId="0" borderId="46" pivotButton="0" quotePrefix="0" xfId="0"/>
    <xf numFmtId="0" fontId="0" fillId="10" borderId="47" pivotButton="0" quotePrefix="0" xfId="0"/>
    <xf numFmtId="0" fontId="0" fillId="10" borderId="48" pivotButton="0" quotePrefix="0" xfId="0"/>
    <xf numFmtId="0" fontId="3" fillId="37" borderId="42" pivotButton="0" quotePrefix="0" xfId="0"/>
    <xf numFmtId="0" fontId="3" fillId="37" borderId="47" pivotButton="0" quotePrefix="0" xfId="0"/>
    <xf numFmtId="9" fontId="3" fillId="37" borderId="47" pivotButton="0" quotePrefix="0" xfId="0"/>
    <xf numFmtId="0" fontId="3" fillId="37" borderId="48" pivotButton="0" quotePrefix="0" xfId="0"/>
    <xf numFmtId="0" fontId="3" fillId="5" borderId="8" pivotButton="0" quotePrefix="0" xfId="0"/>
    <xf numFmtId="0" fontId="0" fillId="39" borderId="8" pivotButton="0" quotePrefix="0" xfId="0"/>
    <xf numFmtId="0" fontId="0" fillId="8" borderId="8" pivotButton="0" quotePrefix="0" xfId="0"/>
    <xf numFmtId="0" fontId="65" fillId="39" borderId="8" pivotButton="0" quotePrefix="0" xfId="0"/>
    <xf numFmtId="0" fontId="65" fillId="8" borderId="8" pivotButton="0" quotePrefix="0" xfId="0"/>
    <xf numFmtId="0" fontId="20" fillId="30" borderId="50" applyAlignment="1" pivotButton="0" quotePrefix="0" xfId="0">
      <alignment horizontal="center"/>
    </xf>
    <xf numFmtId="0" fontId="0" fillId="8" borderId="51" applyAlignment="1" pivotButton="0" quotePrefix="0" xfId="0">
      <alignment wrapText="1"/>
    </xf>
    <xf numFmtId="0" fontId="0" fillId="29" borderId="51" applyAlignment="1" pivotButton="0" quotePrefix="0" xfId="0">
      <alignment wrapText="1"/>
    </xf>
    <xf numFmtId="0" fontId="0" fillId="8" borderId="52" applyAlignment="1" pivotButton="0" quotePrefix="0" xfId="0">
      <alignment wrapText="1"/>
    </xf>
    <xf numFmtId="0" fontId="20" fillId="30" borderId="53" applyAlignment="1" pivotButton="0" quotePrefix="0" xfId="0">
      <alignment horizontal="center"/>
    </xf>
    <xf numFmtId="0" fontId="34" fillId="11" borderId="54" applyAlignment="1" pivotButton="0" quotePrefix="0" xfId="0">
      <alignment horizontal="center"/>
    </xf>
    <xf numFmtId="0" fontId="35" fillId="9" borderId="54" applyAlignment="1" pivotButton="0" quotePrefix="0" xfId="0">
      <alignment horizontal="center"/>
    </xf>
    <xf numFmtId="0" fontId="36" fillId="13" borderId="54" applyAlignment="1" pivotButton="0" quotePrefix="0" xfId="0">
      <alignment horizontal="center"/>
    </xf>
    <xf numFmtId="0" fontId="37" fillId="31" borderId="55" applyAlignment="1" pivotButton="0" quotePrefix="0" xfId="0">
      <alignment horizontal="center"/>
    </xf>
    <xf numFmtId="0" fontId="0" fillId="8" borderId="54" pivotButton="0" quotePrefix="0" xfId="0"/>
    <xf numFmtId="0" fontId="0" fillId="29" borderId="54" pivotButton="0" quotePrefix="0" xfId="0"/>
    <xf numFmtId="0" fontId="0" fillId="8" borderId="55" pivotButton="0" quotePrefix="0" xfId="0"/>
    <xf numFmtId="0" fontId="3" fillId="5" borderId="12" applyAlignment="1" pivotButton="0" quotePrefix="0" xfId="0">
      <alignment vertical="center"/>
    </xf>
    <xf numFmtId="0" fontId="0" fillId="7" borderId="12" applyAlignment="1" pivotButton="0" quotePrefix="0" xfId="0">
      <alignment vertical="center"/>
    </xf>
    <xf numFmtId="0" fontId="0" fillId="0" borderId="12" applyAlignment="1" pivotButton="0" quotePrefix="0" xfId="0">
      <alignment vertical="center"/>
    </xf>
    <xf numFmtId="9" fontId="0" fillId="0" borderId="12" applyAlignment="1" pivotButton="0" quotePrefix="0" xfId="0">
      <alignment vertical="center"/>
    </xf>
    <xf numFmtId="0" fontId="0" fillId="10" borderId="12" applyAlignment="1" applyProtection="1" pivotButton="0" quotePrefix="0" xfId="0">
      <alignment vertical="center"/>
      <protection locked="0" hidden="0"/>
    </xf>
    <xf numFmtId="0" fontId="19" fillId="17" borderId="56" applyAlignment="1" pivotButton="0" quotePrefix="0" xfId="0">
      <alignment horizontal="center"/>
    </xf>
    <xf numFmtId="0" fontId="0" fillId="8" borderId="57" applyProtection="1" pivotButton="0" quotePrefix="0" xfId="0">
      <protection locked="0" hidden="0"/>
    </xf>
    <xf numFmtId="0" fontId="0" fillId="18" borderId="57" applyProtection="1" pivotButton="0" quotePrefix="0" xfId="0">
      <protection locked="0" hidden="0"/>
    </xf>
    <xf numFmtId="0" fontId="0" fillId="8" borderId="58" applyProtection="1" pivotButton="0" quotePrefix="0" xfId="0">
      <protection locked="0" hidden="0"/>
    </xf>
    <xf numFmtId="0" fontId="9" fillId="17" borderId="56" applyAlignment="1" pivotButton="0" quotePrefix="0" xfId="0">
      <alignment horizontal="center"/>
    </xf>
    <xf numFmtId="0" fontId="7" fillId="18" borderId="57" pivotButton="0" quotePrefix="0" xfId="0"/>
    <xf numFmtId="0" fontId="7" fillId="8" borderId="57" pivotButton="0" quotePrefix="0" xfId="0"/>
    <xf numFmtId="0" fontId="7" fillId="18" borderId="58" pivotButton="0" quotePrefix="0" xfId="0"/>
    <xf numFmtId="0" fontId="7" fillId="8" borderId="58" pivotButton="0" quotePrefix="0" xfId="0"/>
    <xf numFmtId="164" fontId="7" fillId="8" borderId="57" applyProtection="1" pivotButton="0" quotePrefix="0" xfId="0">
      <protection locked="0" hidden="0"/>
    </xf>
    <xf numFmtId="164" fontId="7" fillId="18" borderId="57" applyProtection="1" pivotButton="0" quotePrefix="0" xfId="0">
      <protection locked="0" hidden="0"/>
    </xf>
    <xf numFmtId="164" fontId="9" fillId="21" borderId="57" applyProtection="1" pivotButton="0" quotePrefix="0" xfId="0">
      <protection locked="0" hidden="0"/>
    </xf>
    <xf numFmtId="164" fontId="9" fillId="22" borderId="57" applyProtection="1" pivotButton="0" quotePrefix="0" xfId="0">
      <protection locked="0" hidden="0"/>
    </xf>
    <xf numFmtId="164" fontId="9" fillId="17" borderId="57" applyProtection="1" pivotButton="0" quotePrefix="0" xfId="0">
      <protection locked="0" hidden="0"/>
    </xf>
    <xf numFmtId="164" fontId="9" fillId="23" borderId="57" applyProtection="1" pivotButton="0" quotePrefix="0" xfId="0">
      <protection locked="0" hidden="0"/>
    </xf>
    <xf numFmtId="0" fontId="7" fillId="8" borderId="57" applyProtection="1" pivotButton="0" quotePrefix="0" xfId="0">
      <protection locked="0" hidden="0"/>
    </xf>
    <xf numFmtId="0" fontId="7" fillId="18" borderId="57" applyProtection="1" pivotButton="0" quotePrefix="0" xfId="0">
      <protection locked="0" hidden="0"/>
    </xf>
    <xf numFmtId="0" fontId="7" fillId="8" borderId="58" applyProtection="1" pivotButton="0" quotePrefix="0" xfId="0">
      <protection locked="0" hidden="0"/>
    </xf>
    <xf numFmtId="0" fontId="3" fillId="17" borderId="12" applyAlignment="1" pivotButton="0" quotePrefix="0" xfId="0">
      <alignment horizontal="center"/>
    </xf>
    <xf numFmtId="0" fontId="21" fillId="10" borderId="12" applyProtection="1" pivotButton="0" quotePrefix="0" xfId="0">
      <protection locked="0" hidden="0"/>
    </xf>
    <xf numFmtId="164" fontId="9" fillId="22" borderId="58" applyProtection="1" pivotButton="0" quotePrefix="0" xfId="0">
      <protection locked="0" hidden="0"/>
    </xf>
    <xf numFmtId="0" fontId="9" fillId="17" borderId="12" applyAlignment="1" pivotButton="0" quotePrefix="0" xfId="0">
      <alignment horizontal="center"/>
    </xf>
    <xf numFmtId="0" fontId="7" fillId="18" borderId="12" applyProtection="1" pivotButton="0" quotePrefix="0" xfId="0">
      <protection locked="0" hidden="0"/>
    </xf>
    <xf numFmtId="0" fontId="7" fillId="8" borderId="12" applyProtection="1" pivotButton="0" quotePrefix="0" xfId="0">
      <protection locked="0" hidden="0"/>
    </xf>
    <xf numFmtId="0" fontId="9" fillId="22" borderId="12" pivotButton="0" quotePrefix="0" xfId="0"/>
    <xf numFmtId="164" fontId="21" fillId="10" borderId="12" applyProtection="1" pivotButton="0" quotePrefix="0" xfId="0">
      <protection locked="0" hidden="0"/>
    </xf>
    <xf numFmtId="0" fontId="7" fillId="8" borderId="57" applyAlignment="1" pivotButton="0" quotePrefix="0" xfId="0">
      <alignment wrapText="1"/>
    </xf>
    <xf numFmtId="9" fontId="7" fillId="8" borderId="57" applyAlignment="1" pivotButton="0" quotePrefix="0" xfId="0">
      <alignment horizontal="center"/>
    </xf>
    <xf numFmtId="9" fontId="7" fillId="18" borderId="57" applyAlignment="1" pivotButton="0" quotePrefix="0" xfId="0">
      <alignment horizontal="center"/>
    </xf>
    <xf numFmtId="9" fontId="7" fillId="8" borderId="58" applyAlignment="1" pivotButton="0" quotePrefix="0" xfId="0">
      <alignment horizontal="center"/>
    </xf>
    <xf numFmtId="0" fontId="7" fillId="22" borderId="12" applyAlignment="1" pivotButton="0" quotePrefix="0" xfId="0">
      <alignment horizontal="center"/>
    </xf>
    <xf numFmtId="0" fontId="7" fillId="21" borderId="12" applyAlignment="1" pivotButton="0" quotePrefix="0" xfId="0">
      <alignment horizontal="center"/>
    </xf>
    <xf numFmtId="0" fontId="7" fillId="24" borderId="12" applyAlignment="1" pivotButton="0" quotePrefix="0" xfId="0">
      <alignment horizontal="center"/>
    </xf>
    <xf numFmtId="0" fontId="7" fillId="25" borderId="12" applyAlignment="1" pivotButton="0" quotePrefix="0" xfId="0">
      <alignment horizontal="center"/>
    </xf>
    <xf numFmtId="0" fontId="20" fillId="30" borderId="62" applyAlignment="1" pivotButton="0" quotePrefix="0" xfId="0">
      <alignment horizontal="center"/>
    </xf>
    <xf numFmtId="0" fontId="33" fillId="8" borderId="63" applyAlignment="1" pivotButton="0" quotePrefix="0" xfId="0">
      <alignment horizontal="center"/>
    </xf>
    <xf numFmtId="0" fontId="33" fillId="29" borderId="63" applyAlignment="1" pivotButton="0" quotePrefix="0" xfId="0">
      <alignment horizontal="center"/>
    </xf>
    <xf numFmtId="0" fontId="33" fillId="8" borderId="64" applyAlignment="1" pivotButton="0" quotePrefix="0" xfId="0">
      <alignment horizontal="center"/>
    </xf>
    <xf numFmtId="0" fontId="20" fillId="30" borderId="65" applyAlignment="1" pivotButton="0" quotePrefix="0" xfId="0">
      <alignment horizontal="center"/>
    </xf>
    <xf numFmtId="0" fontId="0" fillId="11" borderId="66" applyAlignment="1" pivotButton="0" quotePrefix="0" xfId="0">
      <alignment horizontal="center"/>
    </xf>
    <xf numFmtId="0" fontId="0" fillId="9" borderId="66" applyAlignment="1" pivotButton="0" quotePrefix="0" xfId="0">
      <alignment horizontal="center"/>
    </xf>
    <xf numFmtId="0" fontId="0" fillId="13" borderId="66" applyAlignment="1" pivotButton="0" quotePrefix="0" xfId="0">
      <alignment horizontal="center"/>
    </xf>
    <xf numFmtId="0" fontId="0" fillId="31" borderId="67" applyAlignment="1" pivotButton="0" quotePrefix="0" xfId="0">
      <alignment horizontal="center"/>
    </xf>
    <xf numFmtId="0" fontId="20" fillId="8" borderId="66" pivotButton="0" quotePrefix="0" xfId="0"/>
    <xf numFmtId="0" fontId="20" fillId="29" borderId="66" pivotButton="0" quotePrefix="0" xfId="0"/>
    <xf numFmtId="0" fontId="20" fillId="8" borderId="67" pivotButton="0" quotePrefix="0" xfId="0"/>
    <xf numFmtId="0" fontId="3" fillId="5" borderId="6" applyAlignment="1" pivotButton="0" quotePrefix="0" xfId="0">
      <alignment vertical="center"/>
    </xf>
    <xf numFmtId="0" fontId="0" fillId="7" borderId="6" applyAlignment="1" pivotButton="0" quotePrefix="0" xfId="0">
      <alignment vertical="center"/>
    </xf>
    <xf numFmtId="0" fontId="0" fillId="0" borderId="6" applyAlignment="1" pivotButton="0" quotePrefix="0" xfId="0">
      <alignment vertical="center"/>
    </xf>
    <xf numFmtId="0" fontId="0" fillId="8" borderId="0" pivotButton="0" quotePrefix="0" xfId="0"/>
    <xf numFmtId="0" fontId="19" fillId="17" borderId="68" applyAlignment="1" pivotButton="0" quotePrefix="0" xfId="0">
      <alignment horizontal="center"/>
    </xf>
    <xf numFmtId="0" fontId="0" fillId="8" borderId="69" applyProtection="1" pivotButton="0" quotePrefix="0" xfId="0">
      <protection locked="0" hidden="0"/>
    </xf>
    <xf numFmtId="0" fontId="0" fillId="18" borderId="69" applyProtection="1" pivotButton="0" quotePrefix="0" xfId="0">
      <protection locked="0" hidden="0"/>
    </xf>
    <xf numFmtId="0" fontId="0" fillId="8" borderId="70" applyProtection="1" pivotButton="0" quotePrefix="0" xfId="0">
      <protection locked="0" hidden="0"/>
    </xf>
    <xf numFmtId="0" fontId="9" fillId="17" borderId="68" applyAlignment="1" pivotButton="0" quotePrefix="0" xfId="0">
      <alignment horizontal="center"/>
    </xf>
    <xf numFmtId="0" fontId="7" fillId="18" borderId="69" pivotButton="0" quotePrefix="0" xfId="0"/>
    <xf numFmtId="0" fontId="7" fillId="8" borderId="69" pivotButton="0" quotePrefix="0" xfId="0"/>
    <xf numFmtId="0" fontId="7" fillId="18" borderId="70" pivotButton="0" quotePrefix="0" xfId="0"/>
    <xf numFmtId="0" fontId="7" fillId="8" borderId="70" pivotButton="0" quotePrefix="0" xfId="0"/>
    <xf numFmtId="0" fontId="3" fillId="0" borderId="0" pivotButton="0" quotePrefix="0" xfId="0"/>
    <xf numFmtId="0" fontId="3" fillId="11" borderId="0" pivotButton="0" quotePrefix="0" xfId="0"/>
    <xf numFmtId="0" fontId="9" fillId="21" borderId="69" pivotButton="0" quotePrefix="0" xfId="0"/>
    <xf numFmtId="0" fontId="9" fillId="22" borderId="69" pivotButton="0" quotePrefix="0" xfId="0"/>
    <xf numFmtId="0" fontId="9" fillId="17" borderId="69" pivotButton="0" quotePrefix="0" xfId="0"/>
    <xf numFmtId="0" fontId="9" fillId="23" borderId="69" pivotButton="0" quotePrefix="0" xfId="0"/>
    <xf numFmtId="0" fontId="3" fillId="17" borderId="6" applyAlignment="1" pivotButton="0" quotePrefix="0" xfId="0">
      <alignment horizontal="center"/>
    </xf>
    <xf numFmtId="0" fontId="21" fillId="10" borderId="6" applyProtection="1" pivotButton="0" quotePrefix="0" xfId="0">
      <protection locked="0" hidden="0"/>
    </xf>
    <xf numFmtId="0" fontId="9" fillId="22" borderId="70" pivotButton="0" quotePrefix="0" xfId="0"/>
    <xf numFmtId="0" fontId="9" fillId="17" borderId="6" applyAlignment="1" pivotButton="0" quotePrefix="0" xfId="0">
      <alignment horizontal="center"/>
    </xf>
    <xf numFmtId="0" fontId="7" fillId="18" borderId="6" pivotButton="0" quotePrefix="0" xfId="0"/>
    <xf numFmtId="0" fontId="7" fillId="8" borderId="6" pivotButton="0" quotePrefix="0" xfId="0"/>
    <xf numFmtId="0" fontId="9" fillId="22" borderId="6" pivotButton="0" quotePrefix="0" xfId="0"/>
    <xf numFmtId="0" fontId="7" fillId="22" borderId="6" applyAlignment="1" pivotButton="0" quotePrefix="0" xfId="0">
      <alignment horizontal="center"/>
    </xf>
    <xf numFmtId="0" fontId="7" fillId="21" borderId="6" applyAlignment="1" pivotButton="0" quotePrefix="0" xfId="0">
      <alignment horizontal="center"/>
    </xf>
    <xf numFmtId="0" fontId="7" fillId="24" borderId="6" applyAlignment="1" pivotButton="0" quotePrefix="0" xfId="0">
      <alignment horizontal="center"/>
    </xf>
    <xf numFmtId="0" fontId="7" fillId="25" borderId="6" applyAlignment="1" pivotButton="0" quotePrefix="0" xfId="0">
      <alignment horizontal="center"/>
    </xf>
    <xf numFmtId="0" fontId="0" fillId="39" borderId="6" pivotButton="0" quotePrefix="0" xfId="0"/>
    <xf numFmtId="0" fontId="0" fillId="8" borderId="6" pivotButton="0" quotePrefix="0" xfId="0"/>
    <xf numFmtId="0" fontId="3" fillId="5" borderId="59" applyAlignment="1" pivotButton="0" quotePrefix="0" xfId="0">
      <alignment horizontal="center"/>
    </xf>
    <xf numFmtId="0" fontId="0" fillId="0" borderId="60" applyAlignment="1" pivotButton="0" quotePrefix="0" xfId="0">
      <alignment horizontal="center"/>
    </xf>
    <xf numFmtId="0" fontId="0" fillId="10" borderId="61" applyAlignment="1" pivotButton="0" quotePrefix="0" xfId="0">
      <alignment horizontal="center"/>
    </xf>
    <xf numFmtId="16" fontId="0" fillId="0" borderId="60" applyAlignment="1" pivotButton="0" quotePrefix="0" xfId="0">
      <alignment horizontal="center"/>
    </xf>
    <xf numFmtId="0" fontId="0" fillId="10" borderId="60" applyAlignment="1" pivotButton="0" quotePrefix="0" xfId="0">
      <alignment horizontal="center"/>
    </xf>
    <xf numFmtId="0" fontId="3" fillId="37" borderId="61" applyAlignment="1" pivotButton="0" quotePrefix="0" xfId="0">
      <alignment horizontal="center"/>
    </xf>
    <xf numFmtId="0" fontId="3" fillId="5" borderId="12" applyAlignment="1" pivotButton="0" quotePrefix="0" xfId="0">
      <alignment horizontal="center"/>
    </xf>
    <xf numFmtId="0" fontId="0" fillId="39" borderId="12" applyAlignment="1" pivotButton="0" quotePrefix="0" xfId="0">
      <alignment horizontal="center"/>
    </xf>
    <xf numFmtId="0" fontId="0" fillId="8" borderId="12" applyAlignment="1" pivotButton="0" quotePrefix="0" xfId="0">
      <alignment horizontal="center"/>
    </xf>
    <xf numFmtId="0" fontId="0" fillId="0" borderId="12" applyAlignment="1" pivotButton="0" quotePrefix="0" xfId="0">
      <alignment vertical="center" wrapText="1"/>
    </xf>
    <xf numFmtId="0" fontId="0" fillId="7" borderId="12" applyAlignment="1" pivotButton="0" quotePrefix="0" xfId="0">
      <alignment vertical="center" wrapText="1"/>
    </xf>
    <xf numFmtId="0" fontId="67" fillId="0" borderId="0" pivotButton="0" quotePrefix="0" xfId="1"/>
    <xf numFmtId="0" fontId="0" fillId="6" borderId="0" applyAlignment="1" pivotButton="0" quotePrefix="0" xfId="0">
      <alignment horizontal="center" wrapText="1"/>
    </xf>
    <xf numFmtId="0" fontId="0" fillId="6" borderId="49" applyAlignment="1" pivotButton="0" quotePrefix="0" xfId="0">
      <alignment horizontal="center" wrapText="1"/>
    </xf>
    <xf numFmtId="0" fontId="41" fillId="10" borderId="0" applyAlignment="1" pivotButton="0" quotePrefix="0" xfId="0">
      <alignment wrapText="1"/>
    </xf>
    <xf numFmtId="0" fontId="31" fillId="32" borderId="0" applyAlignment="1" pivotButton="0" quotePrefix="0" xfId="0">
      <alignment horizontal="left"/>
    </xf>
    <xf numFmtId="0" fontId="31" fillId="28" borderId="0" applyAlignment="1" pivotButton="0" quotePrefix="0" xfId="0">
      <alignment horizontal="left"/>
    </xf>
    <xf numFmtId="0" fontId="40" fillId="3" borderId="0" applyAlignment="1" pivotButton="0" quotePrefix="0" xfId="0">
      <alignment horizontal="left"/>
    </xf>
    <xf numFmtId="0" fontId="28" fillId="0" borderId="0" applyAlignment="1" pivotButton="0" quotePrefix="0" xfId="0">
      <alignment horizontal="center"/>
    </xf>
    <xf numFmtId="0" fontId="42" fillId="0" borderId="0" applyAlignment="1" pivotButton="0" quotePrefix="0" xfId="0">
      <alignment horizontal="center"/>
    </xf>
    <xf numFmtId="0" fontId="43" fillId="0" borderId="0" applyAlignment="1" pivotButton="0" quotePrefix="0" xfId="0">
      <alignment horizontal="center"/>
    </xf>
    <xf numFmtId="0" fontId="44" fillId="2" borderId="0" applyAlignment="1" pivotButton="0" quotePrefix="0" xfId="0">
      <alignment horizontal="center"/>
    </xf>
    <xf numFmtId="0" fontId="12" fillId="2" borderId="0" applyAlignment="1" pivotButton="0" quotePrefix="0" xfId="0">
      <alignment horizontal="left"/>
    </xf>
    <xf numFmtId="0" fontId="27" fillId="34" borderId="0" applyAlignment="1" pivotButton="0" quotePrefix="0" xfId="0">
      <alignment horizontal="center" vertical="center"/>
    </xf>
    <xf numFmtId="0" fontId="29" fillId="26" borderId="0" applyAlignment="1" pivotButton="0" quotePrefix="0" xfId="0">
      <alignment horizontal="center" vertical="center"/>
    </xf>
    <xf numFmtId="0" fontId="30" fillId="27" borderId="0" applyAlignment="1" pivotButton="0" quotePrefix="0" xfId="0">
      <alignment horizontal="center"/>
    </xf>
    <xf numFmtId="0" fontId="32" fillId="29" borderId="0" applyAlignment="1" pivotButton="0" quotePrefix="0" xfId="0">
      <alignment wrapText="1"/>
    </xf>
    <xf numFmtId="0" fontId="3" fillId="6" borderId="6" applyAlignment="1" pivotButton="0" quotePrefix="0" xfId="0">
      <alignment vertical="center"/>
    </xf>
    <xf numFmtId="0" fontId="3" fillId="6" borderId="12" applyAlignment="1" pivotButton="0" quotePrefix="0" xfId="0">
      <alignment vertical="center"/>
    </xf>
    <xf numFmtId="0" fontId="3" fillId="6" borderId="8" applyAlignment="1" pivotButton="0" quotePrefix="0" xfId="0">
      <alignment vertical="center"/>
    </xf>
    <xf numFmtId="0" fontId="0" fillId="0" borderId="0" applyAlignment="1" pivotButton="0" quotePrefix="0" xfId="0">
      <alignment vertical="center"/>
    </xf>
    <xf numFmtId="0" fontId="6" fillId="0" borderId="0" applyAlignment="1" pivotButton="0" quotePrefix="0" xfId="0">
      <alignment vertical="center"/>
    </xf>
    <xf numFmtId="0" fontId="3" fillId="12" borderId="0" applyAlignment="1" pivotButton="0" quotePrefix="0" xfId="0">
      <alignment vertical="center"/>
    </xf>
    <xf numFmtId="0" fontId="11" fillId="0" borderId="0" applyAlignment="1" pivotButton="0" quotePrefix="0" xfId="0">
      <alignment horizontal="center" vertical="center"/>
    </xf>
    <xf numFmtId="0" fontId="3" fillId="7" borderId="6" applyAlignment="1" pivotButton="0" quotePrefix="0" xfId="0">
      <alignment vertical="center"/>
    </xf>
    <xf numFmtId="0" fontId="3" fillId="7" borderId="12" applyAlignment="1" pivotButton="0" quotePrefix="0" xfId="0">
      <alignment vertical="center"/>
    </xf>
    <xf numFmtId="0" fontId="3" fillId="7" borderId="8" applyAlignment="1" pivotButton="0" quotePrefix="0" xfId="0">
      <alignment vertical="center"/>
    </xf>
    <xf numFmtId="0" fontId="12" fillId="2" borderId="0" applyAlignment="1" pivotButton="0" quotePrefix="0" xfId="0">
      <alignment vertical="center"/>
    </xf>
    <xf numFmtId="0" fontId="3" fillId="13" borderId="0" applyAlignment="1" pivotButton="0" quotePrefix="0" xfId="0">
      <alignment vertical="center"/>
    </xf>
    <xf numFmtId="0" fontId="2" fillId="34" borderId="0" applyAlignment="1" pivotButton="0" quotePrefix="0" xfId="0">
      <alignment horizontal="center" vertical="center"/>
    </xf>
    <xf numFmtId="0" fontId="10" fillId="4" borderId="0" applyAlignment="1" pivotButton="0" quotePrefix="0" xfId="0">
      <alignment horizontal="center" vertical="center"/>
    </xf>
    <xf numFmtId="0" fontId="3" fillId="11" borderId="0" applyAlignment="1" pivotButton="0" quotePrefix="0" xfId="0">
      <alignment horizontal="center" vertical="center"/>
    </xf>
    <xf numFmtId="0" fontId="24" fillId="0" borderId="0" applyAlignment="1" pivotButton="0" quotePrefix="0" xfId="0">
      <alignment horizontal="center"/>
    </xf>
    <xf numFmtId="0" fontId="25" fillId="0" borderId="0" applyAlignment="1" pivotButton="0" quotePrefix="0" xfId="0">
      <alignment horizontal="center"/>
    </xf>
    <xf numFmtId="0" fontId="12" fillId="2" borderId="3" applyAlignment="1" pivotButton="0" quotePrefix="0" xfId="0">
      <alignment horizontal="left" vertical="center"/>
    </xf>
    <xf numFmtId="0" fontId="20" fillId="4" borderId="0" applyAlignment="1" pivotButton="0" quotePrefix="0" xfId="0">
      <alignment horizontal="left"/>
    </xf>
    <xf numFmtId="0" fontId="12" fillId="2" borderId="0" applyAlignment="1" pivotButton="0" quotePrefix="0" xfId="0">
      <alignment horizontal="left" vertical="center"/>
    </xf>
    <xf numFmtId="0" fontId="13" fillId="34" borderId="0" applyAlignment="1" pivotButton="0" quotePrefix="0" xfId="0">
      <alignment horizontal="center"/>
    </xf>
    <xf numFmtId="0" fontId="14" fillId="2" borderId="0" applyAlignment="1" pivotButton="0" quotePrefix="0" xfId="0">
      <alignment horizontal="center"/>
    </xf>
    <xf numFmtId="0" fontId="26" fillId="11" borderId="0" applyAlignment="1" pivotButton="0" quotePrefix="0" xfId="0">
      <alignment horizontal="center"/>
    </xf>
    <xf numFmtId="0" fontId="16" fillId="11" borderId="0" applyAlignment="1" pivotButton="0" quotePrefix="0" xfId="0">
      <alignment horizontal="center"/>
    </xf>
    <xf numFmtId="0" fontId="17" fillId="15" borderId="6" applyAlignment="1" pivotButton="0" quotePrefix="0" xfId="0">
      <alignment horizontal="center"/>
    </xf>
    <xf numFmtId="0" fontId="15" fillId="14" borderId="0" applyAlignment="1" pivotButton="0" quotePrefix="0" xfId="0">
      <alignment horizontal="center"/>
    </xf>
    <xf numFmtId="0" fontId="15" fillId="0" borderId="0" applyAlignment="1" pivotButton="0" quotePrefix="0" xfId="0">
      <alignment horizontal="center"/>
    </xf>
    <xf numFmtId="0" fontId="64" fillId="9" borderId="0" applyAlignment="1" pivotButton="0" quotePrefix="0" xfId="0">
      <alignment wrapText="1"/>
    </xf>
    <xf numFmtId="0" fontId="63" fillId="0" borderId="0" applyAlignment="1" pivotButton="0" quotePrefix="0" xfId="0">
      <alignment horizontal="center"/>
    </xf>
    <xf numFmtId="0" fontId="62" fillId="38" borderId="0" applyAlignment="1" pivotButton="0" quotePrefix="0" xfId="0">
      <alignment wrapText="1"/>
    </xf>
    <xf numFmtId="0" fontId="13" fillId="35" borderId="0" applyAlignment="1" pivotButton="0" quotePrefix="0" xfId="0">
      <alignment horizontal="center" vertical="center"/>
    </xf>
    <xf numFmtId="0" fontId="58" fillId="26" borderId="0" applyAlignment="1" pivotButton="0" quotePrefix="0" xfId="0">
      <alignment horizontal="center"/>
    </xf>
    <xf numFmtId="0" fontId="59" fillId="36" borderId="0" applyAlignment="1" pivotButton="0" quotePrefix="0" xfId="0">
      <alignment horizontal="center"/>
    </xf>
    <xf numFmtId="0" fontId="60" fillId="3" borderId="0" applyAlignment="1" pivotButton="0" quotePrefix="0" xfId="0">
      <alignment wrapText="1"/>
    </xf>
    <xf numFmtId="0" fontId="8" fillId="2" borderId="39" pivotButton="0" quotePrefix="0" xfId="0"/>
    <xf numFmtId="0" fontId="8" fillId="2" borderId="35" pivotButton="0" quotePrefix="0" xfId="0"/>
    <xf numFmtId="0" fontId="8" fillId="2" borderId="0" pivotButton="0" quotePrefix="0" xfId="0"/>
    <xf numFmtId="0" fontId="39" fillId="11" borderId="0" pivotButton="0" quotePrefix="0" xfId="0"/>
    <xf numFmtId="0" fontId="1" fillId="34" borderId="0" pivotButton="0" quotePrefix="0" xfId="0"/>
    <xf numFmtId="0" fontId="0" fillId="0" borderId="0" pivotButton="0" quotePrefix="0" xfId="0"/>
    <xf numFmtId="0" fontId="0" fillId="0" borderId="4" pivotButton="0" quotePrefix="0" xfId="0"/>
    <xf numFmtId="0" fontId="0" fillId="0" borderId="12" pivotButton="0" quotePrefix="0" xfId="0"/>
    <xf numFmtId="0" fontId="12" fillId="2" borderId="0" pivotButton="0" quotePrefix="0" xfId="0"/>
    <xf numFmtId="0" fontId="18" fillId="16" borderId="0" pivotButton="0" quotePrefix="0" xfId="0"/>
    <xf numFmtId="0" fontId="20" fillId="19" borderId="0" pivotButton="0" quotePrefix="0" xfId="0"/>
    <xf numFmtId="0" fontId="46" fillId="0" borderId="0" pivotButton="0" quotePrefix="0" xfId="0"/>
    <xf numFmtId="0" fontId="20" fillId="4" borderId="0" pivotButton="0" quotePrefix="0" xfId="0"/>
    <xf numFmtId="0" fontId="56" fillId="11" borderId="0" pivotButton="0" quotePrefix="0" xfId="0"/>
    <xf numFmtId="0" fontId="57" fillId="11" borderId="13" pivotButton="0" quotePrefix="0" xfId="0"/>
    <xf numFmtId="0" fontId="0" fillId="0" borderId="0" applyProtection="1" pivotButton="0" quotePrefix="0" xfId="0">
      <protection locked="0" hidden="0"/>
    </xf>
    <xf numFmtId="0" fontId="23" fillId="0" borderId="0" pivotButton="0" quotePrefix="0" xfId="0"/>
    <xf numFmtId="0" fontId="45" fillId="0" borderId="0" pivotButton="0" quotePrefix="0" xfId="0"/>
    <xf numFmtId="0" fontId="20" fillId="6" borderId="0" pivotButton="0" quotePrefix="0" xfId="0"/>
    <xf numFmtId="0" fontId="61" fillId="3" borderId="0" pivotButton="0" quotePrefix="0" xfId="0"/>
    <xf numFmtId="0" fontId="4" fillId="12" borderId="0" pivotButton="0" quotePrefix="0" xfId="0"/>
    <xf numFmtId="0" fontId="11" fillId="0" borderId="0" pivotButton="0" quotePrefix="0" xfId="0"/>
    <xf numFmtId="0" fontId="66" fillId="0" borderId="0" pivotButton="0" quotePrefix="0" xfId="0"/>
    <xf numFmtId="0" fontId="68" fillId="0" borderId="0" applyAlignment="1" pivotButton="0" quotePrefix="0" xfId="0">
      <alignment horizontal="left" vertical="top" wrapText="1"/>
    </xf>
    <xf numFmtId="0" fontId="69" fillId="0" borderId="0" pivotButton="0" quotePrefix="0" xfId="0"/>
    <xf numFmtId="0" fontId="71" fillId="40" borderId="0" applyAlignment="1" pivotButton="0" quotePrefix="0" xfId="0">
      <alignment horizontal="left" vertical="top" wrapText="1"/>
    </xf>
    <xf numFmtId="0" fontId="72" fillId="0" borderId="0" applyAlignment="1" pivotButton="0" quotePrefix="0" xfId="0">
      <alignment vertical="top" wrapText="1"/>
    </xf>
    <xf numFmtId="0" fontId="72" fillId="0" borderId="0" applyAlignment="1" pivotButton="0" quotePrefix="0" xfId="0">
      <alignment horizontal="left" vertical="top" wrapText="1"/>
    </xf>
    <xf numFmtId="0" fontId="74" fillId="0" borderId="0" pivotButton="0" quotePrefix="0" xfId="0"/>
    <xf numFmtId="0" fontId="0" fillId="0" borderId="72" pivotButton="0" quotePrefix="0" xfId="0"/>
    <xf numFmtId="0" fontId="0" fillId="0" borderId="49" pivotButton="0" quotePrefix="0" xfId="0"/>
    <xf numFmtId="0" fontId="17" fillId="15" borderId="8" applyAlignment="1" pivotButton="0" quotePrefix="0" xfId="0">
      <alignment horizontal="center"/>
    </xf>
    <xf numFmtId="0" fontId="0" fillId="0" borderId="3" pivotButton="0" quotePrefix="0" xfId="0"/>
    <xf numFmtId="0" fontId="0" fillId="0" borderId="13" pivotButton="0" quotePrefix="0" xfId="0"/>
    <xf numFmtId="0" fontId="75" fillId="40" borderId="0" applyAlignment="1" pivotButton="0" quotePrefix="0" xfId="0">
      <alignment horizontal="left" vertical="top" wrapText="1"/>
    </xf>
    <xf numFmtId="0" fontId="76" fillId="41" borderId="0" applyAlignment="1" pivotButton="0" quotePrefix="0" xfId="0">
      <alignment vertical="top" wrapText="1"/>
    </xf>
    <xf numFmtId="0" fontId="71" fillId="42" borderId="74" applyAlignment="1" pivotButton="0" quotePrefix="0" xfId="0">
      <alignment horizontal="center" vertical="center" wrapText="1"/>
    </xf>
    <xf numFmtId="0" fontId="75" fillId="42" borderId="0" applyAlignment="1" pivotButton="0" quotePrefix="0" xfId="0">
      <alignment horizontal="left" vertical="top" wrapText="1"/>
    </xf>
    <xf numFmtId="0" fontId="70" fillId="43" borderId="0" applyAlignment="1" pivotButton="0" quotePrefix="0" xfId="0">
      <alignment vertical="top" wrapText="1"/>
    </xf>
    <xf numFmtId="0" fontId="72" fillId="0" borderId="74" applyAlignment="1" pivotButton="0" quotePrefix="0" xfId="0">
      <alignment vertical="top" wrapText="1"/>
    </xf>
    <xf numFmtId="0" fontId="72" fillId="44" borderId="74" applyAlignment="1" pivotButton="0" quotePrefix="0" xfId="0">
      <alignment vertical="top" wrapText="1"/>
    </xf>
    <xf numFmtId="0" fontId="71" fillId="40" borderId="0" pivotButton="0" quotePrefix="0" xfId="0"/>
    <xf numFmtId="0" fontId="72" fillId="43"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learn.microsoft.com/en-us/azure/migrate/migrate-appliance" TargetMode="External" Id="rId1"/><Relationship Type="http://schemas.openxmlformats.org/officeDocument/2006/relationships/hyperlink" Target="https://learn.microsoft.com/en-us/azure/migrate/migrate-appliance?view=migrate" TargetMode="External" Id="rId2"/><Relationship Type="http://schemas.openxmlformats.org/officeDocument/2006/relationships/hyperlink" Target="https://learn.microsoft.com/en-us/assessments/8fefc6d5-97ac-42b3-8e97-d82701e55bab/" TargetMode="External" Id="rId3"/></Relationships>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25" customWidth="1" style="329" min="1" max="1"/>
    <col width="70" customWidth="1" style="329" min="2" max="2"/>
  </cols>
  <sheetData>
    <row r="1" ht="28" customHeight="1" s="329">
      <c r="A1" s="347" t="inlineStr">
        <is>
          <t>Instructions — azure-evaluation.xlsx</t>
        </is>
      </c>
    </row>
    <row r="2">
      <c r="A2" s="348" t="inlineStr">
        <is>
          <t>Read this before opening any other tab</t>
        </is>
      </c>
    </row>
    <row r="4" ht="18" customHeight="1" s="329">
      <c r="A4" s="349" t="inlineStr">
        <is>
          <t>PURPOSE</t>
        </is>
      </c>
    </row>
    <row r="5" ht="184" customHeight="1" s="329">
      <c r="A5" s="350" t="inlineStr">
        <is>
          <t xml:space="preserve">  Model Azure TCO across multiple pricing scenarios: Like-for-Like PAYG, Like-for-Like 3yr RI, Optimised 3yr RI, and Optimised 3yr RI + AHB. The AHB (Azure Hybrid Benefit) overlay is mandatory for any estate with Windows Server or SQL Server licences with active Software Assurance.</t>
        </is>
      </c>
    </row>
    <row r="7" ht="18" customHeight="1" s="329">
      <c r="A7" s="349" t="inlineStr">
        <is>
          <t>WHO FILLS THIS IN</t>
        </is>
      </c>
    </row>
    <row r="8" ht="176" customHeight="1" s="329">
      <c r="A8" s="350" t="inlineStr">
        <is>
          <t xml:space="preserve">  Platform Architect (Azure). Input data comes from the infrastructure-profiling.xlsx template (VM specs + P95 utilisation). AHB eligibility must be confirmed with the customer's Microsoft licensing contact before the AHB scenario is presented as a committed saving.</t>
        </is>
      </c>
    </row>
    <row r="10" ht="18" customHeight="1" s="329">
      <c r="A10" s="349" t="inlineStr">
        <is>
          <t>WHEN TO USE</t>
        </is>
      </c>
    </row>
    <row r="11" ht="152" customHeight="1" s="329">
      <c r="A11" s="350" t="inlineStr">
        <is>
          <t xml:space="preserve">  Phase 3 Weeks 11–13. Pricing must be validated against azure.microsoft.com/pricing/calculator at the start of Phase 3 — not using pricing captured more than 90 days ago. Document the pricing source date in the Summary tab header.</t>
        </is>
      </c>
    </row>
    <row r="13" ht="18" customHeight="1" s="329">
      <c r="A13" s="349" t="inlineStr">
        <is>
          <t>WHAT 'GOOD DATA' LOOKS LIKE</t>
        </is>
      </c>
    </row>
    <row r="14" ht="15" customHeight="1" s="329">
      <c r="A14" s="351" t="inlineStr">
        <is>
          <t xml:space="preserve">  • VM SKUs mapped from actual P95 utilisation data — not rounded estimates</t>
        </is>
      </c>
    </row>
    <row r="15" ht="15" customHeight="1" s="329">
      <c r="A15" s="351" t="inlineStr">
        <is>
          <t xml:space="preserve">  • AHB eligibility confirmed by customer (active Software Assurance on Windows/SQL Server)</t>
        </is>
      </c>
    </row>
    <row r="16" ht="15" customHeight="1" s="329">
      <c r="A16" s="351" t="inlineStr">
        <is>
          <t xml:space="preserve">  • Pricing validated against Azure Calculator this week (source date in Summary tab)</t>
        </is>
      </c>
    </row>
    <row r="17" ht="15" customHeight="1" s="329">
      <c r="A17" s="351" t="inlineStr">
        <is>
          <t xml:space="preserve">  • Both PAYG and 3yr RI scenarios present — CFO will ask about both</t>
        </is>
      </c>
    </row>
    <row r="18" ht="15" customHeight="1" s="329">
      <c r="A18" s="351" t="inlineStr">
        <is>
          <t xml:space="preserve">  • UK South primary + DR region both modelled</t>
        </is>
      </c>
    </row>
    <row r="19" ht="15" customHeight="1" s="329">
      <c r="A19" s="351" t="inlineStr">
        <is>
          <t xml:space="preserve">  • Storage costs in dedicated Storage tab — not rolled into VM cost</t>
        </is>
      </c>
    </row>
    <row r="21" ht="18" customHeight="1" s="329">
      <c r="A21" s="349" t="inlineStr">
        <is>
          <t>COMMON MISTAKES TO AVOID</t>
        </is>
      </c>
    </row>
    <row r="22" ht="15" customHeight="1" s="329">
      <c r="A22" s="351" t="inlineStr">
        <is>
          <t xml:space="preserve">  • Using P50 (average) instead of P95 for right-sizing — underestimates instance size</t>
        </is>
      </c>
    </row>
    <row r="23" ht="15" customHeight="1" s="329">
      <c r="A23" s="351" t="inlineStr">
        <is>
          <t xml:space="preserve">  • Presenting AHB scenario without confirming SA status — can be materially wrong</t>
        </is>
      </c>
    </row>
    <row r="24" ht="15" customHeight="1" s="329">
      <c r="A24" s="351" t="inlineStr">
        <is>
          <t xml:space="preserve">  • Using pricing from a prior engagement — Azure prices change quarterly</t>
        </is>
      </c>
    </row>
    <row r="25" ht="15" customHeight="1" s="329">
      <c r="A25" s="351" t="inlineStr">
        <is>
          <t xml:space="preserve">  • Not modelling ESU saving for Windows Server 2012 / SQL Server 2012 (free in Azure)</t>
        </is>
      </c>
    </row>
    <row r="26" ht="15" customHeight="1" s="329">
      <c r="A26" s="351" t="inlineStr">
        <is>
          <t xml:space="preserve">  • Forgetting to include storage costs — often 15-20% of total cloud spend</t>
        </is>
      </c>
    </row>
    <row r="28">
      <c r="A28" s="352" t="inlineStr">
        <is>
          <t>CRA Framework v2.0  |  Rackspace Cloud Solutions Architecture  |  azure-evaluation.xlsx</t>
        </is>
      </c>
    </row>
  </sheetData>
  <mergeCells count="22">
    <mergeCell ref="A24:B24"/>
    <mergeCell ref="A15:B15"/>
    <mergeCell ref="A11:B11"/>
    <mergeCell ref="A1:B1"/>
    <mergeCell ref="A16:B16"/>
    <mergeCell ref="A7:B7"/>
    <mergeCell ref="A25:B25"/>
    <mergeCell ref="A18:B18"/>
    <mergeCell ref="A26:B26"/>
    <mergeCell ref="A21:B21"/>
    <mergeCell ref="A2:B2"/>
    <mergeCell ref="A5:B5"/>
    <mergeCell ref="A14:B14"/>
    <mergeCell ref="A23:B23"/>
    <mergeCell ref="A17:B17"/>
    <mergeCell ref="A8:B8"/>
    <mergeCell ref="A22:B22"/>
    <mergeCell ref="A4:B4"/>
    <mergeCell ref="A19:B19"/>
    <mergeCell ref="A10:B10"/>
    <mergeCell ref="A28:B28"/>
    <mergeCell ref="A13: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tabSelected="1" workbookViewId="0">
      <pane ySplit="4" topLeftCell="A7" activePane="bottomLeft" state="frozen"/>
      <selection pane="bottomLeft" activeCell="D51" sqref="D51"/>
    </sheetView>
  </sheetViews>
  <sheetFormatPr baseColWidth="8" defaultRowHeight="14.45"/>
  <cols>
    <col width="29.140625" customWidth="1" style="329" min="1" max="1"/>
    <col width="76.5703125" customWidth="1" style="329" min="2" max="2"/>
    <col width="48.140625" bestFit="1" customWidth="1" style="329" min="3" max="3"/>
    <col width="42.140625" bestFit="1" customWidth="1" style="329" min="4" max="4"/>
    <col width="5.42578125" customWidth="1" style="329" min="5" max="5"/>
  </cols>
  <sheetData>
    <row r="1" ht="54.95" customHeight="1" s="329">
      <c r="A1" s="286" t="inlineStr">
        <is>
          <t>AZURE EVALUATION FRAMEWORK</t>
        </is>
      </c>
    </row>
    <row r="2" ht="32.1" customHeight="1" s="329">
      <c r="A2" s="287" t="inlineStr">
        <is>
          <t>Cloud Readiness Accelerator  |  Executive Assessment Guide</t>
        </is>
      </c>
    </row>
    <row r="3" ht="24" customHeight="1" s="329">
      <c r="A3" s="288" t="inlineStr">
        <is>
          <t>Version 1.0  |  Classification: Confidential  |  Last Updated: April 2026  |  Owner: Cloud Solutions Architecture</t>
        </is>
      </c>
    </row>
    <row r="4" ht="9.949999999999999" customHeight="1" s="329"/>
    <row r="5" ht="32.1" customHeight="1" s="329">
      <c r="A5" s="279" t="inlineStr">
        <is>
          <t>📌  EXECUTIVE SUMMARY</t>
        </is>
      </c>
    </row>
    <row r="6" ht="50.1" customHeight="1" s="329">
      <c r="A6" s="289" t="inlineStr">
        <is>
          <t>This Azure Evaluation Framework provides a structured, enterprise-grade methodology for assessing Microsoft Azure as your organization's strategic cloud platform. Designed in alignment with the Microsoft Cloud Adoption Framework (CAF) and Azure Well-Architected Framework, this assessment enables data-driven decision making for cloud migration investments.</t>
        </is>
      </c>
    </row>
    <row r="7" ht="15" customHeight="1" s="329"/>
    <row r="8" ht="32.1" customHeight="1" s="329">
      <c r="A8" s="285" t="inlineStr">
        <is>
          <t>🚀  QUICK START GUIDE — COMPLETE THESE STEPS IN ORDER</t>
        </is>
      </c>
    </row>
    <row r="9" ht="26.1" customHeight="1" s="329" thickBot="1">
      <c r="A9" s="219" t="inlineStr">
        <is>
          <t>STEP</t>
        </is>
      </c>
      <c r="B9" s="168" t="inlineStr">
        <is>
          <t>ACTION</t>
        </is>
      </c>
      <c r="C9" s="46" t="inlineStr">
        <is>
          <t>SECTION</t>
        </is>
      </c>
      <c r="D9" s="47" t="inlineStr">
        <is>
          <t>PRIORITY</t>
        </is>
      </c>
    </row>
    <row r="10" ht="27.6" customHeight="1" s="329" thickBot="1">
      <c r="A10" s="220" t="inlineStr">
        <is>
          <t xml:space="preserve">① </t>
        </is>
      </c>
      <c r="B10" s="169" t="inlineStr">
        <is>
          <t>Complete Application Inventory — Map all workloads to Azure target services</t>
        </is>
      </c>
      <c r="C10" s="48" t="inlineStr">
        <is>
          <t>Section 1</t>
        </is>
      </c>
      <c r="D10" s="49" t="inlineStr">
        <is>
          <t>🔴 Critical</t>
        </is>
      </c>
    </row>
    <row r="11" ht="29.45" customHeight="1" s="329" thickBot="1">
      <c r="A11" s="221" t="inlineStr">
        <is>
          <t xml:space="preserve">② </t>
        </is>
      </c>
      <c r="B11" s="170" t="inlineStr">
        <is>
          <t>Assess Compute, Database &amp; Storage — Define Azure equivalents and migration approach</t>
        </is>
      </c>
      <c r="C11" s="50" t="inlineStr">
        <is>
          <t>Section 1</t>
        </is>
      </c>
      <c r="D11" s="51" t="inlineStr">
        <is>
          <t>🔴 Critical</t>
        </is>
      </c>
    </row>
    <row r="12" ht="27.95" customHeight="1" s="329" thickBot="1">
      <c r="A12" s="220" t="inlineStr">
        <is>
          <t xml:space="preserve">③ </t>
        </is>
      </c>
      <c r="B12" s="169" t="inlineStr">
        <is>
          <t>Enter Regional Cost Estimates — Use Azure Pricing Calculator for Region A, B, C</t>
        </is>
      </c>
      <c r="C12" s="48" t="inlineStr">
        <is>
          <t>Section 2</t>
        </is>
      </c>
      <c r="D12" s="49" t="inlineStr">
        <is>
          <t>🔴 Critical</t>
        </is>
      </c>
    </row>
    <row r="13" ht="27.95" customHeight="1" s="329" thickBot="1">
      <c r="A13" s="221" t="inlineStr">
        <is>
          <t xml:space="preserve">④ </t>
        </is>
      </c>
      <c r="B13" s="170" t="inlineStr">
        <is>
          <t>Complete AHB Eligibility — Document Windows/SQL licenses with Software Assurance</t>
        </is>
      </c>
      <c r="C13" s="50" t="inlineStr">
        <is>
          <t>Section 3</t>
        </is>
      </c>
      <c r="D13" s="51" t="inlineStr">
        <is>
          <t>🔴 Critical</t>
        </is>
      </c>
    </row>
    <row r="14" ht="27.95" customHeight="1" s="329" thickBot="1">
      <c r="A14" s="220" t="inlineStr">
        <is>
          <t xml:space="preserve">⑤ </t>
        </is>
      </c>
      <c r="B14" s="169" t="inlineStr">
        <is>
          <t>Compare Pricing Models — PAYG vs AHB vs Reserved Instances (1-Year &amp; 3-Year)</t>
        </is>
      </c>
      <c r="C14" s="48" t="inlineStr">
        <is>
          <t>Section 3</t>
        </is>
      </c>
      <c r="D14" s="49" t="inlineStr">
        <is>
          <t>🟡 High</t>
        </is>
      </c>
    </row>
    <row r="15" ht="27.95" customHeight="1" s="329" thickBot="1">
      <c r="A15" s="221" t="inlineStr">
        <is>
          <t xml:space="preserve">⑥ </t>
        </is>
      </c>
      <c r="B15" s="170" t="inlineStr">
        <is>
          <t>Review Migration Tooling — Confirm Azure Migrate, ASR, DMS readiness</t>
        </is>
      </c>
      <c r="C15" s="50" t="inlineStr">
        <is>
          <t>Section 4</t>
        </is>
      </c>
      <c r="D15" s="51" t="inlineStr">
        <is>
          <t>🟡 High</t>
        </is>
      </c>
    </row>
    <row r="16" ht="27.95" customHeight="1" s="329">
      <c r="A16" s="222" t="inlineStr">
        <is>
          <t xml:space="preserve">⑦ </t>
        </is>
      </c>
      <c r="B16" s="171" t="inlineStr">
        <is>
          <t>Calculate Azure Fit Score — Score each factor (0-100) for final recommendation</t>
        </is>
      </c>
      <c r="C16" s="52" t="inlineStr">
        <is>
          <t>Section 5</t>
        </is>
      </c>
      <c r="D16" s="53" t="inlineStr">
        <is>
          <t>🔴 Critical</t>
        </is>
      </c>
    </row>
    <row r="17" ht="20.1" customHeight="1" s="329"/>
    <row r="18" ht="32.1" customHeight="1" s="329">
      <c r="A18" s="279" t="inlineStr">
        <is>
          <t>📋  DETAILED SECTION GUIDE</t>
        </is>
      </c>
    </row>
    <row r="19" ht="8.1" customHeight="1" s="329"/>
    <row r="20" ht="27.95" customHeight="1" s="329">
      <c r="A20" s="324" t="inlineStr">
        <is>
          <t>SECTION 1  —  AZURE SERVICE COMPATIBILITY ASSESSMENT</t>
        </is>
      </c>
      <c r="B20" s="353" t="n"/>
      <c r="C20" s="353" t="n"/>
      <c r="D20" s="353" t="n"/>
      <c r="E20" s="353" t="n"/>
    </row>
    <row r="21">
      <c r="A21" s="70" t="inlineStr">
        <is>
          <t>Purpose:</t>
        </is>
      </c>
      <c r="B21" s="276" t="inlineStr">
        <is>
          <t>Map current on-premises infrastructure to Azure target services with compatibility assessment</t>
        </is>
      </c>
      <c r="C21" s="354" t="n"/>
    </row>
    <row r="22">
      <c r="A22" s="68" t="inlineStr">
        <is>
          <t>Key Inputs:</t>
        </is>
      </c>
      <c r="B22" s="276" t="inlineStr">
        <is>
          <t>Application inventory, current platform details, workload characteristics</t>
        </is>
      </c>
      <c r="C22" s="354" t="n"/>
    </row>
    <row r="23">
      <c r="A23" s="68" t="inlineStr">
        <is>
          <t>Key Outputs:</t>
        </is>
      </c>
      <c r="B23" s="276" t="inlineStr">
        <is>
          <t>Azure service mapping, compatibility status, recommended migration approach</t>
        </is>
      </c>
      <c r="C23" s="354" t="n"/>
    </row>
    <row r="24">
      <c r="A24" s="69" t="inlineStr">
        <is>
          <t>Azure Tools:</t>
        </is>
      </c>
      <c r="B24" s="276" t="inlineStr">
        <is>
          <t>Azure Migrate, Azure Database Migration Service, Azure App Service Migration Assistant</t>
        </is>
      </c>
      <c r="C24" s="354" t="n"/>
    </row>
    <row r="25" ht="12" customHeight="1" s="329"/>
    <row r="26" ht="27.95" customHeight="1" s="329">
      <c r="A26" s="324" t="inlineStr">
        <is>
          <t>SECTION 2  —  AZURE REGIONAL ASSESSMENT</t>
        </is>
      </c>
      <c r="B26" s="353" t="n"/>
      <c r="C26" s="353" t="n"/>
      <c r="D26" s="353" t="n"/>
      <c r="E26" s="353" t="n"/>
    </row>
    <row r="27">
      <c r="A27" s="68" t="inlineStr">
        <is>
          <t>Purpose:</t>
        </is>
      </c>
      <c r="B27" s="276" t="inlineStr">
        <is>
          <t>Compare Azure regions for optimal workload placement based on cost, compliance, and latency</t>
        </is>
      </c>
      <c r="C27" s="354" t="n"/>
    </row>
    <row r="28">
      <c r="A28" s="68" t="inlineStr">
        <is>
          <t>Key Inputs:</t>
        </is>
      </c>
      <c r="B28" s="276" t="inlineStr">
        <is>
          <t>Regional cost estimates (PAYG, AHB, RI), data residency requirements, latency targets</t>
        </is>
      </c>
      <c r="C28" s="354" t="n"/>
    </row>
    <row r="29">
      <c r="A29" s="68" t="inlineStr">
        <is>
          <t>Key Outputs:</t>
        </is>
      </c>
      <c r="B29" s="276" t="inlineStr">
        <is>
          <t>Primary/Secondary region selection, regional cost comparison, compliance validation</t>
        </is>
      </c>
      <c r="C29" s="354" t="n"/>
    </row>
    <row r="30">
      <c r="A30" s="69" t="inlineStr">
        <is>
          <t>Data Sources:</t>
        </is>
      </c>
      <c r="B30" s="276" t="inlineStr">
        <is>
          <t>Azure Pricing Calculator, Azure Regional Services List, Azure Migrate Assessment</t>
        </is>
      </c>
      <c r="C30" s="354" t="n"/>
    </row>
    <row r="31" ht="12" customHeight="1" s="329"/>
    <row r="32" ht="27.95" customHeight="1" s="329">
      <c r="A32" s="324" t="inlineStr">
        <is>
          <t>SECTION 3  —  AZURE COST ESTIMATION &amp; OPTIMIZATION</t>
        </is>
      </c>
      <c r="B32" s="353" t="n"/>
      <c r="C32" s="353" t="n"/>
      <c r="D32" s="353" t="n"/>
      <c r="E32" s="353" t="n"/>
    </row>
    <row r="33" ht="30.95" customHeight="1" s="329">
      <c r="A33" s="68" t="inlineStr">
        <is>
          <t>Purpose:</t>
        </is>
      </c>
      <c r="B33" s="276" t="inlineStr">
        <is>
          <t>Comprehensive cost analysis comparing PAYG, Azure Hybrid Benefit, and Reserved Instance pricing</t>
        </is>
      </c>
      <c r="C33" s="354" t="n"/>
    </row>
    <row r="34" ht="29.1" customHeight="1" s="329">
      <c r="A34" s="68" t="inlineStr">
        <is>
          <t>Key Inputs:</t>
        </is>
      </c>
      <c r="B34" s="276" t="inlineStr">
        <is>
          <t>Azure pricing estimates, Windows/SQL license counts with Software Assurance, commitment term</t>
        </is>
      </c>
      <c r="C34" s="354" t="n"/>
    </row>
    <row r="35">
      <c r="A35" s="68" t="inlineStr">
        <is>
          <t>Key Outputs:</t>
        </is>
      </c>
      <c r="B35" s="276" t="inlineStr">
        <is>
          <t>Pricing model recommendation, AHB savings calculation, ROI analysis</t>
        </is>
      </c>
      <c r="C35" s="354" t="n"/>
    </row>
    <row r="36" ht="29.1" customHeight="1" s="329">
      <c r="A36" s="68" t="inlineStr">
        <is>
          <t>Best Practice:</t>
        </is>
      </c>
      <c r="B36" s="276" t="inlineStr">
        <is>
          <t>Leverage AHB for Windows/SQL workloads + 3-Year RI for predictable workloads (up to 72% savings)</t>
        </is>
      </c>
      <c r="C36" s="354" t="n"/>
    </row>
    <row r="37" ht="12" customHeight="1" s="329"/>
    <row r="38" ht="27.95" customHeight="1" s="329">
      <c r="A38" s="324" t="inlineStr">
        <is>
          <t>SECTION 4  —  AZURE MIGRATION TOOLING &amp; SERVICES</t>
        </is>
      </c>
      <c r="B38" s="353" t="n"/>
      <c r="C38" s="353" t="n"/>
      <c r="D38" s="353" t="n"/>
      <c r="E38" s="353" t="n"/>
    </row>
    <row r="39" ht="29.1" customHeight="1" s="329">
      <c r="A39" s="68" t="inlineStr">
        <is>
          <t>Purpose:</t>
        </is>
      </c>
      <c r="B39" s="275" t="inlineStr">
        <is>
          <t>Azure native tools and services recommended for workload discovery, assessment, and migration</t>
        </is>
      </c>
    </row>
    <row r="40">
      <c r="A40" s="68" t="inlineStr">
        <is>
          <t>Key Inputs:</t>
        </is>
      </c>
      <c r="B40" s="275" t="inlineStr">
        <is>
          <t>Workload types, migration approach (Rehost/Replatform/Refactor), data volumes</t>
        </is>
      </c>
    </row>
    <row r="41">
      <c r="A41" s="68" t="inlineStr">
        <is>
          <t>Key Outputs:</t>
        </is>
      </c>
      <c r="B41" s="275" t="inlineStr">
        <is>
          <t>Tool readiness status, licensing requirements, migration service recommendations</t>
        </is>
      </c>
    </row>
    <row r="42" ht="29.1" customHeight="1" s="329">
      <c r="A42" s="69" t="inlineStr">
        <is>
          <t>Core Tools:</t>
        </is>
      </c>
      <c r="B42" s="275" t="inlineStr">
        <is>
          <t>Azure Migrate, Azure Site Recovery (ASR), Azure Database Migration Service, Azure Data Box</t>
        </is>
      </c>
    </row>
    <row r="43" ht="12" customHeight="1" s="329"/>
    <row r="44" ht="27.95" customHeight="1" s="329">
      <c r="A44" s="324" t="inlineStr">
        <is>
          <t>SECTION 5  —  AZURE FIT SCORE ANALYSIS</t>
        </is>
      </c>
      <c r="B44" s="353" t="n"/>
      <c r="C44" s="353" t="n"/>
      <c r="D44" s="353" t="n"/>
      <c r="E44" s="353" t="n"/>
    </row>
    <row r="45" ht="29.1" customHeight="1" s="329">
      <c r="A45" s="68" t="inlineStr">
        <is>
          <t>Purpose:</t>
        </is>
      </c>
      <c r="B45" s="275" t="inlineStr">
        <is>
          <t>Weighted scoring framework to objectively assess Azure suitability for customer workloads</t>
        </is>
      </c>
    </row>
    <row r="46">
      <c r="A46" s="68" t="inlineStr">
        <is>
          <t>Key Inputs:</t>
        </is>
      </c>
      <c r="B46" s="275" t="inlineStr">
        <is>
          <t>Scores (0-100) for each evaluation factor based on assessment findings</t>
        </is>
      </c>
    </row>
    <row r="47">
      <c r="A47" s="68" t="inlineStr">
        <is>
          <t>Key Outputs:</t>
        </is>
      </c>
      <c r="B47" s="275" t="inlineStr">
        <is>
          <t>Total Fit Score, rating (Strong/Moderate/Conditional/Poor), recommended actions</t>
        </is>
      </c>
    </row>
    <row r="48" ht="29.1" customHeight="1" s="329">
      <c r="A48" s="69" t="inlineStr">
        <is>
          <t>Scoring Model:</t>
        </is>
      </c>
      <c r="B48" s="275" t="inlineStr">
        <is>
          <t>7 weighted factors: Service Compatibility (25%), Cost (20%), Regional (15%), Tools (15%), Skills (10%), Vendor (10%), Strategy (5%)</t>
        </is>
      </c>
    </row>
    <row r="49" ht="20.1" customHeight="1" s="329"/>
    <row r="50" ht="32.1" customHeight="1" s="329">
      <c r="A50" s="279" t="inlineStr">
        <is>
          <t>⭐  FIT SCORE INTERPRETATION MATRIX</t>
        </is>
      </c>
    </row>
    <row r="51" ht="26.1" customHeight="1" s="329">
      <c r="A51" s="223" t="inlineStr">
        <is>
          <t>SCORE RANGE</t>
        </is>
      </c>
      <c r="B51" s="172" t="inlineStr">
        <is>
          <t>RATING</t>
        </is>
      </c>
      <c r="C51" s="55" t="inlineStr">
        <is>
          <t>INTERPRETATION</t>
        </is>
      </c>
      <c r="D51" s="56" t="inlineStr">
        <is>
          <t>RECOMMENDED ACTION</t>
        </is>
      </c>
    </row>
    <row r="52" ht="27.95" customHeight="1" s="329">
      <c r="A52" s="224" t="inlineStr">
        <is>
          <t>80 — 100</t>
        </is>
      </c>
      <c r="B52" s="173" t="inlineStr">
        <is>
          <t>🟢 STRONG FIT</t>
        </is>
      </c>
      <c r="C52" s="57" t="inlineStr">
        <is>
          <t>Azure is highly suitable for this workload</t>
        </is>
      </c>
      <c r="D52" s="58" t="inlineStr">
        <is>
          <t>Proceed with detailed migration planning</t>
        </is>
      </c>
    </row>
    <row r="53" ht="27.95" customHeight="1" s="329">
      <c r="A53" s="225" t="inlineStr">
        <is>
          <t>60 — 79</t>
        </is>
      </c>
      <c r="B53" s="174" t="inlineStr">
        <is>
          <t>🟡 MODERATE FIT</t>
        </is>
      </c>
      <c r="C53" s="59" t="inlineStr">
        <is>
          <t>Azure is suitable with some considerations</t>
        </is>
      </c>
      <c r="D53" s="60" t="inlineStr">
        <is>
          <t>Address identified gaps before proceeding</t>
        </is>
      </c>
    </row>
    <row r="54" ht="27.95" customHeight="1" s="329">
      <c r="A54" s="226" t="inlineStr">
        <is>
          <t>40 — 59</t>
        </is>
      </c>
      <c r="B54" s="175" t="inlineStr">
        <is>
          <t>🟠 CONDITIONAL FIT</t>
        </is>
      </c>
      <c r="C54" s="61" t="inlineStr">
        <is>
          <t>Azure requires significant remediation</t>
        </is>
      </c>
      <c r="D54" s="62" t="inlineStr">
        <is>
          <t>Conduct detailed gap analysis; consider hybrid</t>
        </is>
      </c>
    </row>
    <row r="55" ht="27.95" customHeight="1" s="329">
      <c r="A55" s="227" t="inlineStr">
        <is>
          <t>0 — 39</t>
        </is>
      </c>
      <c r="B55" s="176" t="inlineStr">
        <is>
          <t>🔴 POOR FIT</t>
        </is>
      </c>
      <c r="C55" s="63" t="inlineStr">
        <is>
          <t>Azure may not be optimal</t>
        </is>
      </c>
      <c r="D55" s="64" t="inlineStr">
        <is>
          <t>Evaluate alternatives (AWS, GCP, Private Cloud)</t>
        </is>
      </c>
    </row>
    <row r="56" ht="20.1" customHeight="1" s="329"/>
    <row r="57" ht="32.1" customHeight="1" s="329">
      <c r="A57" s="279" t="inlineStr">
        <is>
          <t>🔧  AZURE TOOLS &amp; RESOURCES</t>
        </is>
      </c>
    </row>
    <row r="58" ht="26.1" customHeight="1" s="329">
      <c r="A58" s="223" t="inlineStr">
        <is>
          <t>TOOL / RESOURCE</t>
        </is>
      </c>
      <c r="B58" s="172" t="inlineStr">
        <is>
          <t>PURPOSE</t>
        </is>
      </c>
      <c r="C58" s="56" t="inlineStr">
        <is>
          <t>ACCESS / URL</t>
        </is>
      </c>
    </row>
    <row r="59" ht="24" customHeight="1" s="329">
      <c r="A59" s="228" t="inlineStr">
        <is>
          <t>Azure Pricing Calculator</t>
        </is>
      </c>
      <c r="B59" s="177" t="inlineStr">
        <is>
          <t>Estimate costs for Azure services</t>
        </is>
      </c>
      <c r="C59" s="65" t="inlineStr">
        <is>
          <t>azure.microsoft.com/pricing/calculator</t>
        </is>
      </c>
    </row>
    <row r="60" ht="24" customHeight="1" s="329">
      <c r="A60" s="229" t="inlineStr">
        <is>
          <t>Azure Migrate</t>
        </is>
      </c>
      <c r="B60" s="178" t="inlineStr">
        <is>
          <t>Discovery, assessment, and migration</t>
        </is>
      </c>
      <c r="C60" s="66" t="inlineStr">
        <is>
          <t>Azure Portal → Azure Migrate</t>
        </is>
      </c>
    </row>
    <row r="61" ht="24" customHeight="1" s="329">
      <c r="A61" s="228" t="inlineStr">
        <is>
          <t>Azure Site Recovery (ASR)</t>
        </is>
      </c>
      <c r="B61" s="177" t="inlineStr">
        <is>
          <t>Server replication and disaster recovery</t>
        </is>
      </c>
      <c r="C61" s="65" t="inlineStr">
        <is>
          <t>Azure Portal → Recovery Services</t>
        </is>
      </c>
    </row>
    <row r="62" ht="24" customHeight="1" s="329">
      <c r="A62" s="229" t="inlineStr">
        <is>
          <t>Azure Database Migration Service</t>
        </is>
      </c>
      <c r="B62" s="178" t="inlineStr">
        <is>
          <t>Database migration (online/offline)</t>
        </is>
      </c>
      <c r="C62" s="66" t="inlineStr">
        <is>
          <t>Azure Portal → DMS</t>
        </is>
      </c>
    </row>
    <row r="63" ht="24" customHeight="1" s="329">
      <c r="A63" s="228" t="inlineStr">
        <is>
          <t>Azure Advisor</t>
        </is>
      </c>
      <c r="B63" s="177" t="inlineStr">
        <is>
          <t>Best practices and optimization recommendations</t>
        </is>
      </c>
      <c r="C63" s="65" t="inlineStr">
        <is>
          <t>Azure Portal → Advisor</t>
        </is>
      </c>
    </row>
    <row r="64" ht="24" customHeight="1" s="329">
      <c r="A64" s="229" t="inlineStr">
        <is>
          <t>Azure Cost Management</t>
        </is>
      </c>
      <c r="B64" s="178" t="inlineStr">
        <is>
          <t>Cost monitoring and optimization</t>
        </is>
      </c>
      <c r="C64" s="66" t="inlineStr">
        <is>
          <t>Azure Portal → Cost Management</t>
        </is>
      </c>
    </row>
    <row r="65" ht="24" customHeight="1" s="329">
      <c r="A65" s="228" t="inlineStr">
        <is>
          <t>Microsoft Cloud Adoption Framework</t>
        </is>
      </c>
      <c r="B65" s="177" t="inlineStr">
        <is>
          <t>Enterprise adoption best practices</t>
        </is>
      </c>
      <c r="C65" s="65" t="inlineStr">
        <is>
          <t>docs.microsoft.com/azure/cloud-adoption-framework</t>
        </is>
      </c>
    </row>
    <row r="66" ht="24" customHeight="1" s="329">
      <c r="A66" s="229" t="inlineStr">
        <is>
          <t>Azure Well-Architected Framework</t>
        </is>
      </c>
      <c r="B66" s="178" t="inlineStr">
        <is>
          <t>Workload review and optimization</t>
        </is>
      </c>
      <c r="C66" s="66" t="inlineStr">
        <is>
          <t>docs.microsoft.com/azure/architecture/framework</t>
        </is>
      </c>
    </row>
    <row r="67" ht="24" customHeight="1" s="329">
      <c r="A67" s="230" t="inlineStr">
        <is>
          <t>Azure TCO Calculator</t>
        </is>
      </c>
      <c r="B67" s="179" t="inlineStr">
        <is>
          <t>Total Cost of Ownership comparison</t>
        </is>
      </c>
      <c r="C67" s="67" t="inlineStr">
        <is>
          <t>azure.microsoft.com/pricing/tco/calculator</t>
        </is>
      </c>
    </row>
    <row r="68" ht="20.1" customHeight="1" s="329"/>
    <row r="69" ht="32.1" customHeight="1" s="329">
      <c r="A69" s="278" t="inlineStr">
        <is>
          <t>➡️  NEXT STEPS</t>
        </is>
      </c>
    </row>
    <row r="70" ht="26.1" customHeight="1" s="329">
      <c r="A70" s="327" t="inlineStr">
        <is>
          <t>Step 1:  Review and validate the 'Assumptions' sheet with all stakeholders before proceeding</t>
        </is>
      </c>
    </row>
    <row r="71" ht="26.1" customHeight="1" s="329">
      <c r="A71" s="327" t="inlineStr">
        <is>
          <t>Step 2:  Navigate to the 'Azure Evaluation' sheet to complete all five assessment sections</t>
        </is>
      </c>
    </row>
    <row r="72" ht="26.1" customHeight="1" s="329">
      <c r="A72" s="327" t="inlineStr">
        <is>
          <t>Step 3:  Present findings and Fit Score to executive leadership for migration approval</t>
        </is>
      </c>
    </row>
    <row r="73" ht="20.1" customHeight="1" s="329"/>
    <row r="74" ht="30" customHeight="1" s="329">
      <c r="A74" s="280" t="inlineStr">
        <is>
          <t>⚠️  IMPORTANT NOTES</t>
        </is>
      </c>
    </row>
    <row r="75" ht="21.95" customHeight="1" s="329">
      <c r="A75" s="277" t="inlineStr">
        <is>
          <t>•  This evaluation framework is for initial assessment purposes. Final decisions require detailed technical due diligence.</t>
        </is>
      </c>
    </row>
    <row r="76" ht="21.95" customHeight="1" s="329">
      <c r="A76" s="277" t="inlineStr">
        <is>
          <t>•  Cost estimates are based on publicly available Azure pricing. Select currency (USD, GBP, EUR, etc.) based on customer region.</t>
        </is>
      </c>
    </row>
    <row r="77" ht="21.95" customHeight="1" s="329">
      <c r="A77" s="277" t="inlineStr">
        <is>
          <t>•  Azure Hybrid Benefit (AHB) requires eligible Windows Server or SQL Server licenses with active Software Assurance.</t>
        </is>
      </c>
    </row>
    <row r="78" ht="21.95" customHeight="1" s="329">
      <c r="A78" s="277" t="inlineStr">
        <is>
          <t>•  Data residency and regulatory compliance requirements must be validated with Legal and Compliance teams.</t>
        </is>
      </c>
    </row>
    <row r="79" ht="21.95" customHeight="1" s="329">
      <c r="A79" s="277" t="inlineStr">
        <is>
          <t>•  Microsoft EA/MCA discount percentages require validation from Microsoft Account Team before publication.</t>
        </is>
      </c>
    </row>
    <row r="80" ht="15" customHeight="1" s="329"/>
    <row r="81" ht="20.1" customHeight="1" s="329">
      <c r="A81" s="281" t="inlineStr">
        <is>
          <t>━━━━━━━━━━━━━━━━━━━━━━━━━━━━━━━━━━━━━━━━━━━━━━━━━━━━━━━━━━━━━━━━━━━━━━━━━━━━━━━━━━━━━━━━━━━━━━━━━━━━━━━━</t>
        </is>
      </c>
    </row>
    <row r="82" ht="21.95" customHeight="1" s="329">
      <c r="A82" s="282" t="inlineStr">
        <is>
          <t>Cloud Readiness Accelerator Framework  |  Azure Evaluation Framework  |  Version 1.0  |  April 2026</t>
        </is>
      </c>
    </row>
    <row r="83" ht="20.1" customHeight="1" s="329">
      <c r="A83" s="283" t="inlineStr">
        <is>
          <t>© 2026 Cloud Readiness Accelerator Framework  |  Confidential — For Authorized Use Only</t>
        </is>
      </c>
    </row>
    <row r="84" ht="27.95" customHeight="1" s="329">
      <c r="A84" s="284" t="inlineStr">
        <is>
          <t>Prepared in alignment with Microsoft Cloud Adoption Framework &amp; Azure Well-Architected Framework</t>
        </is>
      </c>
    </row>
  </sheetData>
  <sheetProtection selectLockedCells="0" selectUnlockedCells="0" sheet="1" objects="1" insertRows="1" insertHyperlinks="1" autoFilter="1" scenarios="1" formatColumns="1" deleteColumns="1" insertColumns="1" pivotTables="1" deleteRows="1" formatCells="1" formatRows="1" sort="1"/>
  <mergeCells count="48">
    <mergeCell ref="A77:E77"/>
    <mergeCell ref="A83:E83"/>
    <mergeCell ref="B47:C47"/>
    <mergeCell ref="A82:E82"/>
    <mergeCell ref="B46:C46"/>
    <mergeCell ref="B22:C22"/>
    <mergeCell ref="A1:E1"/>
    <mergeCell ref="B27:C27"/>
    <mergeCell ref="A6:E6"/>
    <mergeCell ref="A70:E70"/>
    <mergeCell ref="A79:E79"/>
    <mergeCell ref="B39:C39"/>
    <mergeCell ref="A69:E69"/>
    <mergeCell ref="B21:C21"/>
    <mergeCell ref="B48:C48"/>
    <mergeCell ref="A78:E78"/>
    <mergeCell ref="B42:C42"/>
    <mergeCell ref="B23:C23"/>
    <mergeCell ref="A75:E75"/>
    <mergeCell ref="A84:E84"/>
    <mergeCell ref="A74:E74"/>
    <mergeCell ref="A18:E18"/>
    <mergeCell ref="A3:E3"/>
    <mergeCell ref="A50:E50"/>
    <mergeCell ref="A26:E26"/>
    <mergeCell ref="A57:E57"/>
    <mergeCell ref="A2:E2"/>
    <mergeCell ref="B29:C29"/>
    <mergeCell ref="B34:C34"/>
    <mergeCell ref="A76:E76"/>
    <mergeCell ref="A71:E71"/>
    <mergeCell ref="B28:C28"/>
    <mergeCell ref="A5:E5"/>
    <mergeCell ref="A44:E44"/>
    <mergeCell ref="A32:E32"/>
    <mergeCell ref="A8:E8"/>
    <mergeCell ref="B40:C40"/>
    <mergeCell ref="B24:C24"/>
    <mergeCell ref="B30:C30"/>
    <mergeCell ref="A20:E20"/>
    <mergeCell ref="A38:E38"/>
    <mergeCell ref="B33:C33"/>
    <mergeCell ref="A81:E81"/>
    <mergeCell ref="A72:E72"/>
    <mergeCell ref="B45:C45"/>
    <mergeCell ref="B36:C36"/>
    <mergeCell ref="B41:C41"/>
    <mergeCell ref="B35:C35"/>
  </mergeCells>
  <pageMargins left="0.7" right="0.7" top="0.75" bottom="0.75" header="0.3" footer="0.3"/>
  <pageSetup orientation="landscape" paperSize="0" scale="0" horizontalDpi="0" verticalDpi="0" copies="0"/>
</worksheet>
</file>

<file path=xl/worksheets/sheet3.xml><?xml version="1.0" encoding="utf-8"?>
<worksheet xmlns="http://schemas.openxmlformats.org/spreadsheetml/2006/main">
  <sheetPr>
    <outlinePr summaryBelow="1" summaryRight="1"/>
    <pageSetUpPr/>
  </sheetPr>
  <dimension ref="B3:C7"/>
  <sheetViews>
    <sheetView workbookViewId="0">
      <selection activeCell="C18" sqref="C18"/>
    </sheetView>
  </sheetViews>
  <sheetFormatPr baseColWidth="8" defaultRowHeight="14.45"/>
  <cols>
    <col width="57.42578125" bestFit="1" customWidth="1" style="329" min="2" max="2"/>
    <col width="96.85546875" bestFit="1" customWidth="1" style="329" min="3" max="3"/>
  </cols>
  <sheetData>
    <row r="3">
      <c r="B3" s="274" t="inlineStr">
        <is>
          <t>Azure Migrate Deployment Guide [Scenario dependant on website]</t>
        </is>
      </c>
      <c r="C3" s="274" t="inlineStr">
        <is>
          <t>https://learn.microsoft.com/en-us/azure/migrate/migrate-appliance?view=migrate#deployment-scenarios</t>
        </is>
      </c>
    </row>
    <row r="5">
      <c r="B5" t="inlineStr">
        <is>
          <t>Determine your motivations, mission, and objectives</t>
        </is>
      </c>
      <c r="C5" t="inlineStr">
        <is>
          <t>https://learn.microsoft.com/en-us/azure/cloud-adoption-framework/strategy/motivations#tools-and-calculators</t>
        </is>
      </c>
    </row>
    <row r="6">
      <c r="B6" s="274" t="n"/>
    </row>
    <row r="7">
      <c r="B7" t="inlineStr">
        <is>
          <t>Cloud Adoption Strategy Evaluator</t>
        </is>
      </c>
      <c r="C7" s="274" t="inlineStr">
        <is>
          <t>https://learn.microsoft.com/en-us/assessments/8fefc6d5-97ac-42b3-8e97-d82701e55bab/</t>
        </is>
      </c>
    </row>
  </sheetData>
  <hyperlinks>
    <hyperlink xmlns:r="http://schemas.openxmlformats.org/officeDocument/2006/relationships" ref="B3" location="deployment-scenarios" display="https://learn.microsoft.com/en-us/azure/migrate/migrate-appliance - deployment-scenarios" r:id="rId1"/>
    <hyperlink xmlns:r="http://schemas.openxmlformats.org/officeDocument/2006/relationships" ref="C3" location="deployment-scenarios" r:id="rId2"/>
    <hyperlink xmlns:r="http://schemas.openxmlformats.org/officeDocument/2006/relationships" ref="C7" r:id="rId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33"/>
  <sheetViews>
    <sheetView workbookViewId="0">
      <pane ySplit="4" topLeftCell="A72" activePane="bottomLeft" state="frozen"/>
      <selection pane="bottomLeft" activeCell="B14" sqref="B14"/>
    </sheetView>
  </sheetViews>
  <sheetFormatPr baseColWidth="8" defaultRowHeight="14.45"/>
  <cols>
    <col width="36.42578125" customWidth="1" style="329" min="1" max="1"/>
    <col width="35.85546875" customWidth="1" style="329" min="2" max="2"/>
    <col width="37.42578125" customWidth="1" style="23" min="3" max="3"/>
    <col width="27.28515625" customWidth="1" style="23" min="4" max="4"/>
    <col width="31.42578125" bestFit="1" customWidth="1" style="23" min="5" max="5"/>
    <col width="32.7109375" customWidth="1" style="329" min="6" max="6"/>
  </cols>
  <sheetData>
    <row r="1" ht="32.1" customHeight="1" s="329">
      <c r="A1" s="302" t="inlineStr">
        <is>
          <t>📋 AZURE MIGRATION TCO ASSUMPTIONS</t>
        </is>
      </c>
    </row>
    <row r="2">
      <c r="A2" s="303" t="inlineStr">
        <is>
          <t>Like-to-Like (PAYG &amp; 3-Year) vs Optimized View | Azure Migrate Assessment Settings</t>
        </is>
      </c>
    </row>
    <row r="3" ht="21.95" customHeight="1" s="329">
      <c r="A3" s="304" t="inlineStr">
        <is>
          <t>💱 Currency: USD ($) — Select currency based on your customer's region (USD, GBP, EUR, etc.)</t>
        </is>
      </c>
    </row>
    <row r="4" ht="21.95" customHeight="1" s="329">
      <c r="A4" s="293" t="n"/>
      <c r="B4" s="293" t="n"/>
      <c r="C4" s="38" t="n"/>
      <c r="D4" s="38" t="n"/>
      <c r="E4" s="38" t="n"/>
    </row>
    <row r="5" ht="27.95" customHeight="1" s="329">
      <c r="A5" s="300" t="inlineStr">
        <is>
          <t>Section 1 — Like-to-Like Option 1 (Part 1) - PAYG/On Demand Baseline</t>
        </is>
      </c>
    </row>
    <row r="6" ht="12" customHeight="1" s="329">
      <c r="A6" s="231" t="inlineStr">
        <is>
          <t>Category</t>
        </is>
      </c>
      <c r="B6" s="180" t="inlineStr">
        <is>
          <t>Parameter</t>
        </is>
      </c>
      <c r="C6" s="39" t="inlineStr">
        <is>
          <t>Region A</t>
        </is>
      </c>
      <c r="D6" s="39" t="inlineStr">
        <is>
          <t>Region B</t>
        </is>
      </c>
      <c r="E6" s="39" t="inlineStr">
        <is>
          <t>Region C</t>
        </is>
      </c>
    </row>
    <row r="7" ht="27.95" customHeight="1" s="329">
      <c r="A7" s="292" t="inlineStr">
        <is>
          <t>▸ Target and Pricing</t>
        </is>
      </c>
      <c r="B7" s="330" t="n"/>
      <c r="C7" s="330" t="n"/>
      <c r="D7" s="330" t="n"/>
      <c r="E7" s="331" t="n"/>
    </row>
    <row r="8">
      <c r="A8" s="232" t="inlineStr">
        <is>
          <t>Target and pricing</t>
        </is>
      </c>
      <c r="B8" s="181" t="inlineStr">
        <is>
          <t>Default target location</t>
        </is>
      </c>
      <c r="C8" s="40" t="inlineStr">
        <is>
          <t>Region A</t>
        </is>
      </c>
      <c r="D8" s="40" t="inlineStr">
        <is>
          <t>Region B</t>
        </is>
      </c>
      <c r="E8" s="40" t="inlineStr">
        <is>
          <t>Region C</t>
        </is>
      </c>
    </row>
    <row r="9">
      <c r="A9" s="233" t="inlineStr">
        <is>
          <t>Target and pricing</t>
        </is>
      </c>
      <c r="B9" s="182" t="inlineStr">
        <is>
          <t>Default environment</t>
        </is>
      </c>
      <c r="C9" s="41" t="inlineStr">
        <is>
          <t>Production</t>
        </is>
      </c>
      <c r="D9" s="41" t="inlineStr">
        <is>
          <t>Production</t>
        </is>
      </c>
      <c r="E9" s="41" t="inlineStr">
        <is>
          <t>Production</t>
        </is>
      </c>
    </row>
    <row r="10">
      <c r="A10" s="232" t="inlineStr">
        <is>
          <t>Target and pricing</t>
        </is>
      </c>
      <c r="B10" s="181" t="inlineStr">
        <is>
          <t>Currency</t>
        </is>
      </c>
      <c r="C10" s="40" t="inlineStr">
        <is>
          <t>US Dollar (USD)</t>
        </is>
      </c>
      <c r="D10" s="40" t="inlineStr">
        <is>
          <t>US Dollar (USD)</t>
        </is>
      </c>
      <c r="E10" s="40" t="inlineStr">
        <is>
          <t>US Dollar (USD)</t>
        </is>
      </c>
    </row>
    <row r="11">
      <c r="A11" s="233" t="inlineStr">
        <is>
          <t>Target and pricing</t>
        </is>
      </c>
      <c r="B11" s="182" t="inlineStr">
        <is>
          <t>Program/offer</t>
        </is>
      </c>
      <c r="C11" s="41" t="inlineStr">
        <is>
          <t>Pay-As-You-Go</t>
        </is>
      </c>
      <c r="D11" s="41" t="inlineStr">
        <is>
          <t>Pay-As-You-Go</t>
        </is>
      </c>
      <c r="E11" s="41" t="inlineStr">
        <is>
          <t>Pay-As-You-Go</t>
        </is>
      </c>
    </row>
    <row r="12">
      <c r="A12" s="232" t="inlineStr">
        <is>
          <t>Target and pricing</t>
        </is>
      </c>
      <c r="B12" s="181" t="inlineStr">
        <is>
          <t>Default savings option</t>
        </is>
      </c>
      <c r="C12" s="40" t="inlineStr">
        <is>
          <t>None</t>
        </is>
      </c>
      <c r="D12" s="40" t="inlineStr">
        <is>
          <t>None</t>
        </is>
      </c>
      <c r="E12" s="40" t="inlineStr">
        <is>
          <t>None</t>
        </is>
      </c>
    </row>
    <row r="13">
      <c r="A13" s="233" t="inlineStr">
        <is>
          <t>Target and pricing</t>
        </is>
      </c>
      <c r="B13" s="182" t="inlineStr">
        <is>
          <t>Discount (%)</t>
        </is>
      </c>
      <c r="C13" s="41" t="n">
        <v>0</v>
      </c>
      <c r="D13" s="41" t="n">
        <v>0</v>
      </c>
      <c r="E13" s="41" t="n">
        <v>0</v>
      </c>
    </row>
    <row r="14">
      <c r="A14" s="232" t="inlineStr">
        <is>
          <t>Target and pricing</t>
        </is>
      </c>
      <c r="B14" s="181" t="inlineStr">
        <is>
          <t>Uptime (days per month)</t>
        </is>
      </c>
      <c r="C14" s="40" t="n">
        <v>31</v>
      </c>
      <c r="D14" s="40" t="n">
        <v>31</v>
      </c>
      <c r="E14" s="40" t="n">
        <v>31</v>
      </c>
    </row>
    <row r="15">
      <c r="A15" s="233" t="inlineStr">
        <is>
          <t>Target and pricing</t>
        </is>
      </c>
      <c r="B15" s="182" t="inlineStr">
        <is>
          <t>Hours per day</t>
        </is>
      </c>
      <c r="C15" s="41" t="n">
        <v>24</v>
      </c>
      <c r="D15" s="41" t="n">
        <v>24</v>
      </c>
      <c r="E15" s="41" t="n">
        <v>24</v>
      </c>
    </row>
    <row r="16">
      <c r="A16" s="299" t="inlineStr">
        <is>
          <t>▸ Assessment Criteria</t>
        </is>
      </c>
      <c r="B16" s="330" t="n"/>
      <c r="C16" s="330" t="n"/>
      <c r="D16" s="330" t="n"/>
      <c r="E16" s="331" t="n"/>
    </row>
    <row r="17">
      <c r="A17" s="233" t="inlineStr">
        <is>
          <t>Assessment criteria</t>
        </is>
      </c>
      <c r="B17" s="182" t="inlineStr">
        <is>
          <t>Sizing criteria</t>
        </is>
      </c>
      <c r="C17" s="41" t="inlineStr">
        <is>
          <t>Performance-based</t>
        </is>
      </c>
      <c r="D17" s="41" t="inlineStr">
        <is>
          <t>Performance-based</t>
        </is>
      </c>
      <c r="E17" s="41" t="inlineStr">
        <is>
          <t>Performance-based</t>
        </is>
      </c>
    </row>
    <row r="18">
      <c r="A18" s="232" t="inlineStr">
        <is>
          <t>Assessment criteria</t>
        </is>
      </c>
      <c r="B18" s="181" t="inlineStr">
        <is>
          <t>Performance history</t>
        </is>
      </c>
      <c r="C18" s="40" t="inlineStr">
        <is>
          <t>1 Month</t>
        </is>
      </c>
      <c r="D18" s="40" t="inlineStr">
        <is>
          <t>1 Month</t>
        </is>
      </c>
      <c r="E18" s="40" t="inlineStr">
        <is>
          <t>1 Month</t>
        </is>
      </c>
    </row>
    <row r="19">
      <c r="A19" s="233" t="inlineStr">
        <is>
          <t>Assessment criteria</t>
        </is>
      </c>
      <c r="B19" s="182" t="inlineStr">
        <is>
          <t>Percentile utilization</t>
        </is>
      </c>
      <c r="C19" s="41" t="inlineStr">
        <is>
          <t>95th</t>
        </is>
      </c>
      <c r="D19" s="41" t="inlineStr">
        <is>
          <t>95th</t>
        </is>
      </c>
      <c r="E19" s="41" t="inlineStr">
        <is>
          <t>95th</t>
        </is>
      </c>
    </row>
    <row r="20" ht="27.95" customHeight="1" s="329">
      <c r="A20" s="232" t="inlineStr">
        <is>
          <t>Assessment criteria</t>
        </is>
      </c>
      <c r="B20" s="181" t="inlineStr">
        <is>
          <t>Comfort factor</t>
        </is>
      </c>
      <c r="C20" s="40" t="n">
        <v>1</v>
      </c>
      <c r="D20" s="40" t="n">
        <v>1</v>
      </c>
      <c r="E20" s="40" t="n">
        <v>1</v>
      </c>
    </row>
    <row r="21" ht="24" customHeight="1" s="329">
      <c r="A21" s="292" t="inlineStr">
        <is>
          <t>▸ Storage / Disks</t>
        </is>
      </c>
      <c r="B21" s="330" t="n"/>
      <c r="C21" s="330" t="n"/>
      <c r="D21" s="330" t="n"/>
      <c r="E21" s="331" t="n"/>
    </row>
    <row r="22">
      <c r="A22" s="232" t="inlineStr">
        <is>
          <t>Storage / disks</t>
        </is>
      </c>
      <c r="B22" s="181" t="inlineStr">
        <is>
          <t>Managed disk type</t>
        </is>
      </c>
      <c r="C22" s="40" t="inlineStr">
        <is>
          <t>Premium SSD, Standard SSD</t>
        </is>
      </c>
      <c r="D22" s="40" t="inlineStr">
        <is>
          <t>Premium SSD, Standard SSD</t>
        </is>
      </c>
      <c r="E22" s="40" t="inlineStr">
        <is>
          <t>Premium SSD, Standard SSD</t>
        </is>
      </c>
    </row>
    <row r="23">
      <c r="A23" s="292" t="inlineStr">
        <is>
          <t>▸ Azure Hybrid Benefit (AHB)</t>
        </is>
      </c>
      <c r="B23" s="330" t="n"/>
      <c r="C23" s="330" t="n"/>
      <c r="D23" s="330" t="n"/>
      <c r="E23" s="331" t="n"/>
    </row>
    <row r="24">
      <c r="A24" s="232" t="inlineStr">
        <is>
          <t>Azure Hybrid Benefit</t>
        </is>
      </c>
      <c r="B24" s="181" t="inlineStr">
        <is>
          <t>Windows Server license applied?</t>
        </is>
      </c>
      <c r="C24" s="40" t="inlineStr">
        <is>
          <t>No</t>
        </is>
      </c>
      <c r="D24" s="40" t="inlineStr">
        <is>
          <t>No</t>
        </is>
      </c>
      <c r="E24" s="40" t="inlineStr">
        <is>
          <t>No</t>
        </is>
      </c>
    </row>
    <row r="25">
      <c r="A25" s="233" t="inlineStr">
        <is>
          <t>Azure Hybrid Benefit</t>
        </is>
      </c>
      <c r="B25" s="182" t="inlineStr">
        <is>
          <t>Enterprise Linux subscription applied?</t>
        </is>
      </c>
      <c r="C25" s="41" t="inlineStr">
        <is>
          <t>No</t>
        </is>
      </c>
      <c r="D25" s="41" t="inlineStr">
        <is>
          <t>No</t>
        </is>
      </c>
      <c r="E25" s="41" t="inlineStr">
        <is>
          <t>No</t>
        </is>
      </c>
    </row>
    <row r="26" ht="24" customHeight="1" s="329">
      <c r="A26" s="299" t="inlineStr">
        <is>
          <t>▸ Security</t>
        </is>
      </c>
      <c r="B26" s="330" t="n"/>
      <c r="C26" s="330" t="n"/>
      <c r="D26" s="330" t="n"/>
      <c r="E26" s="331" t="n"/>
    </row>
    <row r="27">
      <c r="A27" s="233" t="inlineStr">
        <is>
          <t>Security</t>
        </is>
      </c>
      <c r="B27" s="182" t="inlineStr">
        <is>
          <t>Include Microsoft Defender for Cloud?</t>
        </is>
      </c>
      <c r="C27" s="41" t="inlineStr">
        <is>
          <t>No</t>
        </is>
      </c>
      <c r="D27" s="41" t="inlineStr">
        <is>
          <t>No</t>
        </is>
      </c>
      <c r="E27" s="41" t="inlineStr">
        <is>
          <t>No</t>
        </is>
      </c>
    </row>
    <row r="28">
      <c r="A28" s="299" t="inlineStr">
        <is>
          <t>▸ Additional Baseline Rules</t>
        </is>
      </c>
      <c r="B28" s="330" t="n"/>
      <c r="C28" s="330" t="n"/>
      <c r="D28" s="330" t="n"/>
      <c r="E28" s="331" t="n"/>
    </row>
    <row r="29" ht="29.1" customHeight="1" s="329">
      <c r="A29" s="233" t="inlineStr">
        <is>
          <t>Baseline rules</t>
        </is>
      </c>
      <c r="B29" s="182" t="inlineStr">
        <is>
          <t>VM sizing method</t>
        </is>
      </c>
      <c r="C29" s="54" t="inlineStr">
        <is>
          <t>Right-size using utilization data (where available)</t>
        </is>
      </c>
      <c r="D29" s="41" t="inlineStr">
        <is>
          <t>Same</t>
        </is>
      </c>
      <c r="E29" s="41" t="inlineStr">
        <is>
          <t>Same</t>
        </is>
      </c>
    </row>
    <row r="30">
      <c r="A30" s="232" t="inlineStr">
        <is>
          <t>Baseline rules</t>
        </is>
      </c>
      <c r="B30" s="181" t="inlineStr">
        <is>
          <t>On-prem VM SKU mapping</t>
        </is>
      </c>
      <c r="C30" s="45" t="inlineStr">
        <is>
          <t>Do not map on-prem to identical cloud SKU</t>
        </is>
      </c>
      <c r="D30" s="40" t="inlineStr">
        <is>
          <t>Same</t>
        </is>
      </c>
      <c r="E30" s="40" t="inlineStr">
        <is>
          <t>Same</t>
        </is>
      </c>
    </row>
    <row r="31">
      <c r="A31" s="233" t="inlineStr">
        <is>
          <t>Baseline rules</t>
        </is>
      </c>
      <c r="B31" s="182" t="inlineStr">
        <is>
          <t>Storage type</t>
        </is>
      </c>
      <c r="C31" s="41" t="inlineStr">
        <is>
          <t>Use Premium SSD and Standard Disks</t>
        </is>
      </c>
      <c r="D31" s="41" t="inlineStr">
        <is>
          <t>Same</t>
        </is>
      </c>
      <c r="E31" s="41" t="inlineStr">
        <is>
          <t>Same</t>
        </is>
      </c>
    </row>
    <row r="32">
      <c r="A32" s="293" t="n"/>
      <c r="B32" s="293" t="n"/>
      <c r="C32" s="38" t="n"/>
      <c r="D32" s="38" t="n"/>
      <c r="E32" s="38" t="n"/>
    </row>
    <row r="33" ht="27.95" customHeight="1" s="329">
      <c r="A33" s="300" t="inlineStr">
        <is>
          <t>Section 2 — Like-to-Like Option 1 (Part 2) - 3-Year Commitment Baseline</t>
        </is>
      </c>
    </row>
    <row r="34">
      <c r="A34" s="231" t="inlineStr">
        <is>
          <t>Category</t>
        </is>
      </c>
      <c r="B34" s="180" t="inlineStr">
        <is>
          <t>Parameter</t>
        </is>
      </c>
      <c r="C34" s="39" t="inlineStr">
        <is>
          <t>Region A</t>
        </is>
      </c>
      <c r="D34" s="39" t="inlineStr">
        <is>
          <t>Region B</t>
        </is>
      </c>
      <c r="E34" s="39" t="inlineStr">
        <is>
          <t>Region C</t>
        </is>
      </c>
    </row>
    <row r="35">
      <c r="A35" s="292" t="inlineStr">
        <is>
          <t>▸ Target and Pricing</t>
        </is>
      </c>
      <c r="B35" s="330" t="n"/>
      <c r="C35" s="330" t="n"/>
      <c r="D35" s="330" t="n"/>
      <c r="E35" s="331" t="n"/>
    </row>
    <row r="36">
      <c r="A36" s="232" t="inlineStr">
        <is>
          <t>Target and pricing</t>
        </is>
      </c>
      <c r="B36" s="181" t="inlineStr">
        <is>
          <t>Default target location</t>
        </is>
      </c>
      <c r="C36" s="40" t="inlineStr">
        <is>
          <t>Region A</t>
        </is>
      </c>
      <c r="D36" s="40" t="inlineStr">
        <is>
          <t>Region B</t>
        </is>
      </c>
      <c r="E36" s="40" t="inlineStr">
        <is>
          <t>Region C</t>
        </is>
      </c>
    </row>
    <row r="37" ht="24" customHeight="1" s="329">
      <c r="A37" s="233" t="inlineStr">
        <is>
          <t>Target and pricing</t>
        </is>
      </c>
      <c r="B37" s="182" t="inlineStr">
        <is>
          <t>Default environment</t>
        </is>
      </c>
      <c r="C37" s="41" t="inlineStr">
        <is>
          <t>Production</t>
        </is>
      </c>
      <c r="D37" s="41" t="inlineStr">
        <is>
          <t>Production</t>
        </is>
      </c>
      <c r="E37" s="41" t="inlineStr">
        <is>
          <t>Production</t>
        </is>
      </c>
    </row>
    <row r="38">
      <c r="A38" s="232" t="inlineStr">
        <is>
          <t>Target and pricing</t>
        </is>
      </c>
      <c r="B38" s="181" t="inlineStr">
        <is>
          <t>Currency</t>
        </is>
      </c>
      <c r="C38" s="40" t="inlineStr">
        <is>
          <t>US Dollar (USD)</t>
        </is>
      </c>
      <c r="D38" s="40" t="inlineStr">
        <is>
          <t>US Dollar (USD)</t>
        </is>
      </c>
      <c r="E38" s="40" t="inlineStr">
        <is>
          <t>US Dollar (USD)</t>
        </is>
      </c>
    </row>
    <row r="39">
      <c r="A39" s="233" t="inlineStr">
        <is>
          <t>Target and pricing</t>
        </is>
      </c>
      <c r="B39" s="182" t="inlineStr">
        <is>
          <t>Program/offer</t>
        </is>
      </c>
      <c r="C39" s="41" t="inlineStr">
        <is>
          <t>Pay-As-You-Go</t>
        </is>
      </c>
      <c r="D39" s="41" t="inlineStr">
        <is>
          <t>Pay-As-You-Go</t>
        </is>
      </c>
      <c r="E39" s="41" t="inlineStr">
        <is>
          <t>Pay-As-You-Go</t>
        </is>
      </c>
    </row>
    <row r="40">
      <c r="A40" s="232" t="inlineStr">
        <is>
          <t>Target and pricing</t>
        </is>
      </c>
      <c r="B40" s="181" t="inlineStr">
        <is>
          <t>Default savings option</t>
        </is>
      </c>
      <c r="C40" s="40" t="inlineStr">
        <is>
          <t>3 year reservation</t>
        </is>
      </c>
      <c r="D40" s="40" t="inlineStr">
        <is>
          <t>Same</t>
        </is>
      </c>
      <c r="E40" s="40" t="inlineStr">
        <is>
          <t>Same</t>
        </is>
      </c>
    </row>
    <row r="41">
      <c r="A41" s="233" t="inlineStr">
        <is>
          <t>Target and pricing</t>
        </is>
      </c>
      <c r="B41" s="182" t="inlineStr">
        <is>
          <t>Discount (%)</t>
        </is>
      </c>
      <c r="C41" s="41" t="n">
        <v>0</v>
      </c>
      <c r="D41" s="41" t="n">
        <v>0</v>
      </c>
      <c r="E41" s="41" t="n">
        <v>0</v>
      </c>
    </row>
    <row r="42">
      <c r="A42" s="232" t="inlineStr">
        <is>
          <t>Target and pricing</t>
        </is>
      </c>
      <c r="B42" s="181" t="inlineStr">
        <is>
          <t>Reservation term</t>
        </is>
      </c>
      <c r="C42" s="40" t="inlineStr">
        <is>
          <t>3 years</t>
        </is>
      </c>
      <c r="D42" s="40" t="inlineStr">
        <is>
          <t>3 years</t>
        </is>
      </c>
      <c r="E42" s="40" t="inlineStr">
        <is>
          <t>3 years</t>
        </is>
      </c>
    </row>
    <row r="43">
      <c r="A43" s="233" t="inlineStr">
        <is>
          <t>Target and pricing</t>
        </is>
      </c>
      <c r="B43" s="182" t="inlineStr">
        <is>
          <t>Uptime assumption</t>
        </is>
      </c>
      <c r="C43" s="41" t="inlineStr">
        <is>
          <t>24x7 (744 hrs/month)</t>
        </is>
      </c>
      <c r="D43" s="41" t="inlineStr">
        <is>
          <t>Same</t>
        </is>
      </c>
      <c r="E43" s="41" t="inlineStr">
        <is>
          <t>Same</t>
        </is>
      </c>
    </row>
    <row r="44">
      <c r="A44" s="299" t="inlineStr">
        <is>
          <t>▸ Assessment Criteria</t>
        </is>
      </c>
      <c r="B44" s="330" t="n"/>
      <c r="C44" s="330" t="n"/>
      <c r="D44" s="330" t="n"/>
      <c r="E44" s="331" t="n"/>
    </row>
    <row r="45">
      <c r="A45" s="233" t="inlineStr">
        <is>
          <t>Assessment criteria</t>
        </is>
      </c>
      <c r="B45" s="182" t="inlineStr">
        <is>
          <t>Sizing criteria</t>
        </is>
      </c>
      <c r="C45" s="41" t="inlineStr">
        <is>
          <t>Performance-based</t>
        </is>
      </c>
      <c r="D45" s="41" t="inlineStr">
        <is>
          <t>Performance-based</t>
        </is>
      </c>
      <c r="E45" s="41" t="inlineStr">
        <is>
          <t>Performance-based</t>
        </is>
      </c>
    </row>
    <row r="46">
      <c r="A46" s="232" t="inlineStr">
        <is>
          <t>Assessment criteria</t>
        </is>
      </c>
      <c r="B46" s="181" t="inlineStr">
        <is>
          <t>Performance history</t>
        </is>
      </c>
      <c r="C46" s="40" t="inlineStr">
        <is>
          <t>1 Month</t>
        </is>
      </c>
      <c r="D46" s="40" t="inlineStr">
        <is>
          <t>1 Month</t>
        </is>
      </c>
      <c r="E46" s="40" t="inlineStr">
        <is>
          <t>1 Month</t>
        </is>
      </c>
    </row>
    <row r="47">
      <c r="A47" s="233" t="inlineStr">
        <is>
          <t>Assessment criteria</t>
        </is>
      </c>
      <c r="B47" s="182" t="inlineStr">
        <is>
          <t>Percentile utilization</t>
        </is>
      </c>
      <c r="C47" s="41" t="inlineStr">
        <is>
          <t>95th</t>
        </is>
      </c>
      <c r="D47" s="41" t="inlineStr">
        <is>
          <t>95th</t>
        </is>
      </c>
      <c r="E47" s="41" t="inlineStr">
        <is>
          <t>95th</t>
        </is>
      </c>
    </row>
    <row r="48">
      <c r="A48" s="232" t="inlineStr">
        <is>
          <t>Assessment criteria</t>
        </is>
      </c>
      <c r="B48" s="181" t="inlineStr">
        <is>
          <t>Comfort factor</t>
        </is>
      </c>
      <c r="C48" s="40" t="n">
        <v>1</v>
      </c>
      <c r="D48" s="40" t="n">
        <v>1</v>
      </c>
      <c r="E48" s="40" t="n">
        <v>1</v>
      </c>
    </row>
    <row r="49">
      <c r="A49" s="292" t="inlineStr">
        <is>
          <t>▸ Azure Hybrid Benefit (AHB)</t>
        </is>
      </c>
      <c r="B49" s="330" t="n"/>
      <c r="C49" s="330" t="n"/>
      <c r="D49" s="330" t="n"/>
      <c r="E49" s="331" t="n"/>
    </row>
    <row r="50">
      <c r="A50" s="232" t="inlineStr">
        <is>
          <t>Azure Hybrid Benefit</t>
        </is>
      </c>
      <c r="B50" s="181" t="inlineStr">
        <is>
          <t>Windows Server license applied?</t>
        </is>
      </c>
      <c r="C50" s="40" t="inlineStr">
        <is>
          <t>No</t>
        </is>
      </c>
      <c r="D50" s="40" t="inlineStr">
        <is>
          <t>No</t>
        </is>
      </c>
      <c r="E50" s="40" t="inlineStr">
        <is>
          <t>No</t>
        </is>
      </c>
    </row>
    <row r="51" ht="27.95" customHeight="1" s="329">
      <c r="A51" s="233" t="inlineStr">
        <is>
          <t>Azure Hybrid Benefit</t>
        </is>
      </c>
      <c r="B51" s="182" t="inlineStr">
        <is>
          <t>Enterprise Linux subscription applied?</t>
        </is>
      </c>
      <c r="C51" s="41" t="inlineStr">
        <is>
          <t>No</t>
        </is>
      </c>
      <c r="D51" s="41" t="inlineStr">
        <is>
          <t>No</t>
        </is>
      </c>
      <c r="E51" s="41" t="inlineStr">
        <is>
          <t>No</t>
        </is>
      </c>
    </row>
    <row r="52" ht="24" customHeight="1" s="329">
      <c r="A52" s="299" t="inlineStr">
        <is>
          <t>▸ Security</t>
        </is>
      </c>
      <c r="B52" s="330" t="n"/>
      <c r="C52" s="330" t="n"/>
      <c r="D52" s="330" t="n"/>
      <c r="E52" s="331" t="n"/>
    </row>
    <row r="53">
      <c r="A53" s="233" t="inlineStr">
        <is>
          <t>Security</t>
        </is>
      </c>
      <c r="B53" s="182" t="inlineStr">
        <is>
          <t>Include Microsoft Defender for Cloud</t>
        </is>
      </c>
      <c r="C53" s="41" t="inlineStr">
        <is>
          <t>No</t>
        </is>
      </c>
      <c r="D53" s="41" t="inlineStr">
        <is>
          <t>No</t>
        </is>
      </c>
      <c r="E53" s="41" t="inlineStr">
        <is>
          <t>No</t>
        </is>
      </c>
    </row>
    <row r="54">
      <c r="A54" s="299" t="inlineStr">
        <is>
          <t>▸ Storage / Disks</t>
        </is>
      </c>
      <c r="B54" s="330" t="n"/>
      <c r="C54" s="330" t="n"/>
      <c r="D54" s="330" t="n"/>
      <c r="E54" s="331" t="n"/>
    </row>
    <row r="55">
      <c r="A55" s="233" t="inlineStr">
        <is>
          <t>Storage / disks</t>
        </is>
      </c>
      <c r="B55" s="182" t="inlineStr">
        <is>
          <t>Managed disk type</t>
        </is>
      </c>
      <c r="C55" s="41" t="inlineStr">
        <is>
          <t>Premium SSD, Standard SSD</t>
        </is>
      </c>
      <c r="D55" s="41" t="inlineStr">
        <is>
          <t>Premium SSD, Standard SSD</t>
        </is>
      </c>
      <c r="E55" s="41" t="inlineStr">
        <is>
          <t>Premium SSD, Standard SSD</t>
        </is>
      </c>
    </row>
    <row r="56">
      <c r="A56" s="299" t="inlineStr">
        <is>
          <t>▸ Additional Baseline Rules</t>
        </is>
      </c>
      <c r="B56" s="330" t="n"/>
      <c r="C56" s="330" t="n"/>
      <c r="D56" s="330" t="n"/>
      <c r="E56" s="331" t="n"/>
    </row>
    <row r="57" ht="29.1" customHeight="1" s="329">
      <c r="A57" s="233" t="inlineStr">
        <is>
          <t>Baseline rules</t>
        </is>
      </c>
      <c r="B57" s="182" t="inlineStr">
        <is>
          <t>VM sizing method</t>
        </is>
      </c>
      <c r="C57" s="54" t="inlineStr">
        <is>
          <t>Right-size using utilization data (where available)</t>
        </is>
      </c>
      <c r="D57" s="41" t="inlineStr">
        <is>
          <t>Same</t>
        </is>
      </c>
      <c r="E57" s="41" t="inlineStr">
        <is>
          <t>Same</t>
        </is>
      </c>
    </row>
    <row r="58">
      <c r="A58" s="232" t="inlineStr">
        <is>
          <t>Baseline rules</t>
        </is>
      </c>
      <c r="B58" s="181" t="inlineStr">
        <is>
          <t>On-prem VM SKU mapping</t>
        </is>
      </c>
      <c r="C58" s="45" t="inlineStr">
        <is>
          <t>Do not map on-prem to identical cloud SKU</t>
        </is>
      </c>
      <c r="D58" s="40" t="inlineStr">
        <is>
          <t>Same</t>
        </is>
      </c>
      <c r="E58" s="40" t="inlineStr">
        <is>
          <t>Same</t>
        </is>
      </c>
    </row>
    <row r="59">
      <c r="A59" s="233" t="inlineStr">
        <is>
          <t>Baseline rules</t>
        </is>
      </c>
      <c r="B59" s="182" t="inlineStr">
        <is>
          <t>Storage type</t>
        </is>
      </c>
      <c r="C59" s="41" t="inlineStr">
        <is>
          <t>Use Premium SSD and Standard Disks</t>
        </is>
      </c>
      <c r="D59" s="41" t="inlineStr">
        <is>
          <t>Same</t>
        </is>
      </c>
      <c r="E59" s="41" t="inlineStr">
        <is>
          <t>Same</t>
        </is>
      </c>
    </row>
    <row r="60">
      <c r="A60" s="293" t="n"/>
      <c r="B60" s="293" t="n"/>
      <c r="C60" s="38" t="n"/>
      <c r="D60" s="38" t="n"/>
      <c r="E60" s="38" t="n"/>
    </row>
    <row r="61" ht="27.95" customHeight="1" s="329">
      <c r="A61" s="300" t="inlineStr">
        <is>
          <t>Section 3 — Optimized Option - Azure Migrate Assessment Settings</t>
        </is>
      </c>
    </row>
    <row r="62">
      <c r="A62" s="231" t="inlineStr">
        <is>
          <t>Category</t>
        </is>
      </c>
      <c r="B62" s="180" t="inlineStr">
        <is>
          <t>Parameter</t>
        </is>
      </c>
      <c r="C62" s="39" t="inlineStr">
        <is>
          <t>Region A</t>
        </is>
      </c>
      <c r="D62" s="39" t="inlineStr">
        <is>
          <t>Region B</t>
        </is>
      </c>
      <c r="E62" s="39" t="inlineStr">
        <is>
          <t>Region C</t>
        </is>
      </c>
    </row>
    <row r="63">
      <c r="A63" s="292" t="inlineStr">
        <is>
          <t>▸ Optimization Framing</t>
        </is>
      </c>
      <c r="B63" s="330" t="n"/>
      <c r="C63" s="330" t="n"/>
      <c r="D63" s="330" t="n"/>
      <c r="E63" s="331" t="n"/>
    </row>
    <row r="64" ht="29.1" customHeight="1" s="329">
      <c r="A64" s="232" t="inlineStr">
        <is>
          <t>Optimization framing</t>
        </is>
      </c>
      <c r="B64" s="181" t="inlineStr">
        <is>
          <t>Commitment model</t>
        </is>
      </c>
      <c r="C64" s="45" t="inlineStr">
        <is>
          <t>3-year commitment positioned as optimized baseline</t>
        </is>
      </c>
      <c r="D64" s="40" t="inlineStr">
        <is>
          <t>Same</t>
        </is>
      </c>
      <c r="E64" s="40" t="inlineStr">
        <is>
          <t>Same</t>
        </is>
      </c>
    </row>
    <row r="65" ht="29.1" customHeight="1" s="329">
      <c r="A65" s="233" t="inlineStr">
        <is>
          <t>Optimization framing</t>
        </is>
      </c>
      <c r="B65" s="272" t="inlineStr">
        <is>
          <t>Subscription program offer discount (EA/MCA)</t>
        </is>
      </c>
      <c r="C65" s="103" t="inlineStr">
        <is>
          <t>TBD (with Microsoft)</t>
        </is>
      </c>
      <c r="D65" s="103" t="inlineStr">
        <is>
          <t>TBD</t>
        </is>
      </c>
      <c r="E65" s="103" t="inlineStr">
        <is>
          <t>TBD</t>
        </is>
      </c>
    </row>
    <row r="66">
      <c r="A66" s="232" t="inlineStr">
        <is>
          <t>Optimization framing</t>
        </is>
      </c>
      <c r="B66" s="181" t="inlineStr">
        <is>
          <t>Discount %</t>
        </is>
      </c>
      <c r="C66" s="104" t="inlineStr">
        <is>
          <t>TBD (with Microsoft)</t>
        </is>
      </c>
      <c r="D66" s="104" t="inlineStr">
        <is>
          <t>Same</t>
        </is>
      </c>
      <c r="E66" s="104" t="inlineStr">
        <is>
          <t>Same</t>
        </is>
      </c>
    </row>
    <row r="67">
      <c r="A67" s="292" t="inlineStr">
        <is>
          <t>▸ VM Sizing</t>
        </is>
      </c>
      <c r="B67" s="330" t="n"/>
      <c r="C67" s="330" t="n"/>
      <c r="D67" s="330" t="n"/>
      <c r="E67" s="331" t="n"/>
    </row>
    <row r="68" ht="101.45" customHeight="1" s="329">
      <c r="A68" s="232" t="inlineStr">
        <is>
          <t>VM sizing</t>
        </is>
      </c>
      <c r="B68" s="181" t="inlineStr">
        <is>
          <t>VM series allowed</t>
        </is>
      </c>
      <c r="C68" s="45" t="inlineStr">
        <is>
          <t>Av2, Dadsv5, Dasv4/v5, Dav4, Ddsv4/v5, Ddv4/v5, Dpdsv6, Dsv4/v5, Dv4/v5, Edsv5, Edv5, Esv5, Ev5, Edsv6, Esv6, Eadsv5, Easv4/v5, Eav4, Ebdsv5, Ebsv5, Edsv4, Edv4, Epdsv6, Epsv6, Esv4, Ev4, F, Fs, Fsv2, G, GS, Lasv3, Lsv2/v3, M, Mdsv2/v3, Msv2/v3, Mv2</t>
        </is>
      </c>
      <c r="D68" s="40" t="inlineStr">
        <is>
          <t>Same</t>
        </is>
      </c>
      <c r="E68" s="40" t="inlineStr">
        <is>
          <t>Same</t>
        </is>
      </c>
    </row>
    <row r="69" ht="27.95" customHeight="1" s="329">
      <c r="A69" s="292" t="inlineStr">
        <is>
          <t>▸ Storage Sizing</t>
        </is>
      </c>
      <c r="B69" s="330" t="n"/>
      <c r="C69" s="330" t="n"/>
      <c r="D69" s="330" t="n"/>
      <c r="E69" s="331" t="n"/>
    </row>
    <row r="70" ht="29.1" customHeight="1" s="329">
      <c r="A70" s="232" t="inlineStr">
        <is>
          <t>Storage sizing</t>
        </is>
      </c>
      <c r="B70" s="181" t="inlineStr">
        <is>
          <t>Storage type</t>
        </is>
      </c>
      <c r="C70" s="45" t="inlineStr">
        <is>
          <t>Premium managed disks, Standard SSD managed disks, Ultra disks</t>
        </is>
      </c>
      <c r="D70" s="40" t="inlineStr">
        <is>
          <t>Same</t>
        </is>
      </c>
      <c r="E70" s="40" t="inlineStr">
        <is>
          <t>Same</t>
        </is>
      </c>
    </row>
    <row r="71">
      <c r="A71" s="292" t="inlineStr">
        <is>
          <t>▸ Security Settings</t>
        </is>
      </c>
      <c r="B71" s="330" t="n"/>
      <c r="C71" s="330" t="n"/>
      <c r="D71" s="330" t="n"/>
      <c r="E71" s="331" t="n"/>
    </row>
    <row r="72">
      <c r="A72" s="232" t="inlineStr">
        <is>
          <t>Security settings</t>
        </is>
      </c>
      <c r="B72" s="181" t="inlineStr">
        <is>
          <t>VM security type</t>
        </is>
      </c>
      <c r="C72" s="40" t="inlineStr">
        <is>
          <t>Standard, Trusted launch VM</t>
        </is>
      </c>
      <c r="D72" s="40" t="inlineStr">
        <is>
          <t>Same</t>
        </is>
      </c>
      <c r="E72" s="40" t="inlineStr">
        <is>
          <t>Same</t>
        </is>
      </c>
    </row>
    <row r="73">
      <c r="A73" s="233" t="inlineStr">
        <is>
          <t>Security settings</t>
        </is>
      </c>
      <c r="B73" s="182" t="inlineStr">
        <is>
          <t>Enable Zone Redundant Storage (ZRS)</t>
        </is>
      </c>
      <c r="C73" s="41" t="inlineStr">
        <is>
          <t>No</t>
        </is>
      </c>
      <c r="D73" s="41" t="inlineStr">
        <is>
          <t>No</t>
        </is>
      </c>
      <c r="E73" s="41" t="inlineStr">
        <is>
          <t>No</t>
        </is>
      </c>
    </row>
    <row r="74">
      <c r="A74" s="299" t="inlineStr">
        <is>
          <t>▸ Assessment Criteria</t>
        </is>
      </c>
      <c r="B74" s="330" t="n"/>
      <c r="C74" s="330" t="n"/>
      <c r="D74" s="330" t="n"/>
      <c r="E74" s="331" t="n"/>
    </row>
    <row r="75">
      <c r="A75" s="233" t="inlineStr">
        <is>
          <t>Assessment criteria</t>
        </is>
      </c>
      <c r="B75" s="182" t="inlineStr">
        <is>
          <t>Sizing criteria</t>
        </is>
      </c>
      <c r="C75" s="41" t="inlineStr">
        <is>
          <t>Performance-based</t>
        </is>
      </c>
      <c r="D75" s="41" t="inlineStr">
        <is>
          <t>Performance-based</t>
        </is>
      </c>
      <c r="E75" s="41" t="inlineStr">
        <is>
          <t>Performance-based</t>
        </is>
      </c>
    </row>
    <row r="76" ht="24" customHeight="1" s="329">
      <c r="A76" s="232" t="inlineStr">
        <is>
          <t>Assessment criteria</t>
        </is>
      </c>
      <c r="B76" s="181" t="inlineStr">
        <is>
          <t>Performance history</t>
        </is>
      </c>
      <c r="C76" s="40" t="inlineStr">
        <is>
          <t>1 Month</t>
        </is>
      </c>
      <c r="D76" s="40" t="inlineStr">
        <is>
          <t>1 Month</t>
        </is>
      </c>
      <c r="E76" s="40" t="inlineStr">
        <is>
          <t>1 Month</t>
        </is>
      </c>
    </row>
    <row r="77">
      <c r="A77" s="233" t="inlineStr">
        <is>
          <t>Assessment criteria</t>
        </is>
      </c>
      <c r="B77" s="182" t="inlineStr">
        <is>
          <t>Percentile utilization</t>
        </is>
      </c>
      <c r="C77" s="41" t="inlineStr">
        <is>
          <t>95th</t>
        </is>
      </c>
      <c r="D77" s="41" t="inlineStr">
        <is>
          <t>95th</t>
        </is>
      </c>
      <c r="E77" s="41" t="inlineStr">
        <is>
          <t>95th</t>
        </is>
      </c>
    </row>
    <row r="78">
      <c r="A78" s="232" t="inlineStr">
        <is>
          <t>Assessment criteria</t>
        </is>
      </c>
      <c r="B78" s="181" t="inlineStr">
        <is>
          <t>Comfort factor</t>
        </is>
      </c>
      <c r="C78" s="40" t="n">
        <v>1</v>
      </c>
      <c r="D78" s="40" t="n">
        <v>1</v>
      </c>
      <c r="E78" s="40" t="n">
        <v>1</v>
      </c>
    </row>
    <row r="79">
      <c r="A79" s="292" t="inlineStr">
        <is>
          <t>▸ Notes &amp; Best Practices</t>
        </is>
      </c>
      <c r="B79" s="330" t="n"/>
      <c r="C79" s="330" t="n"/>
      <c r="D79" s="330" t="n"/>
      <c r="E79" s="331" t="n"/>
    </row>
    <row r="80" ht="29.1" customHeight="1" s="329">
      <c r="A80" s="232" t="inlineStr">
        <is>
          <t>Notes</t>
        </is>
      </c>
      <c r="B80" s="181" t="inlineStr">
        <is>
          <t>Right-sizing</t>
        </is>
      </c>
      <c r="C80" s="45" t="inlineStr">
        <is>
          <t>Use utilization data and performance-based sizing</t>
        </is>
      </c>
      <c r="D80" s="40" t="inlineStr">
        <is>
          <t>Same</t>
        </is>
      </c>
      <c r="E80" s="40" t="inlineStr">
        <is>
          <t>Same</t>
        </is>
      </c>
    </row>
    <row r="81">
      <c r="A81" s="233" t="inlineStr">
        <is>
          <t>Notes</t>
        </is>
      </c>
      <c r="B81" s="182" t="inlineStr">
        <is>
          <t>Licensing (AHB/Defender)</t>
        </is>
      </c>
      <c r="C81" s="41" t="inlineStr">
        <is>
          <t>Include only AHB not Defender</t>
        </is>
      </c>
      <c r="D81" s="41" t="inlineStr">
        <is>
          <t>Same</t>
        </is>
      </c>
      <c r="E81" s="41" t="inlineStr">
        <is>
          <t>Same</t>
        </is>
      </c>
    </row>
    <row r="82">
      <c r="A82" s="293" t="n"/>
      <c r="B82" s="293" t="n"/>
      <c r="C82" s="38" t="n"/>
      <c r="D82" s="38" t="n"/>
      <c r="E82" s="38" t="n"/>
    </row>
    <row r="83" ht="27.95" customHeight="1" s="329">
      <c r="A83" s="300" t="inlineStr">
        <is>
          <t>Section 4 — Assumptions Summary (Applies to All TCOs Unless Stated)</t>
        </is>
      </c>
    </row>
    <row r="84">
      <c r="A84" s="231" t="inlineStr">
        <is>
          <t>Area</t>
        </is>
      </c>
      <c r="B84" s="180" t="inlineStr">
        <is>
          <t>Assumption</t>
        </is>
      </c>
      <c r="C84" s="39" t="inlineStr">
        <is>
          <t>Applies To</t>
        </is>
      </c>
      <c r="D84" s="39" t="inlineStr">
        <is>
          <t>Status</t>
        </is>
      </c>
      <c r="E84" s="39" t="inlineStr">
        <is>
          <t>Notes</t>
        </is>
      </c>
    </row>
    <row r="85" ht="29.1" customHeight="1" s="329">
      <c r="A85" s="232" t="inlineStr">
        <is>
          <t>Regions</t>
        </is>
      </c>
      <c r="B85" s="273" t="inlineStr">
        <is>
          <t>Generate TCOs for Region A, Region B, Region C</t>
        </is>
      </c>
      <c r="C85" s="40" t="inlineStr">
        <is>
          <t>All</t>
        </is>
      </c>
      <c r="D85" s="40" t="inlineStr">
        <is>
          <t>✅ Confirmed</t>
        </is>
      </c>
      <c r="E85" s="40" t="inlineStr">
        <is>
          <t>Three primary regions for customer</t>
        </is>
      </c>
    </row>
    <row r="86" ht="29.1" customHeight="1" s="329">
      <c r="A86" s="233" t="inlineStr">
        <is>
          <t>Currency</t>
        </is>
      </c>
      <c r="B86" s="272" t="inlineStr">
        <is>
          <t>Use USD for all regional TCOs (or customer-preferred currency)</t>
        </is>
      </c>
      <c r="C86" s="41" t="inlineStr">
        <is>
          <t>All</t>
        </is>
      </c>
      <c r="D86" s="41" t="inlineStr">
        <is>
          <t>✅ Confirmed</t>
        </is>
      </c>
      <c r="E86" s="41" t="inlineStr">
        <is>
          <t>Select based on customer region</t>
        </is>
      </c>
    </row>
    <row r="87" ht="43.5" customHeight="1" s="329">
      <c r="A87" s="232" t="inlineStr">
        <is>
          <t>Baseline structure</t>
        </is>
      </c>
      <c r="B87" s="273" t="inlineStr">
        <is>
          <t>Like-to-like baseline has 2 constructs: PAYG and 3-year commitment (no extra optimizations)</t>
        </is>
      </c>
      <c r="C87" s="40" t="inlineStr">
        <is>
          <t>Baseline</t>
        </is>
      </c>
      <c r="D87" s="40" t="inlineStr">
        <is>
          <t>✅ Confirmed</t>
        </is>
      </c>
      <c r="E87" s="40" t="inlineStr">
        <is>
          <t>Two separate baseline views</t>
        </is>
      </c>
    </row>
    <row r="88" ht="43.5" customHeight="1" s="329">
      <c r="A88" s="233" t="inlineStr">
        <is>
          <t>Azure reporting</t>
        </is>
      </c>
      <c r="B88" s="272" t="inlineStr">
        <is>
          <t>Azure will generate 2 internal TCO views (PAYG + 3-year). External summary is a single unified narrative</t>
        </is>
      </c>
      <c r="C88" s="41" t="inlineStr">
        <is>
          <t>All</t>
        </is>
      </c>
      <c r="D88" s="41" t="inlineStr">
        <is>
          <t>✅ Confirmed</t>
        </is>
      </c>
      <c r="E88" s="41" t="inlineStr">
        <is>
          <t>Simplified external reporting</t>
        </is>
      </c>
    </row>
    <row r="89" ht="43.5" customHeight="1" s="329">
      <c r="A89" s="232" t="inlineStr">
        <is>
          <t>Right-sizing</t>
        </is>
      </c>
      <c r="B89" s="273" t="inlineStr">
        <is>
          <t>Use utilization data (where available) and performance-based sizing. Do not map on-prem SKU 1:1</t>
        </is>
      </c>
      <c r="C89" s="40" t="inlineStr">
        <is>
          <t>All</t>
        </is>
      </c>
      <c r="D89" s="40" t="inlineStr">
        <is>
          <t>✅ Confirmed</t>
        </is>
      </c>
      <c r="E89" s="40" t="inlineStr">
        <is>
          <t>Performance-based approach</t>
        </is>
      </c>
    </row>
    <row r="90" ht="24" customHeight="1" s="329">
      <c r="A90" s="233" t="inlineStr">
        <is>
          <t>Baseline licensing</t>
        </is>
      </c>
      <c r="B90" s="272" t="inlineStr">
        <is>
          <t>Do not apply Azure Hybrid Benefit (AHB) in LTL baseline scenarios</t>
        </is>
      </c>
      <c r="C90" s="41" t="inlineStr">
        <is>
          <t>Baseline</t>
        </is>
      </c>
      <c r="D90" s="41" t="inlineStr">
        <is>
          <t>✅ Confirmed</t>
        </is>
      </c>
      <c r="E90" s="41" t="inlineStr">
        <is>
          <t>AHB only in Optimized view</t>
        </is>
      </c>
    </row>
    <row r="91" ht="29.1" customHeight="1" s="329">
      <c r="A91" s="232" t="inlineStr">
        <is>
          <t>Baseline security add-ons</t>
        </is>
      </c>
      <c r="B91" s="273" t="inlineStr">
        <is>
          <t>Do not include Defender for Cloud in both baseline scenarios</t>
        </is>
      </c>
      <c r="C91" s="40" t="inlineStr">
        <is>
          <t>Baseline</t>
        </is>
      </c>
      <c r="D91" s="40" t="inlineStr">
        <is>
          <t>✅ Confirmed</t>
        </is>
      </c>
      <c r="E91" s="40" t="inlineStr">
        <is>
          <t>Security add-ons excluded</t>
        </is>
      </c>
    </row>
    <row r="92" ht="29.1" customHeight="1" s="329">
      <c r="A92" s="233" t="inlineStr">
        <is>
          <t>Baseline storage</t>
        </is>
      </c>
      <c r="B92" s="272" t="inlineStr">
        <is>
          <t>Both Options uses Premium SSD and Standard SSD</t>
        </is>
      </c>
      <c r="C92" s="41" t="inlineStr">
        <is>
          <t>Baseline</t>
        </is>
      </c>
      <c r="D92" s="41" t="inlineStr">
        <is>
          <t>✅ Confirmed</t>
        </is>
      </c>
      <c r="E92" s="41" t="inlineStr">
        <is>
          <t>Consistent storage approach</t>
        </is>
      </c>
    </row>
    <row r="93" ht="43.5" customHeight="1" s="329">
      <c r="A93" s="232" t="inlineStr">
        <is>
          <t>Program offer pricing</t>
        </is>
      </c>
      <c r="B93" s="273" t="inlineStr">
        <is>
          <t>Microsoft to share the EA/MCA subscription program offer discounts and what % can be stated for Customer</t>
        </is>
      </c>
      <c r="C93" s="40" t="inlineStr">
        <is>
          <t>Optimized</t>
        </is>
      </c>
      <c r="D93" s="40" t="inlineStr">
        <is>
          <t>⏳ Pending</t>
        </is>
      </c>
      <c r="E93" s="40" t="inlineStr">
        <is>
          <t>Awaiting Microsoft confirmation</t>
        </is>
      </c>
    </row>
    <row r="94">
      <c r="A94" s="233" t="inlineStr">
        <is>
          <t>Discount visibility</t>
        </is>
      </c>
      <c r="B94" s="272" t="inlineStr">
        <is>
          <t>Need Microsoft validation for any figures</t>
        </is>
      </c>
      <c r="C94" s="41" t="inlineStr">
        <is>
          <t>All</t>
        </is>
      </c>
      <c r="D94" s="41" t="inlineStr">
        <is>
          <t>⏳ Pending</t>
        </is>
      </c>
      <c r="E94" s="41" t="inlineStr">
        <is>
          <t>Commercial validation required</t>
        </is>
      </c>
    </row>
    <row r="95">
      <c r="A95" s="232" t="inlineStr">
        <is>
          <t>Assessment tool</t>
        </is>
      </c>
      <c r="B95" s="273" t="inlineStr">
        <is>
          <t>Azure Migrate used for all assessments</t>
        </is>
      </c>
      <c r="C95" s="40" t="inlineStr">
        <is>
          <t>All</t>
        </is>
      </c>
      <c r="D95" s="40" t="inlineStr">
        <is>
          <t>✅ Confirmed</t>
        </is>
      </c>
      <c r="E95" s="40" t="inlineStr">
        <is>
          <t>Standard discovery tool</t>
        </is>
      </c>
    </row>
    <row r="96">
      <c r="A96" s="293" t="n"/>
      <c r="B96" s="293" t="n"/>
      <c r="C96" s="38" t="n"/>
      <c r="D96" s="38" t="n"/>
      <c r="E96" s="38" t="n"/>
    </row>
    <row r="97" ht="27.95" customHeight="1" s="329">
      <c r="A97" s="300" t="inlineStr">
        <is>
          <t>Section 5 — Key Differences: LTL PAYG vs LTL 3-Year vs Optimized</t>
        </is>
      </c>
    </row>
    <row r="98">
      <c r="A98" s="231" t="inlineStr">
        <is>
          <t>Parameter</t>
        </is>
      </c>
      <c r="B98" s="180" t="inlineStr">
        <is>
          <t>LTL Option 1 - PAYG</t>
        </is>
      </c>
      <c r="C98" s="39" t="inlineStr">
        <is>
          <t>LTL Option 1 - 3 Year</t>
        </is>
      </c>
      <c r="D98" s="39" t="inlineStr">
        <is>
          <t>Optimized Option</t>
        </is>
      </c>
      <c r="E98" s="39" t="inlineStr">
        <is>
          <t>Recommendation</t>
        </is>
      </c>
    </row>
    <row r="99">
      <c r="A99" s="232" t="inlineStr">
        <is>
          <t>Savings Option</t>
        </is>
      </c>
      <c r="B99" s="181" t="inlineStr">
        <is>
          <t>None (On-Demand)</t>
        </is>
      </c>
      <c r="C99" s="40" t="inlineStr">
        <is>
          <t>3 Year Reservation</t>
        </is>
      </c>
      <c r="D99" s="40" t="inlineStr">
        <is>
          <t>3 Year + AHB</t>
        </is>
      </c>
      <c r="E99" s="43" t="inlineStr">
        <is>
          <t>🟢 Optimized for max savings</t>
        </is>
      </c>
    </row>
    <row r="100">
      <c r="A100" s="233" t="inlineStr">
        <is>
          <t>Discount %</t>
        </is>
      </c>
      <c r="B100" s="183" t="n">
        <v>0</v>
      </c>
      <c r="C100" s="42" t="n">
        <v>0</v>
      </c>
      <c r="D100" s="41" t="inlineStr">
        <is>
          <t>TBD (EA/MCA)</t>
        </is>
      </c>
      <c r="E100" s="44" t="inlineStr">
        <is>
          <t>Await Microsoft quote</t>
        </is>
      </c>
    </row>
    <row r="101">
      <c r="A101" s="232" t="inlineStr">
        <is>
          <t>Sizing Criteria</t>
        </is>
      </c>
      <c r="B101" s="181" t="inlineStr">
        <is>
          <t>Performance-based</t>
        </is>
      </c>
      <c r="C101" s="40" t="inlineStr">
        <is>
          <t>Performance-based</t>
        </is>
      </c>
      <c r="D101" s="40" t="inlineStr">
        <is>
          <t>Performance-based</t>
        </is>
      </c>
      <c r="E101" s="43" t="inlineStr">
        <is>
          <t>Consistent approach</t>
        </is>
      </c>
    </row>
    <row r="102" ht="27.95" customHeight="1" s="329">
      <c r="A102" s="233" t="inlineStr">
        <is>
          <t>Performance History</t>
        </is>
      </c>
      <c r="B102" s="182" t="inlineStr">
        <is>
          <t>1 Month</t>
        </is>
      </c>
      <c r="C102" s="41" t="inlineStr">
        <is>
          <t>1 Month</t>
        </is>
      </c>
      <c r="D102" s="41" t="inlineStr">
        <is>
          <t>1 Month</t>
        </is>
      </c>
      <c r="E102" s="44" t="inlineStr">
        <is>
          <t>30-day baseline</t>
        </is>
      </c>
    </row>
    <row r="103" ht="24" customHeight="1" s="329">
      <c r="A103" s="232" t="inlineStr">
        <is>
          <t>Percentile</t>
        </is>
      </c>
      <c r="B103" s="181" t="inlineStr">
        <is>
          <t>95th</t>
        </is>
      </c>
      <c r="C103" s="40" t="inlineStr">
        <is>
          <t>95th</t>
        </is>
      </c>
      <c r="D103" s="40" t="inlineStr">
        <is>
          <t>95th</t>
        </is>
      </c>
      <c r="E103" s="43" t="inlineStr">
        <is>
          <t>P95 for peak coverage</t>
        </is>
      </c>
    </row>
    <row r="104">
      <c r="A104" s="233" t="inlineStr">
        <is>
          <t>Comfort Factor</t>
        </is>
      </c>
      <c r="B104" s="182" t="inlineStr">
        <is>
          <t>1.0x (100%)</t>
        </is>
      </c>
      <c r="C104" s="41" t="inlineStr">
        <is>
          <t>1.0x (100%)</t>
        </is>
      </c>
      <c r="D104" s="41" t="inlineStr">
        <is>
          <t>1.0x (100%)</t>
        </is>
      </c>
      <c r="E104" s="44" t="inlineStr">
        <is>
          <t>No additional buffer</t>
        </is>
      </c>
    </row>
    <row r="105">
      <c r="A105" s="232" t="inlineStr">
        <is>
          <t>Storage Type</t>
        </is>
      </c>
      <c r="B105" s="181" t="inlineStr">
        <is>
          <t>Premium SSD, Standard SSD</t>
        </is>
      </c>
      <c r="C105" s="40" t="inlineStr">
        <is>
          <t>Premium SSD, Standard SSD</t>
        </is>
      </c>
      <c r="D105" s="40" t="inlineStr">
        <is>
          <t>Premium, Standard, Ultra</t>
        </is>
      </c>
      <c r="E105" s="43" t="inlineStr">
        <is>
          <t>Optimized adds Ultra</t>
        </is>
      </c>
    </row>
    <row r="106">
      <c r="A106" s="233" t="inlineStr">
        <is>
          <t>Windows AHB</t>
        </is>
      </c>
      <c r="B106" s="182" t="inlineStr">
        <is>
          <t>No</t>
        </is>
      </c>
      <c r="C106" s="41" t="inlineStr">
        <is>
          <t>No</t>
        </is>
      </c>
      <c r="D106" s="41" t="inlineStr">
        <is>
          <t>Yes (included)</t>
        </is>
      </c>
      <c r="E106" s="44" t="inlineStr">
        <is>
          <t>🟢 Optimized only</t>
        </is>
      </c>
    </row>
    <row r="107">
      <c r="A107" s="232" t="inlineStr">
        <is>
          <t>Linux Subscription</t>
        </is>
      </c>
      <c r="B107" s="181" t="inlineStr">
        <is>
          <t>No</t>
        </is>
      </c>
      <c r="C107" s="40" t="inlineStr">
        <is>
          <t>No</t>
        </is>
      </c>
      <c r="D107" s="40" t="inlineStr">
        <is>
          <t>No</t>
        </is>
      </c>
      <c r="E107" s="43" t="inlineStr">
        <is>
          <t>Not applied</t>
        </is>
      </c>
    </row>
    <row r="108">
      <c r="A108" s="233" t="inlineStr">
        <is>
          <t>Defender for Cloud</t>
        </is>
      </c>
      <c r="B108" s="182" t="inlineStr">
        <is>
          <t>No</t>
        </is>
      </c>
      <c r="C108" s="41" t="inlineStr">
        <is>
          <t>No</t>
        </is>
      </c>
      <c r="D108" s="41" t="inlineStr">
        <is>
          <t>No</t>
        </is>
      </c>
      <c r="E108" s="44" t="inlineStr">
        <is>
          <t>Excluded from all</t>
        </is>
      </c>
    </row>
    <row r="109">
      <c r="A109" s="232" t="inlineStr">
        <is>
          <t>VM Series</t>
        </is>
      </c>
      <c r="B109" s="181" t="inlineStr">
        <is>
          <t>General Purpose</t>
        </is>
      </c>
      <c r="C109" s="40" t="inlineStr">
        <is>
          <t>General Purpose</t>
        </is>
      </c>
      <c r="D109" s="40" t="inlineStr">
        <is>
          <t>All optimized series</t>
        </is>
      </c>
      <c r="E109" s="43" t="inlineStr">
        <is>
          <t>🟢 Wider selection</t>
        </is>
      </c>
    </row>
    <row r="110" ht="24" customHeight="1" s="329">
      <c r="A110" s="233" t="inlineStr">
        <is>
          <t>Security Type</t>
        </is>
      </c>
      <c r="B110" s="182" t="inlineStr">
        <is>
          <t>Standard</t>
        </is>
      </c>
      <c r="C110" s="41" t="inlineStr">
        <is>
          <t>Standard</t>
        </is>
      </c>
      <c r="D110" s="41" t="inlineStr">
        <is>
          <t>Standard + Trusted Launch</t>
        </is>
      </c>
      <c r="E110" s="44" t="inlineStr">
        <is>
          <t>Enhanced in Optimized</t>
        </is>
      </c>
    </row>
    <row r="111">
      <c r="A111" s="232" t="inlineStr">
        <is>
          <t>Zone Redundant Storage</t>
        </is>
      </c>
      <c r="B111" s="181" t="inlineStr">
        <is>
          <t>No</t>
        </is>
      </c>
      <c r="C111" s="40" t="inlineStr">
        <is>
          <t>No</t>
        </is>
      </c>
      <c r="D111" s="40" t="inlineStr">
        <is>
          <t>No</t>
        </is>
      </c>
      <c r="E111" s="43" t="inlineStr">
        <is>
          <t>Not enabled</t>
        </is>
      </c>
    </row>
    <row r="112">
      <c r="A112" s="233" t="inlineStr">
        <is>
          <t>Use Case</t>
        </is>
      </c>
      <c r="B112" s="182" t="inlineStr">
        <is>
          <t>Baseline comparison</t>
        </is>
      </c>
      <c r="C112" s="41" t="inlineStr">
        <is>
          <t>Commitment baseline</t>
        </is>
      </c>
      <c r="D112" s="41" t="inlineStr">
        <is>
          <t>Target state</t>
        </is>
      </c>
      <c r="E112" s="44" t="inlineStr">
        <is>
          <t>🟢 Recommended target</t>
        </is>
      </c>
    </row>
    <row r="113">
      <c r="A113" s="293" t="n"/>
      <c r="B113" s="293" t="n"/>
      <c r="C113" s="38" t="n"/>
      <c r="D113" s="38" t="n"/>
      <c r="E113" s="38" t="n"/>
    </row>
    <row r="114" ht="27.95" customHeight="1" s="329">
      <c r="A114" s="300" t="inlineStr">
        <is>
          <t>Section 6 — Assumptions Sign-Off &amp; Approval</t>
        </is>
      </c>
    </row>
    <row r="115">
      <c r="A115" s="231" t="inlineStr">
        <is>
          <t>Role</t>
        </is>
      </c>
      <c r="B115" s="180" t="inlineStr">
        <is>
          <t>Name</t>
        </is>
      </c>
      <c r="C115" s="39" t="inlineStr">
        <is>
          <t>Date</t>
        </is>
      </c>
      <c r="D115" s="39" t="inlineStr">
        <is>
          <t>Signature / Approval</t>
        </is>
      </c>
      <c r="E115" s="39" t="inlineStr">
        <is>
          <t>Status</t>
        </is>
      </c>
    </row>
    <row r="116">
      <c r="A116" s="233" t="inlineStr">
        <is>
          <t>Cloud Solutions Architect</t>
        </is>
      </c>
      <c r="B116" s="184" t="inlineStr">
        <is>
          <t>[Enter Name]</t>
        </is>
      </c>
      <c r="C116" s="102" t="inlineStr">
        <is>
          <t>[Enter Date]</t>
        </is>
      </c>
      <c r="D116" s="102" t="n"/>
      <c r="E116" s="41" t="inlineStr">
        <is>
          <t>⏳ Pending</t>
        </is>
      </c>
    </row>
    <row r="117">
      <c r="A117" s="233" t="inlineStr">
        <is>
          <t>Project Manager</t>
        </is>
      </c>
      <c r="B117" s="184" t="inlineStr">
        <is>
          <t>[Enter Name]</t>
        </is>
      </c>
      <c r="C117" s="102" t="inlineStr">
        <is>
          <t>[Enter Date]</t>
        </is>
      </c>
      <c r="D117" s="102" t="n"/>
      <c r="E117" s="41" t="inlineStr">
        <is>
          <t>⏳ Pending</t>
        </is>
      </c>
    </row>
    <row r="118">
      <c r="A118" s="233" t="inlineStr">
        <is>
          <t>Finance Representative</t>
        </is>
      </c>
      <c r="B118" s="184" t="inlineStr">
        <is>
          <t>[Enter Name]</t>
        </is>
      </c>
      <c r="C118" s="102" t="inlineStr">
        <is>
          <t>[Enter Date]</t>
        </is>
      </c>
      <c r="D118" s="102" t="n"/>
      <c r="E118" s="41" t="inlineStr">
        <is>
          <t>⏳ Pending</t>
        </is>
      </c>
    </row>
    <row r="119" ht="27.95" customHeight="1" s="329">
      <c r="A119" s="233" t="inlineStr">
        <is>
          <t>Microsoft Account Team</t>
        </is>
      </c>
      <c r="B119" s="184" t="inlineStr">
        <is>
          <t>[Enter Name]</t>
        </is>
      </c>
      <c r="C119" s="102" t="inlineStr">
        <is>
          <t>[Enter Date]</t>
        </is>
      </c>
      <c r="D119" s="102" t="n"/>
      <c r="E119" s="41" t="inlineStr">
        <is>
          <t>⏳ Pending</t>
        </is>
      </c>
    </row>
    <row r="120">
      <c r="A120" s="233" t="inlineStr">
        <is>
          <t>Application Owner</t>
        </is>
      </c>
      <c r="B120" s="184" t="inlineStr">
        <is>
          <t>[Enter Name]</t>
        </is>
      </c>
      <c r="C120" s="102" t="inlineStr">
        <is>
          <t>[Enter Date]</t>
        </is>
      </c>
      <c r="D120" s="102" t="n"/>
      <c r="E120" s="41" t="inlineStr">
        <is>
          <t>⏳ Pending</t>
        </is>
      </c>
    </row>
    <row r="121">
      <c r="A121" s="233" t="inlineStr">
        <is>
          <t>Executive Sponsor</t>
        </is>
      </c>
      <c r="B121" s="184" t="inlineStr">
        <is>
          <t>[Enter Name]</t>
        </is>
      </c>
      <c r="C121" s="102" t="inlineStr">
        <is>
          <t>[Enter Date]</t>
        </is>
      </c>
      <c r="D121" s="102" t="n"/>
      <c r="E121" s="41" t="inlineStr">
        <is>
          <t>⏳ Pending</t>
        </is>
      </c>
    </row>
    <row r="122">
      <c r="A122" s="293" t="n"/>
      <c r="B122" s="293" t="n"/>
      <c r="C122" s="38" t="n"/>
      <c r="D122" s="38" t="n"/>
      <c r="E122" s="38" t="n"/>
    </row>
    <row r="123">
      <c r="A123" s="301" t="inlineStr">
        <is>
          <t>⚠️ IMPORTANT NOTES</t>
        </is>
      </c>
    </row>
    <row r="124">
      <c r="A124" s="293" t="inlineStr">
        <is>
          <t>• All assumptions must be validated and approved before finalizing the Azure TCO analysis.</t>
        </is>
      </c>
    </row>
    <row r="125">
      <c r="A125" s="293" t="inlineStr">
        <is>
          <t>• Microsoft EA/MCA discount % requires validation from Microsoft Account Team before publication.</t>
        </is>
      </c>
    </row>
    <row r="126">
      <c r="A126" s="293" t="inlineStr">
        <is>
          <t>• Both LTL (PAYG &amp; 3-Year) and Optimized views should be presented to stakeholders for comparison.</t>
        </is>
      </c>
    </row>
    <row r="127">
      <c r="A127" s="293" t="inlineStr">
        <is>
          <t>• Azure Migrate assessments should be regenerated if infrastructure changes significantly.</t>
        </is>
      </c>
    </row>
    <row r="128" ht="24" customHeight="1" s="329">
      <c r="A128" s="293" t="inlineStr">
        <is>
          <t>• Currency (USD or customer-preferred) must match across all TCO documents and the Azure Evaluation sheet.</t>
        </is>
      </c>
    </row>
    <row r="129">
      <c r="A129" s="293" t="n"/>
      <c r="B129" s="293" t="n"/>
      <c r="C129" s="38" t="n"/>
      <c r="D129" s="38" t="n"/>
      <c r="E129" s="38" t="n"/>
    </row>
    <row r="130" ht="24" customHeight="1" s="329">
      <c r="A130" s="294" t="inlineStr">
        <is>
          <t>━━━━━━━━━━━━━━━━━━━━━━━━━━━━━━━━━━━━━━━━━━━━━━━━━━━━━━━━━━━━━━━━━━━━━━━━━━━━━━━━━━━━━━━━━</t>
        </is>
      </c>
    </row>
    <row r="131" ht="24" customHeight="1" s="329">
      <c r="A131" s="295" t="inlineStr">
        <is>
          <t>➡️  Navigate to 'Azure Evaluation' sheet to apply these assumptions and complete the assessment</t>
        </is>
      </c>
    </row>
    <row r="132">
      <c r="A132" s="293" t="n"/>
      <c r="B132" s="293" t="n"/>
      <c r="C132" s="38" t="n"/>
      <c r="D132" s="38" t="n"/>
      <c r="E132" s="38" t="n"/>
    </row>
    <row r="133">
      <c r="A133" s="296" t="inlineStr">
        <is>
          <t>© 2026 Cloud Readiness Accelerator Framework | Azure Migration TCO Assumptions | Version 1.0 | All Rights Reserved</t>
        </is>
      </c>
    </row>
  </sheetData>
  <sheetProtection selectLockedCells="0" selectUnlockedCells="0" sheet="1" objects="1" insertRows="1" insertHyperlinks="1" autoFilter="1" scenarios="1" formatColumns="1" deleteColumns="1" insertColumns="1" pivotTables="1" deleteRows="1" formatCells="1" formatRows="1" sort="1"/>
  <mergeCells count="36">
    <mergeCell ref="A114:E114"/>
    <mergeCell ref="A83:E83"/>
    <mergeCell ref="A49:E49"/>
    <mergeCell ref="A1:E1"/>
    <mergeCell ref="A123:E123"/>
    <mergeCell ref="A61:E61"/>
    <mergeCell ref="A79:E79"/>
    <mergeCell ref="A124:E124"/>
    <mergeCell ref="A69:E69"/>
    <mergeCell ref="A16:E16"/>
    <mergeCell ref="A54:E54"/>
    <mergeCell ref="A7:E7"/>
    <mergeCell ref="A128:E128"/>
    <mergeCell ref="A133:E133"/>
    <mergeCell ref="A74:E74"/>
    <mergeCell ref="A56:E56"/>
    <mergeCell ref="A3:E3"/>
    <mergeCell ref="A21:E21"/>
    <mergeCell ref="A26:E26"/>
    <mergeCell ref="A2:E2"/>
    <mergeCell ref="A33:E33"/>
    <mergeCell ref="A71:E71"/>
    <mergeCell ref="A5:E5"/>
    <mergeCell ref="A23:E23"/>
    <mergeCell ref="A97:E97"/>
    <mergeCell ref="A126:E126"/>
    <mergeCell ref="A35:E35"/>
    <mergeCell ref="A131:E131"/>
    <mergeCell ref="A125:E125"/>
    <mergeCell ref="A52:E52"/>
    <mergeCell ref="A28:E28"/>
    <mergeCell ref="A63:E63"/>
    <mergeCell ref="A44:E44"/>
    <mergeCell ref="A127:E127"/>
    <mergeCell ref="A67:E67"/>
    <mergeCell ref="A130:E130"/>
  </mergeCells>
  <pageMargins left="0.7" right="0.7" top="0.75" bottom="0.75" header="0.3" footer="0.3"/>
  <pageSetup orientation="landscape" paperSize="0" scale="0" horizontalDpi="0" verticalDpi="0" copies="0"/>
</worksheet>
</file>

<file path=xl/worksheets/sheet5.xml><?xml version="1.0" encoding="utf-8"?>
<worksheet xmlns="http://schemas.openxmlformats.org/spreadsheetml/2006/main">
  <sheetPr>
    <outlinePr summaryBelow="1" summaryRight="1"/>
    <pageSetUpPr/>
  </sheetPr>
  <dimension ref="A1:F143"/>
  <sheetViews>
    <sheetView showGridLines="0" zoomScaleNormal="100" workbookViewId="0">
      <pane ySplit="7" topLeftCell="A70" activePane="bottomLeft" state="frozen"/>
      <selection pane="bottomLeft" activeCell="D126" sqref="D126"/>
    </sheetView>
  </sheetViews>
  <sheetFormatPr baseColWidth="8" defaultColWidth="8.5703125" defaultRowHeight="14.45"/>
  <cols>
    <col width="40" customWidth="1" style="329" min="1" max="1"/>
    <col width="20" customWidth="1" style="329" min="2" max="2"/>
    <col width="18.140625" customWidth="1" style="329" min="3" max="3"/>
    <col width="32.7109375" customWidth="1" style="329" min="4" max="4"/>
    <col width="37.85546875" bestFit="1" customWidth="1" style="329" min="5" max="5"/>
    <col width="24.42578125" bestFit="1" customWidth="1" style="329" min="6" max="6"/>
  </cols>
  <sheetData>
    <row r="1" ht="39.95" customHeight="1" s="329">
      <c r="A1" s="310" t="inlineStr">
        <is>
          <t>AZURE CLOUD READINESS ASSESSMENT</t>
        </is>
      </c>
    </row>
    <row r="2" ht="24.95" customHeight="1" s="329">
      <c r="A2" s="311" t="inlineStr">
        <is>
          <t>Executive Evaluation Framework</t>
        </is>
      </c>
    </row>
    <row r="3" ht="21.95" customHeight="1" s="329">
      <c r="A3" s="315" t="inlineStr">
        <is>
          <t>Version 1.0  |  Classification: Confidential  |  Phase: Evaluation  |  Requirements: 4.1, 4.2, 4.3, 4.6</t>
        </is>
      </c>
    </row>
    <row r="4" ht="27.95" customHeight="1" s="329">
      <c r="A4" s="312" t="inlineStr">
        <is>
          <t>💱 Currency: USD ($) — All costs displayed in US Dollars. To change currency, update number format to desired locale (GBP, EUR, AUD, etc.)</t>
        </is>
      </c>
    </row>
    <row r="5" ht="8.1" customHeight="1" s="329">
      <c r="A5" s="234" t="n"/>
    </row>
    <row r="6" ht="27.95" customHeight="1" s="329">
      <c r="A6" s="355" t="inlineStr">
        <is>
          <t>📋 ASSESSMENT STATUS: TEMPLATE READY — Complete all sections below to finalize evaluation</t>
        </is>
      </c>
      <c r="B6" s="330" t="n"/>
      <c r="C6" s="330" t="n"/>
      <c r="D6" s="330" t="n"/>
      <c r="E6" s="330" t="n"/>
      <c r="F6" s="331" t="n"/>
    </row>
    <row r="7" ht="12" customHeight="1" s="329"/>
    <row r="8" ht="27.95" customHeight="1" s="329">
      <c r="A8" s="332" t="inlineStr">
        <is>
          <t>SECTION 1  —  AZURE SERVICE COMPATIBILITY ASSESSMENT</t>
        </is>
      </c>
    </row>
    <row r="9" ht="27.95" customHeight="1" s="329">
      <c r="A9" s="333" t="inlineStr">
        <is>
          <t>Maps current infrastructure components to recommended Azure target services with compatibility assessment</t>
        </is>
      </c>
    </row>
    <row r="10" ht="24" customHeight="1" s="329">
      <c r="A10" s="235" t="inlineStr">
        <is>
          <t>Application / Workload</t>
        </is>
      </c>
      <c r="B10" s="185" t="inlineStr">
        <is>
          <t>Current Platform</t>
        </is>
      </c>
      <c r="C10" s="2" t="inlineStr">
        <is>
          <t>Azure Target Service</t>
        </is>
      </c>
      <c r="D10" s="2" t="inlineStr">
        <is>
          <t>Compatibility</t>
        </is>
      </c>
      <c r="E10" s="2" t="inlineStr">
        <is>
          <t>Migration Approach</t>
        </is>
      </c>
      <c r="F10" s="3" t="inlineStr">
        <is>
          <t>Notes / Assumptions</t>
        </is>
      </c>
    </row>
    <row r="11" ht="21.95" customHeight="1" s="329">
      <c r="A11" s="236" t="n"/>
      <c r="B11" s="186" t="n"/>
      <c r="C11" s="105" t="n"/>
      <c r="D11" s="105" t="n"/>
      <c r="E11" s="105" t="n"/>
      <c r="F11" s="106" t="n"/>
    </row>
    <row r="12" ht="21.95" customHeight="1" s="329">
      <c r="A12" s="237" t="n"/>
      <c r="B12" s="187" t="n"/>
      <c r="C12" s="107" t="n"/>
      <c r="D12" s="107" t="n"/>
      <c r="E12" s="107" t="n"/>
      <c r="F12" s="108" t="n"/>
    </row>
    <row r="13" ht="21.95" customHeight="1" s="329">
      <c r="A13" s="236" t="n"/>
      <c r="B13" s="186" t="n"/>
      <c r="C13" s="105" t="n"/>
      <c r="D13" s="105" t="n"/>
      <c r="E13" s="105" t="n"/>
      <c r="F13" s="106" t="n"/>
    </row>
    <row r="14" ht="21.95" customHeight="1" s="329">
      <c r="A14" s="237" t="n"/>
      <c r="B14" s="187" t="n"/>
      <c r="C14" s="107" t="n"/>
      <c r="D14" s="107" t="n"/>
      <c r="E14" s="107" t="n"/>
      <c r="F14" s="108" t="n"/>
    </row>
    <row r="15" ht="21.95" customHeight="1" s="329">
      <c r="A15" s="238" t="n"/>
      <c r="B15" s="188" t="n"/>
      <c r="C15" s="109" t="n"/>
      <c r="D15" s="109" t="n"/>
      <c r="E15" s="109" t="n"/>
      <c r="F15" s="110" t="n"/>
    </row>
    <row r="16" ht="6" customHeight="1" s="329">
      <c r="A16" s="339" t="n"/>
      <c r="B16" s="339" t="n"/>
      <c r="C16" s="339" t="n"/>
      <c r="D16" s="339" t="n"/>
      <c r="E16" s="339" t="n"/>
      <c r="F16" s="339" t="n"/>
    </row>
    <row r="17" ht="24" customHeight="1" s="329">
      <c r="A17" s="334" t="inlineStr">
        <is>
          <t>▸ COMPUTE SERVICES MAPPING</t>
        </is>
      </c>
    </row>
    <row r="18" ht="18" customHeight="1" s="329">
      <c r="A18" s="239" t="inlineStr">
        <is>
          <t>Current Infrastructure</t>
        </is>
      </c>
      <c r="B18" s="189" t="inlineStr">
        <is>
          <t>Azure Target Service</t>
        </is>
      </c>
      <c r="C18" s="6" t="inlineStr">
        <is>
          <t>Recommended VM Series</t>
        </is>
      </c>
      <c r="D18" s="6" t="inlineStr">
        <is>
          <t>Sizing Approach</t>
        </is>
      </c>
      <c r="E18" s="6" t="inlineStr">
        <is>
          <t>AHB Eligible</t>
        </is>
      </c>
      <c r="F18" s="8" t="inlineStr">
        <is>
          <t>Notes</t>
        </is>
      </c>
    </row>
    <row r="19" ht="18" customHeight="1" s="329">
      <c r="A19" s="240" t="inlineStr">
        <is>
          <t>Physical Servers</t>
        </is>
      </c>
      <c r="B19" s="190" t="inlineStr">
        <is>
          <t>Azure Virtual Machines</t>
        </is>
      </c>
      <c r="C19" s="4" t="inlineStr">
        <is>
          <t>D / E / F / M-series</t>
        </is>
      </c>
      <c r="D19" s="4" t="inlineStr">
        <is>
          <t>Performance-based</t>
        </is>
      </c>
      <c r="E19" s="4" t="inlineStr">
        <is>
          <t>Yes (Windows)</t>
        </is>
      </c>
      <c r="F19" s="9" t="n"/>
    </row>
    <row r="20" ht="18" customHeight="1" s="329">
      <c r="A20" s="241" t="inlineStr">
        <is>
          <t>VMware VMs</t>
        </is>
      </c>
      <c r="B20" s="191" t="inlineStr">
        <is>
          <t>Azure VMware Solution / Azure VMs</t>
        </is>
      </c>
      <c r="C20" s="5" t="inlineStr">
        <is>
          <t>As per assessment</t>
        </is>
      </c>
      <c r="D20" s="5" t="inlineStr">
        <is>
          <t>Performance-based</t>
        </is>
      </c>
      <c r="E20" s="5" t="inlineStr">
        <is>
          <t>Yes (Windows)</t>
        </is>
      </c>
      <c r="F20" s="10" t="n"/>
    </row>
    <row r="21" ht="18" customHeight="1" s="329">
      <c r="A21" s="240" t="inlineStr">
        <is>
          <t>Containers</t>
        </is>
      </c>
      <c r="B21" s="190" t="inlineStr">
        <is>
          <t>Azure Kubernetes Service (AKS)</t>
        </is>
      </c>
      <c r="C21" s="4" t="inlineStr">
        <is>
          <t>N/A</t>
        </is>
      </c>
      <c r="D21" s="4" t="inlineStr">
        <is>
          <t>Right-sized</t>
        </is>
      </c>
      <c r="E21" s="4" t="inlineStr">
        <is>
          <t>N/A</t>
        </is>
      </c>
      <c r="F21" s="9" t="n"/>
    </row>
    <row r="22" ht="18" customHeight="1" s="329">
      <c r="A22" s="241" t="inlineStr">
        <is>
          <t>Windows Servers</t>
        </is>
      </c>
      <c r="B22" s="191" t="inlineStr">
        <is>
          <t>Azure VMs (AHB eligible)</t>
        </is>
      </c>
      <c r="C22" s="5" t="inlineStr">
        <is>
          <t>D / E-series</t>
        </is>
      </c>
      <c r="D22" s="5" t="inlineStr">
        <is>
          <t>Performance-based</t>
        </is>
      </c>
      <c r="E22" s="5" t="inlineStr">
        <is>
          <t>Yes</t>
        </is>
      </c>
      <c r="F22" s="10" t="n"/>
    </row>
    <row r="23" ht="18" customHeight="1" s="329">
      <c r="A23" s="242" t="inlineStr">
        <is>
          <t>Linux Servers</t>
        </is>
      </c>
      <c r="B23" s="192" t="inlineStr">
        <is>
          <t>Azure VMs</t>
        </is>
      </c>
      <c r="C23" s="7" t="inlineStr">
        <is>
          <t>D / E-series</t>
        </is>
      </c>
      <c r="D23" s="7" t="inlineStr">
        <is>
          <t>Performance-based</t>
        </is>
      </c>
      <c r="E23" s="7" t="inlineStr">
        <is>
          <t>RHEL/SUSE eligible</t>
        </is>
      </c>
      <c r="F23" s="11" t="n"/>
    </row>
    <row r="24" ht="6" customHeight="1" s="329"/>
    <row r="25" ht="24" customHeight="1" s="329">
      <c r="A25" s="334" t="inlineStr">
        <is>
          <t>▸ DATABASE SERVICES MAPPING</t>
        </is>
      </c>
    </row>
    <row r="26" ht="18" customHeight="1" s="329">
      <c r="A26" s="239" t="inlineStr">
        <is>
          <t>Current Database</t>
        </is>
      </c>
      <c r="B26" s="189" t="inlineStr">
        <is>
          <t>Azure Target Service</t>
        </is>
      </c>
      <c r="C26" s="6" t="inlineStr">
        <is>
          <t>Migration Path</t>
        </is>
      </c>
      <c r="D26" s="6" t="inlineStr">
        <is>
          <t>Licensing Model</t>
        </is>
      </c>
      <c r="E26" s="6" t="inlineStr">
        <is>
          <t>Quantity</t>
        </is>
      </c>
      <c r="F26" s="8" t="inlineStr">
        <is>
          <t>Notes</t>
        </is>
      </c>
    </row>
    <row r="27" ht="18" customHeight="1" s="329">
      <c r="A27" s="240" t="inlineStr">
        <is>
          <t>SQL Server</t>
        </is>
      </c>
      <c r="B27" s="190" t="inlineStr">
        <is>
          <t>Azure SQL MI / Azure SQL DB</t>
        </is>
      </c>
      <c r="C27" s="4" t="inlineStr">
        <is>
          <t>DMS Migration</t>
        </is>
      </c>
      <c r="D27" s="4" t="inlineStr">
        <is>
          <t>AHB / PAYG</t>
        </is>
      </c>
      <c r="E27" s="4" t="n"/>
      <c r="F27" s="9" t="n"/>
    </row>
    <row r="28" ht="18" customHeight="1" s="329">
      <c r="A28" s="241" t="inlineStr">
        <is>
          <t>Oracle</t>
        </is>
      </c>
      <c r="B28" s="191" t="inlineStr">
        <is>
          <t>Oracle on Azure VM / PostgreSQL</t>
        </is>
      </c>
      <c r="C28" s="5" t="inlineStr">
        <is>
          <t>Lift &amp; Shift / Refactor</t>
        </is>
      </c>
      <c r="D28" s="5" t="inlineStr">
        <is>
          <t>BYOL</t>
        </is>
      </c>
      <c r="E28" s="5" t="n"/>
      <c r="F28" s="10" t="n"/>
    </row>
    <row r="29" ht="18" customHeight="1" s="329">
      <c r="A29" s="240" t="inlineStr">
        <is>
          <t>MySQL</t>
        </is>
      </c>
      <c r="B29" s="190" t="inlineStr">
        <is>
          <t>Azure Database for MySQL</t>
        </is>
      </c>
      <c r="C29" s="4" t="inlineStr">
        <is>
          <t>DMS Migration</t>
        </is>
      </c>
      <c r="D29" s="4" t="inlineStr">
        <is>
          <t>PAYG</t>
        </is>
      </c>
      <c r="E29" s="4" t="n"/>
      <c r="F29" s="9" t="n"/>
    </row>
    <row r="30" ht="18" customHeight="1" s="329">
      <c r="A30" s="243" t="inlineStr">
        <is>
          <t>PostgreSQL</t>
        </is>
      </c>
      <c r="B30" s="193" t="inlineStr">
        <is>
          <t>Azure Database for PostgreSQL</t>
        </is>
      </c>
      <c r="C30" s="12" t="inlineStr">
        <is>
          <t>DMS Migration</t>
        </is>
      </c>
      <c r="D30" s="12" t="inlineStr">
        <is>
          <t>PAYG</t>
        </is>
      </c>
      <c r="E30" s="12" t="n"/>
      <c r="F30" s="13" t="n"/>
    </row>
    <row r="31" ht="27.95" customHeight="1" s="329">
      <c r="A31" s="307" t="inlineStr">
        <is>
          <t>SECTION 1B  —  SERVER READINESS &amp; SUPPORT STATUS ANALYSIS</t>
        </is>
      </c>
      <c r="B31" s="356" t="n"/>
      <c r="C31" s="356" t="n"/>
      <c r="D31" s="356" t="n"/>
      <c r="E31" s="356" t="n"/>
      <c r="F31" s="356" t="n"/>
    </row>
    <row r="32" ht="18" customHeight="1" s="329">
      <c r="A32" s="335" t="inlineStr">
        <is>
          <t>Comprehensive analysis of server lifecycle status, migration readiness, and operating system distribution</t>
        </is>
      </c>
    </row>
    <row r="33" ht="18" customHeight="1" s="329"/>
    <row r="34" ht="18" customHeight="1" s="329">
      <c r="A34" s="336" t="inlineStr">
        <is>
          <t>▸ END-OF-LIFE (EOL) &amp; SUPPORT STATUS</t>
        </is>
      </c>
    </row>
    <row r="35" ht="21.95" customHeight="1" s="329">
      <c r="A35" s="80" t="inlineStr">
        <is>
          <t>Support Status</t>
        </is>
      </c>
      <c r="B35" s="81" t="inlineStr">
        <is>
          <t>Server Count</t>
        </is>
      </c>
      <c r="C35" s="81" t="inlineStr">
        <is>
          <t>% of Total</t>
        </is>
      </c>
      <c r="D35" s="81" t="inlineStr">
        <is>
          <t>Risk Level</t>
        </is>
      </c>
      <c r="E35" s="81" t="inlineStr">
        <is>
          <t>Action Required</t>
        </is>
      </c>
      <c r="F35" s="82" t="inlineStr">
        <is>
          <t>Target Date</t>
        </is>
      </c>
    </row>
    <row r="36" ht="18" customHeight="1" s="329">
      <c r="A36" s="79" t="inlineStr">
        <is>
          <t>🔴 End-of-Life (EOL)</t>
        </is>
      </c>
      <c r="B36" s="112" t="n">
        <v>0</v>
      </c>
      <c r="C36" s="23">
        <f>IF($B$40=0,"",TEXT(B36/$B$40,"0%"))</f>
        <v/>
      </c>
      <c r="D36" s="94" t="inlineStr">
        <is>
          <t>Critical</t>
        </is>
      </c>
      <c r="E36" t="inlineStr">
        <is>
          <t>Immediate upgrade/replacement required</t>
        </is>
      </c>
      <c r="F36" s="113" t="n"/>
    </row>
    <row r="37" ht="18" customHeight="1" s="329">
      <c r="A37" s="79" t="inlineStr">
        <is>
          <t>🟠 Extended Support (ESU)</t>
        </is>
      </c>
      <c r="B37" s="112" t="n">
        <v>0</v>
      </c>
      <c r="C37" s="23">
        <f>IF($B$40=0,"",TEXT(B37/$B$40,"0%"))</f>
        <v/>
      </c>
      <c r="D37" s="95" t="inlineStr">
        <is>
          <t>High</t>
        </is>
      </c>
      <c r="E37" t="inlineStr">
        <is>
          <t>Plan migration within 12 months</t>
        </is>
      </c>
      <c r="F37" s="113" t="n"/>
    </row>
    <row r="38" ht="18" customHeight="1" s="329">
      <c r="A38" s="79" t="inlineStr">
        <is>
          <t>🟡 Mainstream Support Ending</t>
        </is>
      </c>
      <c r="B38" s="112" t="n">
        <v>0</v>
      </c>
      <c r="C38" s="23">
        <f>IF($B$40=0,"",TEXT(B38/$B$40,"0%"))</f>
        <v/>
      </c>
      <c r="D38" s="96" t="inlineStr">
        <is>
          <t>Medium</t>
        </is>
      </c>
      <c r="E38" t="inlineStr">
        <is>
          <t>Plan migration within 24 months</t>
        </is>
      </c>
      <c r="F38" s="113" t="n"/>
    </row>
    <row r="39" ht="18" customHeight="1" s="329">
      <c r="A39" s="79" t="inlineStr">
        <is>
          <t>🟢 Fully Supported</t>
        </is>
      </c>
      <c r="B39" s="112" t="n">
        <v>0</v>
      </c>
      <c r="C39" s="23">
        <f>IF($B$40=0,"",TEXT(B39/$B$40,"0%"))</f>
        <v/>
      </c>
      <c r="D39" s="97" t="inlineStr">
        <is>
          <t>Low</t>
        </is>
      </c>
      <c r="E39" t="inlineStr">
        <is>
          <t>Standard migration timeline</t>
        </is>
      </c>
      <c r="F39" s="113" t="n"/>
    </row>
    <row r="40" ht="18" customHeight="1" s="329">
      <c r="A40" s="83" t="inlineStr">
        <is>
          <t>TOTAL SERVERS</t>
        </is>
      </c>
      <c r="B40" s="84">
        <f>SUM(B36:B39)</f>
        <v/>
      </c>
      <c r="C40" s="85" t="n">
        <v>1</v>
      </c>
      <c r="D40" s="84" t="n"/>
      <c r="E40" s="86" t="n"/>
      <c r="F40" s="87" t="n"/>
    </row>
    <row r="41" ht="18" customHeight="1" s="329"/>
    <row r="42" ht="18" customHeight="1" s="329">
      <c r="A42" s="336" t="inlineStr">
        <is>
          <t>▸ MIGRATION READINESS STATUS</t>
        </is>
      </c>
    </row>
    <row r="43" ht="21.95" customHeight="1" s="329">
      <c r="A43" s="75" t="inlineStr">
        <is>
          <t>Readiness Status</t>
        </is>
      </c>
      <c r="B43" s="75" t="inlineStr">
        <is>
          <t>Server Count</t>
        </is>
      </c>
      <c r="C43" s="75" t="inlineStr">
        <is>
          <t>% of Total</t>
        </is>
      </c>
      <c r="D43" s="75" t="inlineStr">
        <is>
          <t>Blockers / Conditions</t>
        </is>
      </c>
      <c r="E43" s="75" t="inlineStr">
        <is>
          <t>Remediation Required</t>
        </is>
      </c>
      <c r="F43" s="75" t="inlineStr">
        <is>
          <t>Est. Effort</t>
        </is>
      </c>
    </row>
    <row r="44" ht="18" customHeight="1" s="329">
      <c r="A44" s="244" t="inlineStr">
        <is>
          <t>🟢 Ready for Migration</t>
        </is>
      </c>
      <c r="B44" s="112" t="n">
        <v>0</v>
      </c>
      <c r="C44" s="23">
        <f>IF($B$48=0,"",TEXT(B44/$B$48,"0%"))</f>
        <v/>
      </c>
      <c r="D44" t="inlineStr">
        <is>
          <t>None</t>
        </is>
      </c>
      <c r="E44" t="inlineStr">
        <is>
          <t>None</t>
        </is>
      </c>
      <c r="F44" s="98" t="inlineStr">
        <is>
          <t>Low</t>
        </is>
      </c>
    </row>
    <row r="45" ht="18" customHeight="1" s="329">
      <c r="A45" s="244" t="inlineStr">
        <is>
          <t>🟡 Ready with Conditions</t>
        </is>
      </c>
      <c r="B45" s="112" t="n">
        <v>0</v>
      </c>
      <c r="C45" s="23">
        <f>IF($B$48=0,"",TEXT(B45/$B$48,"0%"))</f>
        <v/>
      </c>
      <c r="D45" s="114" t="n"/>
      <c r="E45" s="114" t="n"/>
      <c r="F45" s="115" t="inlineStr">
        <is>
          <t>Medium</t>
        </is>
      </c>
    </row>
    <row r="46" ht="18" customHeight="1" s="329">
      <c r="A46" s="244" t="inlineStr">
        <is>
          <t>🟠 Requires Remediation</t>
        </is>
      </c>
      <c r="B46" s="112" t="n">
        <v>0</v>
      </c>
      <c r="C46" s="23">
        <f>IF($B$48=0,"",TEXT(B46/$B$48,"0%"))</f>
        <v/>
      </c>
      <c r="D46" s="114" t="n"/>
      <c r="E46" s="114" t="n"/>
      <c r="F46" s="116" t="inlineStr">
        <is>
          <t>High</t>
        </is>
      </c>
    </row>
    <row r="47" ht="18" customHeight="1" s="329">
      <c r="A47" s="244" t="inlineStr">
        <is>
          <t>🔴 Not Ready for Migration</t>
        </is>
      </c>
      <c r="B47" s="112" t="n">
        <v>0</v>
      </c>
      <c r="C47" s="23">
        <f>IF($B$48=0,"",TEXT(B47/$B$48,"0%"))</f>
        <v/>
      </c>
      <c r="D47" s="114" t="n"/>
      <c r="E47" s="114" t="n"/>
      <c r="F47" s="117" t="inlineStr">
        <is>
          <t>Critical</t>
        </is>
      </c>
    </row>
    <row r="48" ht="18" customHeight="1" s="329">
      <c r="A48" s="76" t="inlineStr">
        <is>
          <t>TOTAL SERVERS</t>
        </is>
      </c>
      <c r="B48" s="77">
        <f>SUM(B44:B47)</f>
        <v/>
      </c>
      <c r="C48" s="78" t="n">
        <v>1</v>
      </c>
      <c r="D48" s="76" t="n"/>
      <c r="E48" s="76" t="n"/>
      <c r="F48" s="77" t="n"/>
    </row>
    <row r="49" ht="18" customHeight="1" s="329"/>
    <row r="50" ht="18" customHeight="1" s="329">
      <c r="A50" s="336" t="inlineStr">
        <is>
          <t>▸ SERVER COUNT BY OPERATING SYSTEM</t>
        </is>
      </c>
    </row>
    <row r="51" ht="21.95" customHeight="1" s="329">
      <c r="A51" s="75" t="inlineStr">
        <is>
          <t>Operating System</t>
        </is>
      </c>
      <c r="B51" s="75" t="inlineStr">
        <is>
          <t>Version</t>
        </is>
      </c>
      <c r="C51" s="75" t="inlineStr">
        <is>
          <t>Server Count</t>
        </is>
      </c>
      <c r="D51" s="75" t="inlineStr">
        <is>
          <t>% of Total</t>
        </is>
      </c>
      <c r="E51" s="75" t="inlineStr">
        <is>
          <t>Support Status</t>
        </is>
      </c>
      <c r="F51" s="75" t="inlineStr">
        <is>
          <t>AHB Eligible</t>
        </is>
      </c>
    </row>
    <row r="52" ht="18" customHeight="1" s="329">
      <c r="A52" s="88" t="inlineStr">
        <is>
          <t>Windows Server</t>
        </is>
      </c>
      <c r="B52" s="88" t="n">
        <v>2022</v>
      </c>
      <c r="C52" s="112" t="n">
        <v>0</v>
      </c>
      <c r="D52" s="23">
        <f>IF($C$62=0,"",TEXT(C52/$C$62,"0%"))</f>
        <v/>
      </c>
      <c r="E52" s="23" t="inlineStr">
        <is>
          <t>🟢 Fully Supported</t>
        </is>
      </c>
      <c r="F52" s="23" t="inlineStr">
        <is>
          <t>Yes</t>
        </is>
      </c>
    </row>
    <row r="53" ht="18" customHeight="1" s="329">
      <c r="A53" s="99" t="inlineStr">
        <is>
          <t>Windows Server</t>
        </is>
      </c>
      <c r="B53" s="99" t="n">
        <v>2019</v>
      </c>
      <c r="C53" s="112" t="n">
        <v>0</v>
      </c>
      <c r="D53" s="100">
        <f>IF($C$62=0,"",TEXT(C53/$C$62,"0%"))</f>
        <v/>
      </c>
      <c r="E53" s="100" t="inlineStr">
        <is>
          <t>🟢 Fully Supported</t>
        </is>
      </c>
      <c r="F53" s="100" t="inlineStr">
        <is>
          <t>Yes</t>
        </is>
      </c>
    </row>
    <row r="54" ht="18" customHeight="1" s="329">
      <c r="A54" s="88" t="inlineStr">
        <is>
          <t>Windows Server</t>
        </is>
      </c>
      <c r="B54" s="88" t="n">
        <v>2016</v>
      </c>
      <c r="C54" s="112" t="n">
        <v>0</v>
      </c>
      <c r="D54" s="23">
        <f>IF($C$62=0,"",TEXT(C54/$C$62,"0%"))</f>
        <v/>
      </c>
      <c r="E54" s="23" t="inlineStr">
        <is>
          <t>🟡 Mainstream Ending</t>
        </is>
      </c>
      <c r="F54" s="23" t="inlineStr">
        <is>
          <t>Yes</t>
        </is>
      </c>
    </row>
    <row r="55" ht="18" customHeight="1" s="329">
      <c r="A55" s="99" t="inlineStr">
        <is>
          <t>Windows Server</t>
        </is>
      </c>
      <c r="B55" s="99" t="inlineStr">
        <is>
          <t>2012 R2</t>
        </is>
      </c>
      <c r="C55" s="112" t="n">
        <v>0</v>
      </c>
      <c r="D55" s="100">
        <f>IF($C$62=0,"",TEXT(C55/$C$62,"0%"))</f>
        <v/>
      </c>
      <c r="E55" s="100" t="inlineStr">
        <is>
          <t>🔴 EOL (ESU Available)</t>
        </is>
      </c>
      <c r="F55" s="100" t="inlineStr">
        <is>
          <t>Yes</t>
        </is>
      </c>
    </row>
    <row r="56" ht="18" customHeight="1" s="329">
      <c r="A56" s="88" t="inlineStr">
        <is>
          <t>Windows Server</t>
        </is>
      </c>
      <c r="B56" s="88" t="n">
        <v>2012</v>
      </c>
      <c r="C56" s="112" t="n">
        <v>0</v>
      </c>
      <c r="D56" s="23">
        <f>IF($C$62=0,"",TEXT(C56/$C$62,"0%"))</f>
        <v/>
      </c>
      <c r="E56" s="23" t="inlineStr">
        <is>
          <t>🔴 EOL (ESU Available)</t>
        </is>
      </c>
      <c r="F56" s="23" t="inlineStr">
        <is>
          <t>Yes</t>
        </is>
      </c>
    </row>
    <row r="57" ht="18" customHeight="1" s="329">
      <c r="A57" s="99" t="inlineStr">
        <is>
          <t>Windows Server</t>
        </is>
      </c>
      <c r="B57" s="99" t="inlineStr">
        <is>
          <t>2008 R2</t>
        </is>
      </c>
      <c r="C57" s="112" t="n">
        <v>0</v>
      </c>
      <c r="D57" s="100">
        <f>IF($C$62=0,"",TEXT(C57/$C$62,"0%"))</f>
        <v/>
      </c>
      <c r="E57" s="100" t="inlineStr">
        <is>
          <t>🔴 EOL</t>
        </is>
      </c>
      <c r="F57" s="100" t="inlineStr">
        <is>
          <t>Yes</t>
        </is>
      </c>
    </row>
    <row r="58" ht="18" customHeight="1" s="329">
      <c r="A58" s="88" t="inlineStr">
        <is>
          <t>Red Hat Enterprise Linux</t>
        </is>
      </c>
      <c r="B58" s="88" t="inlineStr">
        <is>
          <t>8.x / 9.x</t>
        </is>
      </c>
      <c r="C58" s="112" t="n">
        <v>0</v>
      </c>
      <c r="D58" s="23">
        <f>IF($C$62=0,"",TEXT(C58/$C$62,"0%"))</f>
        <v/>
      </c>
      <c r="E58" s="23" t="inlineStr">
        <is>
          <t>🟢 Fully Supported</t>
        </is>
      </c>
      <c r="F58" s="23" t="inlineStr">
        <is>
          <t>RHEL Sub</t>
        </is>
      </c>
    </row>
    <row r="59" ht="18" customHeight="1" s="329">
      <c r="A59" s="99" t="inlineStr">
        <is>
          <t>SUSE Linux Enterprise</t>
        </is>
      </c>
      <c r="B59" s="99" t="inlineStr">
        <is>
          <t>15.x</t>
        </is>
      </c>
      <c r="C59" s="112" t="n">
        <v>0</v>
      </c>
      <c r="D59" s="100">
        <f>IF($C$62=0,"",TEXT(C59/$C$62,"0%"))</f>
        <v/>
      </c>
      <c r="E59" s="100" t="inlineStr">
        <is>
          <t>🟢 Fully Supported</t>
        </is>
      </c>
      <c r="F59" s="100" t="inlineStr">
        <is>
          <t>SUSE Sub</t>
        </is>
      </c>
    </row>
    <row r="60" ht="18" customHeight="1" s="329">
      <c r="A60" s="88" t="inlineStr">
        <is>
          <t>Ubuntu Server</t>
        </is>
      </c>
      <c r="B60" s="88" t="inlineStr">
        <is>
          <t>20.04 / 22.04 LTS</t>
        </is>
      </c>
      <c r="C60" s="112" t="n">
        <v>0</v>
      </c>
      <c r="D60" s="23">
        <f>IF($C$62=0,"",TEXT(C60/$C$62,"0%"))</f>
        <v/>
      </c>
      <c r="E60" s="23" t="inlineStr">
        <is>
          <t>🟢 Fully Supported</t>
        </is>
      </c>
      <c r="F60" s="23" t="inlineStr">
        <is>
          <t>No</t>
        </is>
      </c>
    </row>
    <row r="61" ht="18" customHeight="1" s="329">
      <c r="A61" s="99" t="inlineStr">
        <is>
          <t>CentOS / Other Linux</t>
        </is>
      </c>
      <c r="B61" s="99" t="inlineStr">
        <is>
          <t>Various</t>
        </is>
      </c>
      <c r="C61" s="112" t="n">
        <v>0</v>
      </c>
      <c r="D61" s="100">
        <f>IF($C$62=0,"",TEXT(C61/$C$62,"0%"))</f>
        <v/>
      </c>
      <c r="E61" s="100" t="inlineStr">
        <is>
          <t>🟠 Varies</t>
        </is>
      </c>
      <c r="F61" s="100" t="inlineStr">
        <is>
          <t>No</t>
        </is>
      </c>
    </row>
    <row r="62" ht="18" customHeight="1" s="329">
      <c r="A62" s="76" t="inlineStr">
        <is>
          <t>TOTAL SERVERS</t>
        </is>
      </c>
      <c r="B62" s="76" t="n"/>
      <c r="C62" s="77">
        <f>SUM(C52:C61)</f>
        <v/>
      </c>
      <c r="D62" s="78" t="n">
        <v>1</v>
      </c>
      <c r="E62" s="77" t="n"/>
      <c r="F62" s="77" t="n"/>
    </row>
    <row r="63" ht="18" customHeight="1" s="329"/>
    <row r="64" ht="18" customHeight="1" s="329">
      <c r="A64" s="308" t="inlineStr">
        <is>
          <t>▸ EXECUTIVE SUMMARY METRICS</t>
        </is>
      </c>
    </row>
    <row r="65" ht="21.95" customHeight="1" s="329">
      <c r="A65" s="75" t="inlineStr">
        <is>
          <t>Metric</t>
        </is>
      </c>
      <c r="B65" s="75" t="inlineStr">
        <is>
          <t>Value</t>
        </is>
      </c>
      <c r="C65" s="75" t="inlineStr">
        <is>
          <t>Status</t>
        </is>
      </c>
      <c r="D65" s="75" t="inlineStr">
        <is>
          <t>Notes</t>
        </is>
      </c>
    </row>
    <row r="66" ht="15" customHeight="1" s="329">
      <c r="A66" s="244" t="inlineStr">
        <is>
          <t>Total Servers in Scope</t>
        </is>
      </c>
      <c r="B66" s="89">
        <f>B40</f>
        <v/>
      </c>
      <c r="C66" s="23">
        <f>IF(B66&gt;0,"✅ Discovered","⏳ Pending")</f>
        <v/>
      </c>
      <c r="D66" s="341" t="inlineStr">
        <is>
          <t>From Azure Migrate Discovery</t>
        </is>
      </c>
    </row>
    <row r="67" ht="27.95" customHeight="1" s="329">
      <c r="A67" s="244" t="inlineStr">
        <is>
          <t>Servers Requiring Immediate Action (EOL)</t>
        </is>
      </c>
      <c r="B67" s="89">
        <f>B36</f>
        <v/>
      </c>
      <c r="C67" s="23">
        <f>IF(B67&gt;0,"🔴 Action Required","🟢 OK")</f>
        <v/>
      </c>
      <c r="D67" s="341" t="inlineStr">
        <is>
          <t>End-of-Life systems requiring immediate attention</t>
        </is>
      </c>
    </row>
    <row r="68" ht="18" customHeight="1" s="329">
      <c r="A68" s="244" t="inlineStr">
        <is>
          <t>Servers Ready for Migration</t>
        </is>
      </c>
      <c r="B68" s="89">
        <f>B44</f>
        <v/>
      </c>
      <c r="C68" s="23">
        <f>IF(B68&gt;0,"🟢 Ready","🟡 Pending")</f>
        <v/>
      </c>
      <c r="D68" s="341" t="inlineStr">
        <is>
          <t>No blockers identified</t>
        </is>
      </c>
    </row>
    <row r="69" ht="18" customHeight="1" s="329">
      <c r="A69" s="244" t="inlineStr">
        <is>
          <t>Servers Not Ready for Migration</t>
        </is>
      </c>
      <c r="B69" s="89">
        <f>B47</f>
        <v/>
      </c>
      <c r="C69" s="23">
        <f>IF(B69&gt;0,"🔴 Blockers Exist","🟢 OK")</f>
        <v/>
      </c>
      <c r="D69" s="341" t="inlineStr">
        <is>
          <t>Requires remediation before migration</t>
        </is>
      </c>
    </row>
    <row r="70" ht="24" customHeight="1" s="329">
      <c r="A70" s="245" t="inlineStr">
        <is>
          <t>Overall Migration Readiness %</t>
        </is>
      </c>
      <c r="B70" s="91">
        <f>IF(B48=0,"0%",TEXT((B44+B45)/B48,"0%"))</f>
        <v/>
      </c>
      <c r="C70" s="92">
        <f>IF(ISNUMBER(SEARCH("%",B70)),IF(VALUE(SUBSTITUTE(B70,"%",""))&gt;=80,"🟢 High Readiness",IF(VALUE(SUBSTITUTE(B70,"%",""))&gt;=50,"🟡 Medium Readiness","🔴 Low Readiness")),"⏳ Pending")</f>
        <v/>
      </c>
      <c r="D70" s="93" t="inlineStr">
        <is>
          <t>(Ready + Ready with Conditions) / Total</t>
        </is>
      </c>
    </row>
    <row r="71" ht="27.95" customHeight="1" s="329">
      <c r="A71" s="309" t="inlineStr">
        <is>
          <t>SECTION 2  —  AZURE REGIONAL ASSESSMENT</t>
        </is>
      </c>
    </row>
    <row r="72" ht="24" customHeight="1" s="329">
      <c r="A72" s="337" t="inlineStr">
        <is>
          <t>Comparative analysis of Azure regions for optimal workload placement based on cost, compliance, and latency</t>
        </is>
      </c>
    </row>
    <row r="73" ht="24" customHeight="1" s="329">
      <c r="A73" s="338" t="inlineStr">
        <is>
          <t>📊 Reference: Azure Migrate Assessment — Region A, Region B, Region C</t>
        </is>
      </c>
      <c r="B73" s="357" t="n"/>
      <c r="C73" s="357" t="n"/>
      <c r="D73" s="357" t="n"/>
      <c r="E73" s="357" t="n"/>
      <c r="F73" s="357" t="n"/>
    </row>
    <row r="74" ht="24" customHeight="1" s="329">
      <c r="A74" s="101" t="inlineStr">
        <is>
          <t>Assessment Factor</t>
        </is>
      </c>
      <c r="B74" s="101" t="inlineStr">
        <is>
          <t>Region A</t>
        </is>
      </c>
      <c r="C74" s="101" t="inlineStr">
        <is>
          <t>Region B</t>
        </is>
      </c>
      <c r="D74" s="101" t="inlineStr">
        <is>
          <t>Region C</t>
        </is>
      </c>
      <c r="E74" s="101" t="inlineStr">
        <is>
          <t>Preferred</t>
        </is>
      </c>
      <c r="F74" s="101" t="inlineStr">
        <is>
          <t>Rationale</t>
        </is>
      </c>
    </row>
    <row r="75" ht="27.95" customHeight="1" s="329">
      <c r="A75" s="241" t="inlineStr">
        <is>
          <t>Compute Cost (Monthly)</t>
        </is>
      </c>
      <c r="B75" s="194" t="n">
        <v>0</v>
      </c>
      <c r="C75" s="118" t="n">
        <v>0</v>
      </c>
      <c r="D75" s="118" t="n">
        <v>0</v>
      </c>
      <c r="E75" s="124" t="n"/>
      <c r="F75" s="127" t="n"/>
    </row>
    <row r="76" ht="18" customHeight="1" s="329">
      <c r="A76" s="240" t="inlineStr">
        <is>
          <t>Storage Cost (Monthly)</t>
        </is>
      </c>
      <c r="B76" s="195" t="n">
        <v>0</v>
      </c>
      <c r="C76" s="119" t="n">
        <v>0</v>
      </c>
      <c r="D76" s="119" t="n">
        <v>0</v>
      </c>
      <c r="E76" s="125" t="n"/>
      <c r="F76" s="128" t="n"/>
    </row>
    <row r="77" ht="18" customHeight="1" s="329">
      <c r="A77" s="241" t="inlineStr">
        <is>
          <t>Database Cost (Monthly)</t>
        </is>
      </c>
      <c r="B77" s="194" t="n">
        <v>0</v>
      </c>
      <c r="C77" s="118" t="n">
        <v>0</v>
      </c>
      <c r="D77" s="118" t="n">
        <v>0</v>
      </c>
      <c r="E77" s="124" t="n"/>
      <c r="F77" s="127" t="n"/>
    </row>
    <row r="78" ht="18" customHeight="1" s="329">
      <c r="A78" s="240" t="inlineStr">
        <is>
          <t>Data Transfer Cost</t>
        </is>
      </c>
      <c r="B78" s="195" t="n">
        <v>0</v>
      </c>
      <c r="C78" s="119" t="n">
        <v>0</v>
      </c>
      <c r="D78" s="119" t="n">
        <v>0</v>
      </c>
      <c r="E78" s="125" t="n"/>
      <c r="F78" s="128" t="n"/>
    </row>
    <row r="79" ht="18" customHeight="1" s="329">
      <c r="A79" s="246" t="inlineStr">
        <is>
          <t>Total Monthly — PAYG</t>
        </is>
      </c>
      <c r="B79" s="196" t="n">
        <v>0</v>
      </c>
      <c r="C79" s="120" t="n">
        <v>0</v>
      </c>
      <c r="D79" s="120" t="n">
        <v>0</v>
      </c>
      <c r="E79" s="129" t="n"/>
      <c r="F79" s="130" t="n"/>
    </row>
    <row r="80" ht="18" customHeight="1" s="329">
      <c r="A80" s="247" t="inlineStr">
        <is>
          <t>Total Monthly — AHB</t>
        </is>
      </c>
      <c r="B80" s="197" t="n">
        <v>0</v>
      </c>
      <c r="C80" s="121" t="n">
        <v>0</v>
      </c>
      <c r="D80" s="121" t="n">
        <v>0</v>
      </c>
      <c r="E80" s="131" t="n"/>
      <c r="F80" s="132" t="n"/>
    </row>
    <row r="81" ht="18" customHeight="1" s="329">
      <c r="A81" s="248" t="inlineStr">
        <is>
          <t>Total Monthly — RI 1-Year</t>
        </is>
      </c>
      <c r="B81" s="198" t="n">
        <v>0</v>
      </c>
      <c r="C81" s="122" t="n">
        <v>0</v>
      </c>
      <c r="D81" s="122" t="n">
        <v>0</v>
      </c>
      <c r="E81" s="133" t="n"/>
      <c r="F81" s="134" t="n"/>
    </row>
    <row r="82" ht="18" customHeight="1" s="329">
      <c r="A82" s="249" t="inlineStr">
        <is>
          <t>Total Monthly — RI 3-Year</t>
        </is>
      </c>
      <c r="B82" s="199" t="n">
        <v>0</v>
      </c>
      <c r="C82" s="123" t="n">
        <v>0</v>
      </c>
      <c r="D82" s="123" t="n">
        <v>0</v>
      </c>
      <c r="E82" s="135" t="n"/>
      <c r="F82" s="136" t="n"/>
    </row>
    <row r="83" ht="18" customHeight="1" s="329">
      <c r="A83" s="241" t="inlineStr">
        <is>
          <t>Data Residency Compliant</t>
        </is>
      </c>
      <c r="B83" s="200" t="n"/>
      <c r="C83" s="124" t="n"/>
      <c r="D83" s="124" t="n"/>
      <c r="E83" s="124" t="n"/>
      <c r="F83" s="127" t="n"/>
    </row>
    <row r="84" ht="18" customHeight="1" s="329">
      <c r="A84" s="240" t="inlineStr">
        <is>
          <t>Latency to End Users (ms)</t>
        </is>
      </c>
      <c r="B84" s="201" t="n"/>
      <c r="C84" s="125" t="n"/>
      <c r="D84" s="125" t="n"/>
      <c r="E84" s="125" t="n"/>
      <c r="F84" s="128" t="n"/>
    </row>
    <row r="85" ht="18" customHeight="1" s="329">
      <c r="A85" s="243" t="inlineStr">
        <is>
          <t>Paired Region for DR</t>
        </is>
      </c>
      <c r="B85" s="202" t="n"/>
      <c r="C85" s="126" t="n"/>
      <c r="D85" s="126" t="n"/>
      <c r="E85" s="126" t="n"/>
      <c r="F85" s="137" t="n"/>
    </row>
    <row r="86" ht="6" customHeight="1" s="329"/>
    <row r="87" ht="18" customHeight="1" s="329">
      <c r="A87" s="334" t="inlineStr">
        <is>
          <t>▸ REGIONAL RECOMMENDATION</t>
        </is>
      </c>
    </row>
    <row r="88" ht="18" customHeight="1" s="329">
      <c r="A88" s="250" t="inlineStr">
        <is>
          <t>Primary Region</t>
        </is>
      </c>
      <c r="B88" s="203" t="inlineStr">
        <is>
          <t>Secondary Region (DR)</t>
        </is>
      </c>
      <c r="C88" s="14" t="inlineStr">
        <is>
          <t>Selection Rationale</t>
        </is>
      </c>
      <c r="D88" s="15" t="n"/>
      <c r="E88" s="15" t="n"/>
      <c r="F88" s="15" t="n"/>
    </row>
    <row r="89" ht="18" customHeight="1" s="329">
      <c r="A89" s="251" t="inlineStr">
        <is>
          <t>[Select Region]</t>
        </is>
      </c>
      <c r="B89" s="204" t="inlineStr">
        <is>
          <t>[Select Region]</t>
        </is>
      </c>
      <c r="C89" s="138" t="inlineStr">
        <is>
          <t>[Enter rationale based on cost, compliance, and latency analysis]</t>
        </is>
      </c>
      <c r="D89" s="16" t="n"/>
      <c r="E89" s="16" t="n"/>
      <c r="F89" s="16" t="n"/>
    </row>
    <row r="90" ht="15" customHeight="1" s="329"/>
    <row r="91" ht="27.95" customHeight="1" s="329">
      <c r="A91" s="332" t="inlineStr">
        <is>
          <t>SECTION 3  —  AZURE COST ESTIMATION &amp; OPTIMIZATION</t>
        </is>
      </c>
    </row>
    <row r="92" ht="27.95" customHeight="1" s="329">
      <c r="A92" s="333" t="inlineStr">
        <is>
          <t>Comprehensive cost analysis comparing PAYG, Azure Hybrid Benefit (AHB), and Reserved Instance pricing models</t>
        </is>
      </c>
    </row>
    <row r="93" ht="6" customHeight="1" s="329"/>
    <row r="94" ht="24" customHeight="1" s="329">
      <c r="A94" s="334" t="inlineStr">
        <is>
          <t>▸ COST MODEL COMPARISON</t>
        </is>
      </c>
    </row>
    <row r="95" ht="24" customHeight="1" s="329">
      <c r="A95" s="239" t="inlineStr">
        <is>
          <t>Pricing Model</t>
        </is>
      </c>
      <c r="B95" s="189" t="inlineStr">
        <is>
          <t>Monthly Cost ($)</t>
        </is>
      </c>
      <c r="C95" s="6" t="inlineStr">
        <is>
          <t>Annual Cost ($)</t>
        </is>
      </c>
      <c r="D95" s="6" t="inlineStr">
        <is>
          <t>3-Year Total ($)</t>
        </is>
      </c>
      <c r="E95" s="6" t="inlineStr">
        <is>
          <t>Savings vs PAYG</t>
        </is>
      </c>
      <c r="F95" s="8" t="inlineStr">
        <is>
          <t>Notes</t>
        </is>
      </c>
    </row>
    <row r="96" ht="18" customHeight="1" s="329">
      <c r="A96" s="240" t="inlineStr">
        <is>
          <t>Pay-As-You-Go (PAYG)</t>
        </is>
      </c>
      <c r="B96" s="195" t="n">
        <v>0</v>
      </c>
      <c r="C96" s="119" t="n">
        <v>0</v>
      </c>
      <c r="D96" s="119" t="n">
        <v>0</v>
      </c>
      <c r="E96" s="4" t="inlineStr">
        <is>
          <t>—</t>
        </is>
      </c>
      <c r="F96" s="128" t="inlineStr">
        <is>
          <t>Baseline pricing</t>
        </is>
      </c>
    </row>
    <row r="97" ht="18" customHeight="1" s="329">
      <c r="A97" s="241" t="inlineStr">
        <is>
          <t>Azure Hybrid Benefit (AHB)</t>
        </is>
      </c>
      <c r="B97" s="194" t="n">
        <v>0</v>
      </c>
      <c r="C97" s="118" t="n">
        <v>0</v>
      </c>
      <c r="D97" s="118" t="n">
        <v>0</v>
      </c>
      <c r="E97" s="5">
        <f>IF(B96=0,"—",TEXT((B96-B97)/B96,"0%"))</f>
        <v/>
      </c>
      <c r="F97" s="127" t="inlineStr">
        <is>
          <t>Requires Windows/SQL SA</t>
        </is>
      </c>
    </row>
    <row r="98" ht="18" customHeight="1" s="329">
      <c r="A98" s="240" t="inlineStr">
        <is>
          <t>Reserved Instance — 1 Year</t>
        </is>
      </c>
      <c r="B98" s="195" t="n">
        <v>0</v>
      </c>
      <c r="C98" s="119" t="n">
        <v>0</v>
      </c>
      <c r="D98" s="119" t="n">
        <v>0</v>
      </c>
      <c r="E98" s="4">
        <f>IF(B96=0,"—",TEXT((B96-B98)/B96,"0%"))</f>
        <v/>
      </c>
      <c r="F98" s="128" t="inlineStr">
        <is>
          <t>1-year commitment</t>
        </is>
      </c>
    </row>
    <row r="99" ht="18" customHeight="1" s="329">
      <c r="A99" s="241" t="inlineStr">
        <is>
          <t>Reserved Instance — 3 Year</t>
        </is>
      </c>
      <c r="B99" s="194" t="n">
        <v>0</v>
      </c>
      <c r="C99" s="118" t="n">
        <v>0</v>
      </c>
      <c r="D99" s="118" t="n">
        <v>0</v>
      </c>
      <c r="E99" s="5">
        <f>IF(B96=0,"—",TEXT((B96-B99)/B96,"0%"))</f>
        <v/>
      </c>
      <c r="F99" s="127" t="inlineStr">
        <is>
          <t>3-year commitment</t>
        </is>
      </c>
    </row>
    <row r="100" ht="18" customHeight="1" s="329">
      <c r="A100" s="252" t="inlineStr">
        <is>
          <t>RI 3-Year + AHB (Optimized)</t>
        </is>
      </c>
      <c r="B100" s="205" t="n">
        <v>0</v>
      </c>
      <c r="C100" s="139" t="n">
        <v>0</v>
      </c>
      <c r="D100" s="139" t="n">
        <v>0</v>
      </c>
      <c r="E100" s="17">
        <f>IF(B96=0,"—",TEXT((B96-B100)/B96,"0%"))</f>
        <v/>
      </c>
      <c r="F100" s="140" t="inlineStr">
        <is>
          <t>Maximum savings</t>
        </is>
      </c>
    </row>
    <row r="101" ht="8.1" customHeight="1" s="329"/>
    <row r="102" ht="24" customHeight="1" s="329">
      <c r="A102" s="334" t="inlineStr">
        <is>
          <t>▸ AZURE HYBRID BENEFIT (AHB) ELIGIBILITY</t>
        </is>
      </c>
    </row>
    <row r="103" ht="18" customHeight="1" s="329">
      <c r="A103" s="253" t="inlineStr">
        <is>
          <t>License Type</t>
        </is>
      </c>
      <c r="B103" s="206" t="inlineStr">
        <is>
          <t>Licenses with SA</t>
        </is>
      </c>
      <c r="C103" s="18" t="inlineStr">
        <is>
          <t>Azure Coverage</t>
        </is>
      </c>
      <c r="D103" s="18" t="inlineStr">
        <is>
          <t>Est. Monthly Savings ($)</t>
        </is>
      </c>
      <c r="E103" s="18" t="inlineStr">
        <is>
          <t>Est. Annual Savings ($)</t>
        </is>
      </c>
      <c r="F103" s="18" t="inlineStr">
        <is>
          <t>Notes</t>
        </is>
      </c>
    </row>
    <row r="104" ht="18" customHeight="1" s="329">
      <c r="A104" s="254" t="inlineStr">
        <is>
          <t>Windows Server</t>
        </is>
      </c>
      <c r="B104" s="207" t="n">
        <v>0</v>
      </c>
      <c r="C104" s="141" t="n"/>
      <c r="D104" s="35" t="n">
        <v>0</v>
      </c>
      <c r="E104" s="35" t="n">
        <v>0</v>
      </c>
      <c r="F104" s="141" t="n"/>
    </row>
    <row r="105" ht="18" customHeight="1" s="329">
      <c r="A105" s="255" t="inlineStr">
        <is>
          <t>SQL Server Standard</t>
        </is>
      </c>
      <c r="B105" s="208" t="n">
        <v>0</v>
      </c>
      <c r="C105" s="142" t="n"/>
      <c r="D105" s="36" t="n">
        <v>0</v>
      </c>
      <c r="E105" s="36" t="n">
        <v>0</v>
      </c>
      <c r="F105" s="142" t="n"/>
    </row>
    <row r="106" ht="18" customHeight="1" s="329">
      <c r="A106" s="254" t="inlineStr">
        <is>
          <t>SQL Server Enterprise</t>
        </is>
      </c>
      <c r="B106" s="207" t="n">
        <v>0</v>
      </c>
      <c r="C106" s="141" t="n"/>
      <c r="D106" s="35" t="n">
        <v>0</v>
      </c>
      <c r="E106" s="35" t="n">
        <v>0</v>
      </c>
      <c r="F106" s="141" t="n"/>
    </row>
    <row r="107" ht="18" customHeight="1" s="329">
      <c r="A107" s="256" t="inlineStr">
        <is>
          <t>TOTAL AHB SAVINGS</t>
        </is>
      </c>
      <c r="B107" s="209">
        <f>SUM(B104:B106)</f>
        <v/>
      </c>
      <c r="C107" s="19" t="n"/>
      <c r="D107" s="37" t="n">
        <v>0</v>
      </c>
      <c r="E107" s="37" t="n">
        <v>0</v>
      </c>
      <c r="F107" s="19" t="n"/>
    </row>
    <row r="108" ht="8.1" customHeight="1" s="329"/>
    <row r="109" ht="18" customHeight="1" s="329">
      <c r="A109" s="334" t="inlineStr">
        <is>
          <t>▸ RECOMMENDED PRICING MODEL</t>
        </is>
      </c>
    </row>
    <row r="110" ht="18" customHeight="1" s="329">
      <c r="A110" s="250" t="inlineStr">
        <is>
          <t>Recommended Model</t>
        </is>
      </c>
      <c r="B110" s="203" t="inlineStr">
        <is>
          <t>Monthly Cost ($)</t>
        </is>
      </c>
      <c r="C110" s="14" t="inlineStr">
        <is>
          <t>Annual Cost ($)</t>
        </is>
      </c>
      <c r="D110" s="14" t="inlineStr">
        <is>
          <t>Annual Savings ($)</t>
        </is>
      </c>
      <c r="E110" s="14" t="inlineStr">
        <is>
          <t>ROI %</t>
        </is>
      </c>
      <c r="F110" s="14" t="inlineStr">
        <is>
          <t>Justification</t>
        </is>
      </c>
    </row>
    <row r="111" ht="18" customHeight="1" s="329">
      <c r="A111" s="251" t="inlineStr">
        <is>
          <t>[Select Model]</t>
        </is>
      </c>
      <c r="B111" s="210" t="n">
        <v>0</v>
      </c>
      <c r="C111" s="143" t="n">
        <v>0</v>
      </c>
      <c r="D111" s="143" t="n">
        <v>0</v>
      </c>
      <c r="E111" s="138" t="n"/>
      <c r="F111" s="138" t="inlineStr">
        <is>
          <t>[Enter justification]</t>
        </is>
      </c>
    </row>
    <row r="112" ht="15" customHeight="1" s="329"/>
    <row r="113" ht="27.95" customHeight="1" s="329">
      <c r="A113" s="332" t="inlineStr">
        <is>
          <t>SECTION 4  —  AZURE MIGRATION TOOLING &amp; SERVICES</t>
        </is>
      </c>
    </row>
    <row r="114" ht="18" customHeight="1" s="329">
      <c r="A114" s="333" t="inlineStr">
        <is>
          <t>Azure native tools and services recommended for workload discovery, assessment, and migration execution</t>
        </is>
      </c>
    </row>
    <row r="115" ht="6" customHeight="1" s="329"/>
    <row r="116" ht="24" customHeight="1" s="329">
      <c r="A116" s="239" t="inlineStr">
        <is>
          <t>Azure Tool / Service</t>
        </is>
      </c>
      <c r="B116" s="189" t="inlineStr">
        <is>
          <t>Purpose</t>
        </is>
      </c>
      <c r="C116" s="6" t="inlineStr">
        <is>
          <t>Applicable Workloads</t>
        </is>
      </c>
      <c r="D116" s="6" t="inlineStr">
        <is>
          <t>Licensing</t>
        </is>
      </c>
      <c r="E116" s="6" t="inlineStr">
        <is>
          <t>Readiness</t>
        </is>
      </c>
      <c r="F116" s="8" t="inlineStr">
        <is>
          <t>Notes</t>
        </is>
      </c>
    </row>
    <row r="117" ht="26.45" customHeight="1" s="329">
      <c r="A117" s="241" t="inlineStr">
        <is>
          <t>Azure Migrate</t>
        </is>
      </c>
      <c r="B117" s="211" t="inlineStr">
        <is>
          <t>Discovery, assessment, dependency mapping</t>
        </is>
      </c>
      <c r="C117" s="5" t="inlineStr">
        <is>
          <t>All workloads</t>
        </is>
      </c>
      <c r="D117" s="5" t="inlineStr">
        <is>
          <t>Free</t>
        </is>
      </c>
      <c r="E117" s="124" t="n"/>
      <c r="F117" s="127" t="inlineStr">
        <is>
          <t>Primary assessment tool</t>
        </is>
      </c>
    </row>
    <row r="118" ht="26.45" customHeight="1" s="329">
      <c r="A118" s="241" t="inlineStr">
        <is>
          <t>Azure Database Migration Service</t>
        </is>
      </c>
      <c r="B118" s="211" t="inlineStr">
        <is>
          <t>Database schema and data migration</t>
        </is>
      </c>
      <c r="C118" s="5" t="inlineStr">
        <is>
          <t>SQL, MySQL, PostgreSQL, Oracle</t>
        </is>
      </c>
      <c r="D118" s="5" t="inlineStr">
        <is>
          <t>Free / Premium</t>
        </is>
      </c>
      <c r="E118" s="124" t="n"/>
      <c r="F118" s="127" t="inlineStr">
        <is>
          <t>Online and offline modes</t>
        </is>
      </c>
    </row>
    <row r="119" ht="18" customHeight="1" s="329">
      <c r="E119" s="339" t="n"/>
      <c r="F119" s="339" t="n"/>
    </row>
    <row r="120" ht="18" customHeight="1" s="329">
      <c r="A120" s="332" t="inlineStr">
        <is>
          <t>SECTION 5  —  AZURE FIT SCORE ANALYSIS</t>
        </is>
      </c>
    </row>
    <row r="121" ht="18" customHeight="1" s="329">
      <c r="A121" s="333" t="inlineStr">
        <is>
          <t>Weighted scoring framework to objectively assess Azure suitability for the customer's workload requirements</t>
        </is>
      </c>
    </row>
    <row r="122" ht="15" customHeight="1" s="329"/>
    <row r="123" ht="27.95" customHeight="1" s="329">
      <c r="A123" s="239" t="inlineStr">
        <is>
          <t>Evaluation Factor</t>
        </is>
      </c>
      <c r="B123" s="189" t="inlineStr">
        <is>
          <t>Weight</t>
        </is>
      </c>
      <c r="C123" s="6" t="inlineStr">
        <is>
          <t>Score (0-100)</t>
        </is>
      </c>
      <c r="D123" s="6" t="inlineStr">
        <is>
          <t>Weighted Score</t>
        </is>
      </c>
      <c r="E123" s="6" t="inlineStr">
        <is>
          <t>Evidence / Rationale</t>
        </is>
      </c>
      <c r="F123" s="8" t="inlineStr">
        <is>
          <t>Improvement Actions</t>
        </is>
      </c>
    </row>
    <row r="124" ht="18" customHeight="1" s="329">
      <c r="A124" s="241" t="inlineStr">
        <is>
          <t>Service Compatibility</t>
        </is>
      </c>
      <c r="B124" s="212" t="n">
        <v>0.25</v>
      </c>
      <c r="C124" s="144" t="n">
        <v>0</v>
      </c>
      <c r="D124" s="20">
        <f>IFERROR(VALUE(SUBSTITUTE(B124,"%",""))/100*C124,0)</f>
        <v/>
      </c>
      <c r="E124" s="124" t="n"/>
      <c r="F124" s="127" t="n"/>
    </row>
    <row r="125">
      <c r="A125" s="240" t="inlineStr">
        <is>
          <t>Cost Competitiveness</t>
        </is>
      </c>
      <c r="B125" s="213" t="n">
        <v>0.2</v>
      </c>
      <c r="C125" s="144" t="n">
        <v>0</v>
      </c>
      <c r="D125" s="21">
        <f>IFERROR(VALUE(SUBSTITUTE(B125,"%",""))/100*C125,0)</f>
        <v/>
      </c>
      <c r="E125" s="125" t="n"/>
      <c r="F125" s="128" t="n"/>
    </row>
    <row r="126" ht="26.1" customHeight="1" s="329">
      <c r="A126" s="241" t="inlineStr">
        <is>
          <t>Regional Availability &amp; Compliance</t>
        </is>
      </c>
      <c r="B126" s="212" t="n">
        <v>0.15</v>
      </c>
      <c r="C126" s="144" t="n">
        <v>0</v>
      </c>
      <c r="D126" s="20">
        <f>IFERROR(VALUE(SUBSTITUTE(B126,"%",""))/100*C126,0)</f>
        <v/>
      </c>
      <c r="E126" s="124" t="n"/>
      <c r="F126" s="127" t="n"/>
    </row>
    <row r="127" ht="18" customHeight="1" s="329">
      <c r="A127" s="240" t="inlineStr">
        <is>
          <t>Migration Tooling &amp; Support</t>
        </is>
      </c>
      <c r="B127" s="213" t="n">
        <v>0.15</v>
      </c>
      <c r="C127" s="144" t="n">
        <v>0</v>
      </c>
      <c r="D127" s="21">
        <f>IFERROR(VALUE(SUBSTITUTE(B127,"%",""))/100*C127,0)</f>
        <v/>
      </c>
      <c r="E127" s="125" t="n"/>
      <c r="F127" s="128" t="n"/>
    </row>
    <row r="128" ht="18" customHeight="1" s="329">
      <c r="A128" s="241" t="inlineStr">
        <is>
          <t>Team Skills &amp; Expertise</t>
        </is>
      </c>
      <c r="B128" s="212" t="n">
        <v>0.1</v>
      </c>
      <c r="C128" s="144" t="n">
        <v>0</v>
      </c>
      <c r="D128" s="20">
        <f>IFERROR(VALUE(SUBSTITUTE(B128,"%",""))/100*C128,0)</f>
        <v/>
      </c>
      <c r="E128" s="124" t="n"/>
      <c r="F128" s="127" t="n"/>
    </row>
    <row r="129" ht="18" customHeight="1" s="329">
      <c r="A129" s="240" t="inlineStr">
        <is>
          <t>Vendor Relationship (EA/CSP)</t>
        </is>
      </c>
      <c r="B129" s="213" t="n">
        <v>0.1</v>
      </c>
      <c r="C129" s="144" t="n">
        <v>0</v>
      </c>
      <c r="D129" s="21">
        <f>IFERROR(VALUE(SUBSTITUTE(B129,"%",""))/100*C129,0)</f>
        <v/>
      </c>
      <c r="E129" s="125" t="n"/>
      <c r="F129" s="128" t="n"/>
    </row>
    <row r="130" ht="18" customHeight="1" s="329">
      <c r="A130" s="243" t="inlineStr">
        <is>
          <t>Strategic Alignment</t>
        </is>
      </c>
      <c r="B130" s="214" t="n">
        <v>0.05</v>
      </c>
      <c r="C130" s="145" t="n">
        <v>0</v>
      </c>
      <c r="D130" s="22">
        <f>IFERROR(VALUE(SUBSTITUTE(B130,"%",""))/100*C130,0)</f>
        <v/>
      </c>
      <c r="E130" s="126" t="n"/>
      <c r="F130" s="137" t="n"/>
    </row>
    <row r="131" ht="18" customHeight="1" s="329" thickBot="1">
      <c r="C131" s="339" t="n"/>
      <c r="E131" s="339" t="n"/>
      <c r="F131" s="339" t="n"/>
    </row>
    <row r="132" ht="27.95" customHeight="1" s="329" thickBot="1">
      <c r="A132" s="26" t="inlineStr">
        <is>
          <t>AZURE FIT SCORE</t>
        </is>
      </c>
      <c r="B132" s="24" t="n">
        <v>1</v>
      </c>
      <c r="C132" s="146">
        <f>SUM(C124:C130)</f>
        <v/>
      </c>
      <c r="D132" s="25">
        <f>ROUND(SUM(D124:D130),1)</f>
        <v/>
      </c>
      <c r="E132" s="147">
        <f>IF(D132&gt;=80,"🟢 STRONG FIT",IF(D132&gt;=60,"🟡 MODERATE FIT",IF(D132&gt;=40,"🟠 CONDITIONAL FIT","🔴 POOR FIT")))</f>
        <v/>
      </c>
      <c r="F132" s="148" t="inlineStr">
        <is>
          <t>Industry Benchmark: 70-90</t>
        </is>
      </c>
    </row>
    <row r="134">
      <c r="A134" s="334" t="inlineStr">
        <is>
          <t>▸ FIT SCORE INTERPRETATION GUIDE</t>
        </is>
      </c>
    </row>
    <row r="135" ht="32.1" customHeight="1" s="329">
      <c r="A135" s="250" t="inlineStr">
        <is>
          <t>Score Range</t>
        </is>
      </c>
      <c r="B135" s="203" t="inlineStr">
        <is>
          <t>Rating</t>
        </is>
      </c>
      <c r="C135" s="14" t="inlineStr">
        <is>
          <t>Interpretation</t>
        </is>
      </c>
      <c r="D135" s="14" t="inlineStr">
        <is>
          <t>Recommended Action</t>
        </is>
      </c>
      <c r="E135" s="15" t="n"/>
      <c r="F135" s="15" t="n"/>
    </row>
    <row r="136" ht="39.6" customHeight="1" s="329">
      <c r="A136" s="257" t="inlineStr">
        <is>
          <t>80 — 100</t>
        </is>
      </c>
      <c r="B136" s="215" t="inlineStr">
        <is>
          <t>🟢 Strong Fit</t>
        </is>
      </c>
      <c r="C136" s="71" t="inlineStr">
        <is>
          <t>Azure is highly suitable for this workload</t>
        </is>
      </c>
      <c r="D136" s="27" t="inlineStr">
        <is>
          <t>Proceed with detailed migration planning</t>
        </is>
      </c>
      <c r="E136" s="28" t="n"/>
      <c r="F136" s="28" t="n"/>
    </row>
    <row r="137" ht="24" customHeight="1" s="329">
      <c r="A137" s="258" t="inlineStr">
        <is>
          <t>60 — 79</t>
        </is>
      </c>
      <c r="B137" s="216" t="inlineStr">
        <is>
          <t>🟡 Moderate Fit</t>
        </is>
      </c>
      <c r="C137" s="72" t="inlineStr">
        <is>
          <t>Azure is suitable with some considerations</t>
        </is>
      </c>
      <c r="D137" s="29" t="inlineStr">
        <is>
          <t>Address identified gaps before proceeding</t>
        </is>
      </c>
      <c r="E137" s="30" t="n"/>
      <c r="F137" s="30" t="n"/>
    </row>
    <row r="138" ht="39.6" customHeight="1" s="329">
      <c r="A138" s="259" t="inlineStr">
        <is>
          <t>40 — 59</t>
        </is>
      </c>
      <c r="B138" s="217" t="inlineStr">
        <is>
          <t>🟠 Conditional Fit</t>
        </is>
      </c>
      <c r="C138" s="73" t="inlineStr">
        <is>
          <t>Azure requires significant remediation</t>
        </is>
      </c>
      <c r="D138" s="31" t="inlineStr">
        <is>
          <t>Conduct detailed gap analysis; consider hybrid approach</t>
        </is>
      </c>
      <c r="E138" s="32" t="n"/>
      <c r="F138" s="32" t="n"/>
    </row>
    <row r="139" ht="39.6" customHeight="1" s="329">
      <c r="A139" s="260" t="inlineStr">
        <is>
          <t>0 — 39</t>
        </is>
      </c>
      <c r="B139" s="218" t="inlineStr">
        <is>
          <t>🔴 Poor Fit</t>
        </is>
      </c>
      <c r="C139" s="74" t="inlineStr">
        <is>
          <t>Azure may not be optimal for this workload</t>
        </is>
      </c>
      <c r="D139" s="33" t="inlineStr">
        <is>
          <t>Evaluate alternative platforms (AWS, GCP, Private Cloud)</t>
        </is>
      </c>
      <c r="E139" s="34" t="n"/>
      <c r="F139" s="34" t="n"/>
    </row>
    <row r="140" ht="18" customHeight="1" s="329"/>
    <row r="141" ht="18" customHeight="1" s="329">
      <c r="A141" s="340" t="inlineStr">
        <is>
          <t>━━━━━━━━━━━━━━━━━━━━━━━━━━━━━━━━━━━━━━━━━━━━━━━━━━━━━━━━━━━━━━━━━━━━━━━━━━━━━━━━━━━━━━━━━━━━━━━━━━━━━━━━━━━━━</t>
        </is>
      </c>
    </row>
    <row r="142" ht="18" customHeight="1" s="329">
      <c r="A142" s="305" t="inlineStr">
        <is>
          <t>Cloud Readiness Accelerator Framework  |  Azure Evaluation  |  Version 1.0  |  April 2026</t>
        </is>
      </c>
    </row>
    <row r="143" ht="15" customHeight="1" s="329">
      <c r="A143" s="306" t="inlineStr">
        <is>
          <t>© 2026 Cloud Readiness Accelerator Framework  |  Confidential — For Authorized Use Only</t>
        </is>
      </c>
    </row>
    <row r="144" ht="18" customHeight="1" s="329"/>
  </sheetData>
  <sheetProtection selectLockedCells="0" selectUnlockedCells="0" sheet="1" objects="1" insertRows="1" insertHyperlinks="1" autoFilter="1" scenarios="1" formatColumns="1" deleteColumns="1" insertColumns="1" pivotTables="1" deleteRows="1" formatCells="1" formatRows="1" sort="1"/>
  <mergeCells count="32">
    <mergeCell ref="A120:F120"/>
    <mergeCell ref="A50:F50"/>
    <mergeCell ref="A3:F3"/>
    <mergeCell ref="A113:F113"/>
    <mergeCell ref="A2:F2"/>
    <mergeCell ref="A71:F71"/>
    <mergeCell ref="A42:F42"/>
    <mergeCell ref="A32:F32"/>
    <mergeCell ref="A8:F8"/>
    <mergeCell ref="A141:F141"/>
    <mergeCell ref="A17:F17"/>
    <mergeCell ref="A4:F4"/>
    <mergeCell ref="A91:F91"/>
    <mergeCell ref="A109:F109"/>
    <mergeCell ref="A72:F72"/>
    <mergeCell ref="A134:F134"/>
    <mergeCell ref="A121:F121"/>
    <mergeCell ref="A102:F102"/>
    <mergeCell ref="A9:F9"/>
    <mergeCell ref="A31:F31"/>
    <mergeCell ref="A34:F34"/>
    <mergeCell ref="A143:F143"/>
    <mergeCell ref="A92:F92"/>
    <mergeCell ref="A114:F114"/>
    <mergeCell ref="A64:F64"/>
    <mergeCell ref="A142:F142"/>
    <mergeCell ref="A73:F73"/>
    <mergeCell ref="A1:F1"/>
    <mergeCell ref="A94:F94"/>
    <mergeCell ref="A6:F6"/>
    <mergeCell ref="A87:F87"/>
    <mergeCell ref="A25:F25"/>
  </mergeCells>
  <dataValidations count="5">
    <dataValidation sqref="C124:C130" showDropDown="0" showInputMessage="1" showErrorMessage="1" allowBlank="1" errorTitle="Invalid Score" error="Please enter a score between 0 and 100" promptTitle="Score Entry" prompt="Enter a score from 0 (poor) to 100 (excellent)" type="whole">
      <formula1>0</formula1>
      <formula2>100</formula2>
    </dataValidation>
    <dataValidation sqref="D11:D15" showDropDown="0" showInputMessage="1" showErrorMessage="1" allowBlank="1" type="list">
      <formula1>"✅ Full,⚠️ Partial,❌ None,🔄 Requires Refactor"</formula1>
    </dataValidation>
    <dataValidation sqref="E11:E15" showDropDown="0" showInputMessage="1" showErrorMessage="1" allowBlank="1" type="list">
      <formula1>"Rehost,Replatform,Refactor,Rebuild,Replace,Retire"</formula1>
    </dataValidation>
    <dataValidation sqref="B83:D83" showDropDown="0" showInputMessage="1" showErrorMessage="1" allowBlank="1" type="list">
      <formula1>"Yes,No,Pending Review"</formula1>
    </dataValidation>
    <dataValidation sqref="E117:E118" showDropDown="0" showInputMessage="1" showErrorMessage="1" allowBlank="1" type="list">
      <formula1>"✅ Ready,⚠️ Needs Setup,❌ Not Applicable,🔄 In Progress"</formula1>
    </dataValidation>
  </dataValidations>
  <pageMargins left="0.75" right="0.75" top="1" bottom="1" header="0.511811023622047" footer="0.511811023622047"/>
  <pageSetup orientation="landscape" paperSize="9" horizontalDpi="300" verticalDpi="300"/>
</worksheet>
</file>

<file path=xl/worksheets/sheet6.xml><?xml version="1.0" encoding="utf-8"?>
<worksheet xmlns="http://schemas.openxmlformats.org/spreadsheetml/2006/main">
  <sheetPr>
    <outlinePr summaryBelow="1" summaryRight="1"/>
    <pageSetUpPr/>
  </sheetPr>
  <dimension ref="A1:E127"/>
  <sheetViews>
    <sheetView workbookViewId="0">
      <pane ySplit="4" topLeftCell="A123" activePane="bottomLeft" state="frozen"/>
      <selection pane="bottomLeft" activeCell="C131" sqref="C131"/>
    </sheetView>
  </sheetViews>
  <sheetFormatPr baseColWidth="8" defaultRowHeight="14.45"/>
  <cols>
    <col width="32.7109375" customWidth="1" style="329" min="1" max="1"/>
    <col width="36.42578125" customWidth="1" style="23" min="2" max="2"/>
    <col width="90" bestFit="1" customWidth="1" style="329" min="3" max="3"/>
    <col width="45.42578125" customWidth="1" style="329" min="4" max="4"/>
    <col width="54.5703125" customWidth="1" style="329" min="5" max="5"/>
  </cols>
  <sheetData>
    <row r="1" ht="39.95" customHeight="1" s="329">
      <c r="A1" s="320" t="inlineStr">
        <is>
          <t>AZURE COMPATIBILITY EXCLUSIONS &amp; LIMITATIONS</t>
        </is>
      </c>
    </row>
    <row r="2" ht="27.95" customHeight="1" s="329">
      <c r="A2" s="321" t="inlineStr">
        <is>
          <t>Regions &amp; Operating Systems Not Supported or with Limited Support in Microsoft Azure</t>
        </is>
      </c>
    </row>
    <row r="3" ht="21.95" customHeight="1" s="329">
      <c r="A3" s="322" t="inlineStr">
        <is>
          <t>Version 1.0  |  Classification: Confidential  |  Last Updated: April 2026  |  Source: Microsoft Azure Documentation</t>
        </is>
      </c>
    </row>
    <row r="4" ht="9.949999999999999" customHeight="1" s="329"/>
    <row r="5" ht="45" customHeight="1" s="329">
      <c r="A5" s="323" t="inlineStr">
        <is>
          <t>📌 PURPOSE: This sheet documents Azure regions with restricted availability and operating systems that are not supported or have limited support for Azure migration.</t>
        </is>
      </c>
    </row>
    <row r="6" ht="15" customHeight="1" s="329"/>
    <row r="7" ht="27.95" customHeight="1" s="329">
      <c r="A7" s="332" t="inlineStr">
        <is>
          <t>SECTION 1  —  AZURE REGIONS: RESTRICTED OR UNAVAILABLE</t>
        </is>
      </c>
    </row>
    <row r="8" ht="21.95" customHeight="1" s="329">
      <c r="A8" s="341" t="inlineStr">
        <is>
          <t>Regions where Azure services are not available, restricted, or require special sovereign cloud access</t>
        </is>
      </c>
    </row>
    <row r="10" ht="24" customHeight="1" s="329">
      <c r="A10" s="342" t="inlineStr">
        <is>
          <t>▸ REGIONS WHERE AZURE IS NOT AVAILABLE</t>
        </is>
      </c>
    </row>
    <row r="11" ht="24" customHeight="1" s="329">
      <c r="A11" s="150" t="inlineStr">
        <is>
          <t>Region / Country</t>
        </is>
      </c>
      <c r="B11" s="263" t="inlineStr">
        <is>
          <t>Availability Status</t>
        </is>
      </c>
      <c r="C11" s="153" t="inlineStr">
        <is>
          <t>Reason</t>
        </is>
      </c>
      <c r="D11" s="153" t="inlineStr">
        <is>
          <t>Alternative Region</t>
        </is>
      </c>
      <c r="E11" s="154" t="inlineStr">
        <is>
          <t>Notes</t>
        </is>
      </c>
    </row>
    <row r="12" ht="21.95" customHeight="1" s="329">
      <c r="A12" s="151" t="inlineStr">
        <is>
          <t>Russia</t>
        </is>
      </c>
      <c r="B12" s="264" t="inlineStr">
        <is>
          <t>🔴 Not Available</t>
        </is>
      </c>
      <c r="C12" s="155" t="inlineStr">
        <is>
          <t>Sanctions &amp; Regulatory</t>
        </is>
      </c>
      <c r="D12" s="155" t="inlineStr">
        <is>
          <t>None</t>
        </is>
      </c>
      <c r="E12" s="156" t="inlineStr">
        <is>
          <t>No Azure presence due to geopolitical restrictions</t>
        </is>
      </c>
    </row>
    <row r="13" ht="21.95" customHeight="1" s="329">
      <c r="A13" s="151" t="inlineStr">
        <is>
          <t>Belarus</t>
        </is>
      </c>
      <c r="B13" s="264" t="inlineStr">
        <is>
          <t>🔴 Not Available</t>
        </is>
      </c>
      <c r="C13" s="155" t="inlineStr">
        <is>
          <t>Sanctions &amp; Regulatory</t>
        </is>
      </c>
      <c r="D13" s="155" t="inlineStr">
        <is>
          <t>None</t>
        </is>
      </c>
      <c r="E13" s="156" t="inlineStr">
        <is>
          <t>No Azure presence</t>
        </is>
      </c>
    </row>
    <row r="14" ht="21.95" customHeight="1" s="329">
      <c r="A14" s="151" t="inlineStr">
        <is>
          <t>North Korea</t>
        </is>
      </c>
      <c r="B14" s="264" t="inlineStr">
        <is>
          <t>🔴 Not Available</t>
        </is>
      </c>
      <c r="C14" s="155" t="inlineStr">
        <is>
          <t>Sanctions &amp; Regulatory</t>
        </is>
      </c>
      <c r="D14" s="155" t="inlineStr">
        <is>
          <t>None</t>
        </is>
      </c>
      <c r="E14" s="156" t="inlineStr">
        <is>
          <t>No Azure services available</t>
        </is>
      </c>
    </row>
    <row r="15" ht="21.95" customHeight="1" s="329">
      <c r="A15" s="151" t="inlineStr">
        <is>
          <t>Iran</t>
        </is>
      </c>
      <c r="B15" s="264" t="inlineStr">
        <is>
          <t>🔴 Not Available</t>
        </is>
      </c>
      <c r="C15" s="155" t="inlineStr">
        <is>
          <t>Sanctions &amp; Regulatory</t>
        </is>
      </c>
      <c r="D15" s="155" t="inlineStr">
        <is>
          <t>None</t>
        </is>
      </c>
      <c r="E15" s="156" t="inlineStr">
        <is>
          <t>No Azure services available</t>
        </is>
      </c>
    </row>
    <row r="16" ht="21.95" customHeight="1" s="329">
      <c r="A16" s="151" t="inlineStr">
        <is>
          <t>Syria</t>
        </is>
      </c>
      <c r="B16" s="264" t="inlineStr">
        <is>
          <t>🔴 Not Available</t>
        </is>
      </c>
      <c r="C16" s="155" t="inlineStr">
        <is>
          <t>Sanctions &amp; Regulatory</t>
        </is>
      </c>
      <c r="D16" s="155" t="inlineStr">
        <is>
          <t>None</t>
        </is>
      </c>
      <c r="E16" s="156" t="inlineStr">
        <is>
          <t>No Azure services available</t>
        </is>
      </c>
    </row>
    <row r="17" ht="21.95" customHeight="1" s="329">
      <c r="A17" s="151" t="inlineStr">
        <is>
          <t>Cuba</t>
        </is>
      </c>
      <c r="B17" s="264" t="inlineStr">
        <is>
          <t>🔴 Not Available</t>
        </is>
      </c>
      <c r="C17" s="155" t="inlineStr">
        <is>
          <t>Sanctions &amp; Regulatory</t>
        </is>
      </c>
      <c r="D17" s="155" t="inlineStr">
        <is>
          <t>None</t>
        </is>
      </c>
      <c r="E17" s="156" t="inlineStr">
        <is>
          <t>No Azure services available</t>
        </is>
      </c>
    </row>
    <row r="18" ht="21.95" customHeight="1" s="329">
      <c r="A18" s="151" t="inlineStr">
        <is>
          <t>Crimea Region</t>
        </is>
      </c>
      <c r="B18" s="264" t="inlineStr">
        <is>
          <t>🔴 Not Available</t>
        </is>
      </c>
      <c r="C18" s="155" t="inlineStr">
        <is>
          <t>Sanctions &amp; Regulatory</t>
        </is>
      </c>
      <c r="D18" s="155" t="inlineStr">
        <is>
          <t>None</t>
        </is>
      </c>
      <c r="E18" s="156" t="inlineStr">
        <is>
          <t>Disputed territory - no services</t>
        </is>
      </c>
    </row>
    <row r="19" ht="21.95" customHeight="1" s="329">
      <c r="A19" s="152" t="inlineStr">
        <is>
          <t>[Add Region]</t>
        </is>
      </c>
      <c r="B19" s="265" t="n"/>
      <c r="C19" s="157" t="n"/>
      <c r="D19" s="157" t="n"/>
      <c r="E19" s="158" t="n"/>
    </row>
    <row r="21" ht="24" customHeight="1" s="329">
      <c r="A21" s="342" t="inlineStr">
        <is>
          <t>▸ SOVEREIGN CLOUDS &amp; RESTRICTED ACCESS REGIONS</t>
        </is>
      </c>
    </row>
    <row r="22" ht="24" customHeight="1" s="329">
      <c r="A22" s="150" t="inlineStr">
        <is>
          <t>Region / Cloud</t>
        </is>
      </c>
      <c r="B22" s="263" t="inlineStr">
        <is>
          <t>Access Type</t>
        </is>
      </c>
      <c r="C22" s="153" t="inlineStr">
        <is>
          <t>Requirements</t>
        </is>
      </c>
      <c r="D22" s="153" t="inlineStr">
        <is>
          <t>Target Customers</t>
        </is>
      </c>
      <c r="E22" s="154" t="inlineStr">
        <is>
          <t>Notes</t>
        </is>
      </c>
    </row>
    <row r="23" ht="21.95" customHeight="1" s="329">
      <c r="A23" s="151" t="inlineStr">
        <is>
          <t>Azure Government (US)</t>
        </is>
      </c>
      <c r="B23" s="264" t="inlineStr">
        <is>
          <t>🟠 Restricted</t>
        </is>
      </c>
      <c r="C23" s="155" t="inlineStr">
        <is>
          <t>US Govt clearance required</t>
        </is>
      </c>
      <c r="D23" s="155" t="inlineStr">
        <is>
          <t>US Federal, State, Local Govt</t>
        </is>
      </c>
      <c r="E23" s="156" t="inlineStr">
        <is>
          <t>FedRAMP High, DoD IL2-IL6</t>
        </is>
      </c>
    </row>
    <row r="24" ht="21.95" customHeight="1" s="329">
      <c r="A24" s="151" t="inlineStr">
        <is>
          <t>Azure Government Secret</t>
        </is>
      </c>
      <c r="B24" s="264" t="inlineStr">
        <is>
          <t>🔴 Highly Restricted</t>
        </is>
      </c>
      <c r="C24" s="155" t="inlineStr">
        <is>
          <t>Secret clearance required</t>
        </is>
      </c>
      <c r="D24" s="155" t="inlineStr">
        <is>
          <t>US Intelligence Community</t>
        </is>
      </c>
      <c r="E24" s="156" t="inlineStr">
        <is>
          <t>Air-gapped environment</t>
        </is>
      </c>
    </row>
    <row r="25" ht="21.95" customHeight="1" s="329">
      <c r="A25" s="151" t="inlineStr">
        <is>
          <t>Azure Government Top Secret</t>
        </is>
      </c>
      <c r="B25" s="264" t="inlineStr">
        <is>
          <t>🔴 Highly Restricted</t>
        </is>
      </c>
      <c r="C25" s="155" t="inlineStr">
        <is>
          <t>Top Secret clearance</t>
        </is>
      </c>
      <c r="D25" s="155" t="inlineStr">
        <is>
          <t>US Intelligence Community</t>
        </is>
      </c>
      <c r="E25" s="156" t="inlineStr">
        <is>
          <t>Air-gapped, ITAR compliant</t>
        </is>
      </c>
    </row>
    <row r="26" ht="21.95" customHeight="1" s="329">
      <c r="A26" s="151" t="inlineStr">
        <is>
          <t>Azure China (21Vianet)</t>
        </is>
      </c>
      <c r="B26" s="264" t="inlineStr">
        <is>
          <t>🟠 Restricted</t>
        </is>
      </c>
      <c r="C26" s="155" t="inlineStr">
        <is>
          <t>China business entity required</t>
        </is>
      </c>
      <c r="D26" s="155" t="inlineStr">
        <is>
          <t>China-based organizations</t>
        </is>
      </c>
      <c r="E26" s="156" t="inlineStr">
        <is>
          <t>Operated by 21Vianet, separate identity</t>
        </is>
      </c>
    </row>
    <row r="27" ht="21.95" customHeight="1" s="329">
      <c r="A27" s="151" t="inlineStr">
        <is>
          <t>Azure Germany (Legacy)</t>
        </is>
      </c>
      <c r="B27" s="264" t="inlineStr">
        <is>
          <t>🔴 Deprecated</t>
        </is>
      </c>
      <c r="C27" s="155" t="inlineStr">
        <is>
          <t>N/A - Closed to new customers</t>
        </is>
      </c>
      <c r="D27" s="155" t="inlineStr">
        <is>
          <t>Legacy German customers</t>
        </is>
      </c>
      <c r="E27" s="156" t="inlineStr">
        <is>
          <t>Migrate to Germany West Central</t>
        </is>
      </c>
    </row>
    <row r="28" ht="21.95" customHeight="1" s="329">
      <c r="A28" s="152" t="inlineStr">
        <is>
          <t>[Add Region]</t>
        </is>
      </c>
      <c r="B28" s="265" t="n"/>
      <c r="C28" s="157" t="n"/>
      <c r="D28" s="157" t="n"/>
      <c r="E28" s="158" t="n"/>
    </row>
    <row r="30" ht="15" customHeight="1" s="329"/>
    <row r="31" ht="27.95" customHeight="1" s="329">
      <c r="A31" s="332" t="inlineStr">
        <is>
          <t>SECTION 2  —  OPERATING SYSTEMS: NOT SUPPORTED OR END-OF-LIFE</t>
        </is>
      </c>
    </row>
    <row r="32" ht="21.95" customHeight="1" s="329">
      <c r="A32" s="341" t="inlineStr">
        <is>
          <t>Operating systems that cannot be migrated to Azure or require significant remediation</t>
        </is>
      </c>
    </row>
    <row r="34" ht="24" customHeight="1" s="329">
      <c r="A34" s="342" t="inlineStr">
        <is>
          <t>▸ WINDOWS OPERATING SYSTEMS — NOT SUPPORTED</t>
        </is>
      </c>
    </row>
    <row r="35" ht="24" customHeight="1" s="329">
      <c r="A35" s="150" t="inlineStr">
        <is>
          <t>Operating System</t>
        </is>
      </c>
      <c r="B35" s="263" t="inlineStr">
        <is>
          <t>Version</t>
        </is>
      </c>
      <c r="C35" s="153" t="inlineStr">
        <is>
          <t>Support Status</t>
        </is>
      </c>
      <c r="D35" s="153" t="inlineStr">
        <is>
          <t>Migration Option</t>
        </is>
      </c>
      <c r="E35" s="154" t="inlineStr">
        <is>
          <t>Recommendation</t>
        </is>
      </c>
    </row>
    <row r="36" ht="21.95" customHeight="1" s="329">
      <c r="A36" s="151" t="inlineStr">
        <is>
          <t>Windows Server</t>
        </is>
      </c>
      <c r="B36" s="264" t="inlineStr">
        <is>
          <t>2003 / 2003 R2</t>
        </is>
      </c>
      <c r="C36" s="155" t="inlineStr">
        <is>
          <t>🔴 Not Supported</t>
        </is>
      </c>
      <c r="D36" s="155" t="inlineStr">
        <is>
          <t>None - Cannot migrate</t>
        </is>
      </c>
      <c r="E36" s="156" t="inlineStr">
        <is>
          <t>Rebuild on Windows Server 2019/2022</t>
        </is>
      </c>
    </row>
    <row r="37" ht="21.95" customHeight="1" s="329">
      <c r="A37" s="151" t="inlineStr">
        <is>
          <t>Windows Server</t>
        </is>
      </c>
      <c r="B37" s="264" t="n">
        <v>2000</v>
      </c>
      <c r="C37" s="155" t="inlineStr">
        <is>
          <t>🔴 Not Supported</t>
        </is>
      </c>
      <c r="D37" s="155" t="inlineStr">
        <is>
          <t>None - Cannot migrate</t>
        </is>
      </c>
      <c r="E37" s="156" t="inlineStr">
        <is>
          <t>Rebuild on modern OS</t>
        </is>
      </c>
    </row>
    <row r="38" ht="21.95" customHeight="1" s="329">
      <c r="A38" s="151" t="inlineStr">
        <is>
          <t>Windows NT</t>
        </is>
      </c>
      <c r="B38" s="264" t="n">
        <v>4</v>
      </c>
      <c r="C38" s="155" t="inlineStr">
        <is>
          <t>🔴 Not Supported</t>
        </is>
      </c>
      <c r="D38" s="155" t="inlineStr">
        <is>
          <t>None - Cannot migrate</t>
        </is>
      </c>
      <c r="E38" s="156" t="inlineStr">
        <is>
          <t>Application modernization required</t>
        </is>
      </c>
    </row>
    <row r="39" ht="21.95" customHeight="1" s="329">
      <c r="A39" s="151" t="inlineStr">
        <is>
          <t>Windows Server</t>
        </is>
      </c>
      <c r="B39" s="264" t="inlineStr">
        <is>
          <t>2008 (without SP2)</t>
        </is>
      </c>
      <c r="C39" s="155" t="inlineStr">
        <is>
          <t>🔴 Not Supported</t>
        </is>
      </c>
      <c r="D39" s="155" t="inlineStr">
        <is>
          <t>Upgrade to 2008 SP2 first</t>
        </is>
      </c>
      <c r="E39" s="156" t="inlineStr">
        <is>
          <t>Apply SP2 then use ESU</t>
        </is>
      </c>
    </row>
    <row r="40" ht="21.95" customHeight="1" s="329">
      <c r="A40" s="151" t="inlineStr">
        <is>
          <t>Windows Server</t>
        </is>
      </c>
      <c r="B40" s="264" t="inlineStr">
        <is>
          <t>32-bit versions</t>
        </is>
      </c>
      <c r="C40" s="155" t="inlineStr">
        <is>
          <t>🔴 Not Supported</t>
        </is>
      </c>
      <c r="D40" s="155" t="inlineStr">
        <is>
          <t>None - Azure is 64-bit only</t>
        </is>
      </c>
      <c r="E40" s="156" t="inlineStr">
        <is>
          <t>Rebuild on 64-bit OS</t>
        </is>
      </c>
    </row>
    <row r="41" ht="21.95" customHeight="1" s="329">
      <c r="A41" s="151" t="inlineStr">
        <is>
          <t>Windows Desktop</t>
        </is>
      </c>
      <c r="B41" s="264" t="inlineStr">
        <is>
          <t>Win 7/8/10 (non-VDI)</t>
        </is>
      </c>
      <c r="C41" s="155" t="inlineStr">
        <is>
          <t>🟠 Limited</t>
        </is>
      </c>
      <c r="D41" s="155" t="inlineStr">
        <is>
          <t>Azure Virtual Desktop only</t>
        </is>
      </c>
      <c r="E41" s="156" t="inlineStr">
        <is>
          <t>Use AVD for desktop workloads</t>
        </is>
      </c>
    </row>
    <row r="42" ht="21.95" customHeight="1" s="329">
      <c r="A42" s="151" t="inlineStr">
        <is>
          <t>Windows XP</t>
        </is>
      </c>
      <c r="B42" s="264" t="inlineStr">
        <is>
          <t>All versions</t>
        </is>
      </c>
      <c r="C42" s="155" t="inlineStr">
        <is>
          <t>🔴 Not Supported</t>
        </is>
      </c>
      <c r="D42" s="155" t="inlineStr">
        <is>
          <t>None - Cannot migrate</t>
        </is>
      </c>
      <c r="E42" s="156" t="inlineStr">
        <is>
          <t>Application modernization required</t>
        </is>
      </c>
    </row>
    <row r="43" ht="21.95" customHeight="1" s="329">
      <c r="A43" s="152" t="inlineStr">
        <is>
          <t>[Add OS]</t>
        </is>
      </c>
      <c r="B43" s="265" t="n"/>
      <c r="C43" s="157" t="n"/>
      <c r="D43" s="157" t="n"/>
      <c r="E43" s="158" t="n"/>
    </row>
    <row r="45" ht="24" customHeight="1" s="329">
      <c r="A45" s="342" t="inlineStr">
        <is>
          <t>▸ LINUX OPERATING SYSTEMS — NOT SUPPORTED OR LIMITED</t>
        </is>
      </c>
    </row>
    <row r="46" ht="24" customHeight="1" s="329">
      <c r="A46" s="150" t="inlineStr">
        <is>
          <t>Operating System</t>
        </is>
      </c>
      <c r="B46" s="263" t="inlineStr">
        <is>
          <t>Version</t>
        </is>
      </c>
      <c r="C46" s="153" t="inlineStr">
        <is>
          <t>Support Status</t>
        </is>
      </c>
      <c r="D46" s="153" t="inlineStr">
        <is>
          <t>Migration Option</t>
        </is>
      </c>
      <c r="E46" s="154" t="inlineStr">
        <is>
          <t>Recommendation</t>
        </is>
      </c>
    </row>
    <row r="47" ht="21.95" customHeight="1" s="329">
      <c r="A47" s="151" t="inlineStr">
        <is>
          <t>CentOS</t>
        </is>
      </c>
      <c r="B47" s="264" t="inlineStr">
        <is>
          <t>6.x and earlier</t>
        </is>
      </c>
      <c r="C47" s="155" t="inlineStr">
        <is>
          <t>🔴 Not Supported</t>
        </is>
      </c>
      <c r="D47" s="155" t="inlineStr">
        <is>
          <t>None</t>
        </is>
      </c>
      <c r="E47" s="156" t="inlineStr">
        <is>
          <t>Migrate to RHEL 8/9 or Rocky Linux</t>
        </is>
      </c>
    </row>
    <row r="48">
      <c r="A48" s="151" t="inlineStr">
        <is>
          <t>CentOS</t>
        </is>
      </c>
      <c r="B48" s="264" t="inlineStr">
        <is>
          <t>8 (EOL Dec 2021)</t>
        </is>
      </c>
      <c r="C48" s="155" t="inlineStr">
        <is>
          <t>🟠 Limited Support</t>
        </is>
      </c>
      <c r="D48" s="155" t="inlineStr">
        <is>
          <t>Best effort only</t>
        </is>
      </c>
      <c r="E48" s="156" t="inlineStr">
        <is>
          <t>Migrate to Rocky Linux or RHEL</t>
        </is>
      </c>
    </row>
    <row r="49" ht="21.95" customHeight="1" s="329">
      <c r="A49" s="151" t="inlineStr">
        <is>
          <t>CentOS Stream</t>
        </is>
      </c>
      <c r="B49" s="264" t="inlineStr">
        <is>
          <t>All versions</t>
        </is>
      </c>
      <c r="C49" s="155" t="inlineStr">
        <is>
          <t>🟠 Limited Support</t>
        </is>
      </c>
      <c r="D49" s="155" t="inlineStr">
        <is>
          <t>Community support only</t>
        </is>
      </c>
      <c r="E49" s="156" t="inlineStr">
        <is>
          <t>Consider RHEL for production</t>
        </is>
      </c>
    </row>
    <row r="50" ht="21.95" customHeight="1" s="329">
      <c r="A50" s="151" t="inlineStr">
        <is>
          <t>RHEL</t>
        </is>
      </c>
      <c r="B50" s="264" t="inlineStr">
        <is>
          <t>5.x and earlier</t>
        </is>
      </c>
      <c r="C50" s="155" t="inlineStr">
        <is>
          <t>🔴 Not Supported</t>
        </is>
      </c>
      <c r="D50" s="155" t="inlineStr">
        <is>
          <t>None</t>
        </is>
      </c>
      <c r="E50" s="156" t="inlineStr">
        <is>
          <t>Upgrade to RHEL 7.9+ or RHEL 8/9</t>
        </is>
      </c>
    </row>
    <row r="51" ht="21.95" customHeight="1" s="329">
      <c r="A51" s="151" t="inlineStr">
        <is>
          <t>RHEL</t>
        </is>
      </c>
      <c r="B51" s="264" t="inlineStr">
        <is>
          <t>6.x</t>
        </is>
      </c>
      <c r="C51" s="155" t="inlineStr">
        <is>
          <t>🟠 EOL (ESU Available)</t>
        </is>
      </c>
      <c r="D51" s="155" t="inlineStr">
        <is>
          <t>Extended support available</t>
        </is>
      </c>
      <c r="E51" s="156" t="inlineStr">
        <is>
          <t>Plan upgrade to RHEL 8/9</t>
        </is>
      </c>
    </row>
    <row r="52" ht="21.95" customHeight="1" s="329">
      <c r="A52" s="151" t="inlineStr">
        <is>
          <t>Ubuntu</t>
        </is>
      </c>
      <c r="B52" s="264" t="inlineStr">
        <is>
          <t>14.04 and earlier</t>
        </is>
      </c>
      <c r="C52" s="155" t="inlineStr">
        <is>
          <t>🔴 Not Supported</t>
        </is>
      </c>
      <c r="D52" s="155" t="inlineStr">
        <is>
          <t>None</t>
        </is>
      </c>
      <c r="E52" s="156" t="inlineStr">
        <is>
          <t>Upgrade to Ubuntu 20.04/22.04 LTS</t>
        </is>
      </c>
    </row>
    <row r="53" ht="21.95" customHeight="1" s="329">
      <c r="A53" s="151" t="inlineStr">
        <is>
          <t>Ubuntu</t>
        </is>
      </c>
      <c r="B53" s="264" t="inlineStr">
        <is>
          <t>16.04 LTS</t>
        </is>
      </c>
      <c r="C53" s="155" t="inlineStr">
        <is>
          <t>🟠 EOL (ESM Available)</t>
        </is>
      </c>
      <c r="D53" s="155" t="inlineStr">
        <is>
          <t>Ubuntu Pro ESM</t>
        </is>
      </c>
      <c r="E53" s="156" t="inlineStr">
        <is>
          <t>Plan upgrade to 20.04/22.04</t>
        </is>
      </c>
    </row>
    <row r="54" ht="21.95" customHeight="1" s="329">
      <c r="A54" s="151" t="inlineStr">
        <is>
          <t>SUSE SLES</t>
        </is>
      </c>
      <c r="B54" s="264" t="inlineStr">
        <is>
          <t>11 and earlier</t>
        </is>
      </c>
      <c r="C54" s="155" t="inlineStr">
        <is>
          <t>🔴 Not Supported</t>
        </is>
      </c>
      <c r="D54" s="155" t="inlineStr">
        <is>
          <t>None</t>
        </is>
      </c>
      <c r="E54" s="156" t="inlineStr">
        <is>
          <t>Upgrade to SLES 15</t>
        </is>
      </c>
    </row>
    <row r="55" ht="21.95" customHeight="1" s="329">
      <c r="A55" s="151" t="inlineStr">
        <is>
          <t>Debian</t>
        </is>
      </c>
      <c r="B55" s="264" t="inlineStr">
        <is>
          <t>8 (Jessie) &amp; earlier</t>
        </is>
      </c>
      <c r="C55" s="155" t="inlineStr">
        <is>
          <t>🔴 Not Supported</t>
        </is>
      </c>
      <c r="D55" s="155" t="inlineStr">
        <is>
          <t>None</t>
        </is>
      </c>
      <c r="E55" s="156" t="inlineStr">
        <is>
          <t>Upgrade to Debian 10/11/12</t>
        </is>
      </c>
    </row>
    <row r="56" ht="21.95" customHeight="1" s="329">
      <c r="A56" s="151" t="inlineStr">
        <is>
          <t>Oracle Linux</t>
        </is>
      </c>
      <c r="B56" s="264" t="inlineStr">
        <is>
          <t>6.x and earlier</t>
        </is>
      </c>
      <c r="C56" s="155" t="inlineStr">
        <is>
          <t>🔴 Not Supported</t>
        </is>
      </c>
      <c r="D56" s="155" t="inlineStr">
        <is>
          <t>None</t>
        </is>
      </c>
      <c r="E56" s="156" t="inlineStr">
        <is>
          <t>Upgrade to Oracle Linux 8/9</t>
        </is>
      </c>
    </row>
    <row r="57" ht="21.95" customHeight="1" s="329">
      <c r="A57" s="151" t="inlineStr">
        <is>
          <t>Amazon Linux</t>
        </is>
      </c>
      <c r="B57" s="266" t="n">
        <v>46024</v>
      </c>
      <c r="C57" s="155" t="inlineStr">
        <is>
          <t>🔴 Not Supported</t>
        </is>
      </c>
      <c r="D57" s="155" t="inlineStr">
        <is>
          <t>Not endorsed by Azure</t>
        </is>
      </c>
      <c r="E57" s="156" t="inlineStr">
        <is>
          <t>Migrate to RHEL, Ubuntu, or SLES</t>
        </is>
      </c>
    </row>
    <row r="58" ht="21.95" customHeight="1" s="329">
      <c r="A58" s="151" t="inlineStr">
        <is>
          <t>Alpine Linux</t>
        </is>
      </c>
      <c r="B58" s="264" t="inlineStr">
        <is>
          <t>All versions</t>
        </is>
      </c>
      <c r="C58" s="155" t="inlineStr">
        <is>
          <t>🟠 Limited Support</t>
        </is>
      </c>
      <c r="D58" s="155" t="inlineStr">
        <is>
          <t>Container use only</t>
        </is>
      </c>
      <c r="E58" s="156" t="inlineStr">
        <is>
          <t>Use for containers, not VMs</t>
        </is>
      </c>
    </row>
    <row r="59" ht="21.95" customHeight="1" s="329">
      <c r="A59" s="151" t="inlineStr">
        <is>
          <t>32-bit Linux</t>
        </is>
      </c>
      <c r="B59" s="264" t="inlineStr">
        <is>
          <t>Any distribution</t>
        </is>
      </c>
      <c r="C59" s="155" t="inlineStr">
        <is>
          <t>🔴 Not Supported</t>
        </is>
      </c>
      <c r="D59" s="155" t="inlineStr">
        <is>
          <t>None - Azure 64-bit only</t>
        </is>
      </c>
      <c r="E59" s="156" t="inlineStr">
        <is>
          <t>Rebuild on 64-bit distribution</t>
        </is>
      </c>
    </row>
    <row r="60" ht="21.95" customHeight="1" s="329">
      <c r="A60" s="152" t="inlineStr">
        <is>
          <t>[Add OS]</t>
        </is>
      </c>
      <c r="B60" s="265" t="n"/>
      <c r="C60" s="157" t="n"/>
      <c r="D60" s="157" t="n"/>
      <c r="E60" s="158" t="n"/>
    </row>
    <row r="62" ht="24" customHeight="1" s="329">
      <c r="A62" s="342" t="inlineStr">
        <is>
          <t>▸ OTHER OPERATING SYSTEMS — NOT SUPPORTED</t>
        </is>
      </c>
    </row>
    <row r="63" ht="24" customHeight="1" s="329">
      <c r="A63" s="150" t="inlineStr">
        <is>
          <t>Operating System</t>
        </is>
      </c>
      <c r="B63" s="263" t="inlineStr">
        <is>
          <t>Type</t>
        </is>
      </c>
      <c r="C63" s="153" t="inlineStr">
        <is>
          <t>Support Status</t>
        </is>
      </c>
      <c r="D63" s="153" t="inlineStr">
        <is>
          <t>Migration Option</t>
        </is>
      </c>
      <c r="E63" s="154" t="inlineStr">
        <is>
          <t>Recommendation</t>
        </is>
      </c>
    </row>
    <row r="64" ht="21.95" customHeight="1" s="329">
      <c r="A64" s="151" t="inlineStr">
        <is>
          <t>IBM AIX</t>
        </is>
      </c>
      <c r="B64" s="264" t="inlineStr">
        <is>
          <t>Unix</t>
        </is>
      </c>
      <c r="C64" s="155" t="inlineStr">
        <is>
          <t>🔴 Not Supported</t>
        </is>
      </c>
      <c r="D64" s="155" t="inlineStr">
        <is>
          <t>None - No Azure support</t>
        </is>
      </c>
      <c r="E64" s="156" t="inlineStr">
        <is>
          <t>Replatform to Linux or use Skytap</t>
        </is>
      </c>
    </row>
    <row r="65" ht="21.95" customHeight="1" s="329">
      <c r="A65" s="151" t="inlineStr">
        <is>
          <t>HP-UX</t>
        </is>
      </c>
      <c r="B65" s="264" t="inlineStr">
        <is>
          <t>Unix</t>
        </is>
      </c>
      <c r="C65" s="155" t="inlineStr">
        <is>
          <t>🔴 Not Supported</t>
        </is>
      </c>
      <c r="D65" s="155" t="inlineStr">
        <is>
          <t>None - No Azure support</t>
        </is>
      </c>
      <c r="E65" s="156" t="inlineStr">
        <is>
          <t>Replatform to Linux</t>
        </is>
      </c>
    </row>
    <row r="66" ht="21.95" customHeight="1" s="329">
      <c r="A66" s="151" t="inlineStr">
        <is>
          <t>Oracle Solaris</t>
        </is>
      </c>
      <c r="B66" s="264" t="inlineStr">
        <is>
          <t>Unix</t>
        </is>
      </c>
      <c r="C66" s="155" t="inlineStr">
        <is>
          <t>🔴 Not Supported</t>
        </is>
      </c>
      <c r="D66" s="155" t="inlineStr">
        <is>
          <t>None - No Azure support</t>
        </is>
      </c>
      <c r="E66" s="156" t="inlineStr">
        <is>
          <t>Replatform to Linux or Oracle Cloud</t>
        </is>
      </c>
    </row>
    <row r="67" ht="21.95" customHeight="1" s="329">
      <c r="A67" s="151" t="inlineStr">
        <is>
          <t>FreeBSD</t>
        </is>
      </c>
      <c r="B67" s="264" t="inlineStr">
        <is>
          <t>Unix-like</t>
        </is>
      </c>
      <c r="C67" s="155" t="inlineStr">
        <is>
          <t>🟡 Limited Support</t>
        </is>
      </c>
      <c r="D67" s="155" t="inlineStr">
        <is>
          <t>Specific versions only</t>
        </is>
      </c>
      <c r="E67" s="156" t="inlineStr">
        <is>
          <t>Check Azure endorsed versions</t>
        </is>
      </c>
    </row>
    <row r="68" ht="21.95" customHeight="1" s="329">
      <c r="A68" s="151" t="inlineStr">
        <is>
          <t>macOS</t>
        </is>
      </c>
      <c r="B68" s="264" t="inlineStr">
        <is>
          <t>Apple</t>
        </is>
      </c>
      <c r="C68" s="155" t="inlineStr">
        <is>
          <t>🔴 Not Supported</t>
        </is>
      </c>
      <c r="D68" s="155" t="inlineStr">
        <is>
          <t>None - Licensing restriction</t>
        </is>
      </c>
      <c r="E68" s="156" t="inlineStr">
        <is>
          <t>Use Mac-as-a-Service providers</t>
        </is>
      </c>
    </row>
    <row r="69" ht="21.95" customHeight="1" s="329">
      <c r="A69" s="151" t="inlineStr">
        <is>
          <t>VMware ESXi</t>
        </is>
      </c>
      <c r="B69" s="264" t="inlineStr">
        <is>
          <t>Hypervisor</t>
        </is>
      </c>
      <c r="C69" s="155" t="inlineStr">
        <is>
          <t>🔴 Not Supported</t>
        </is>
      </c>
      <c r="D69" s="155" t="inlineStr">
        <is>
          <t>Azure VMware Solution</t>
        </is>
      </c>
      <c r="E69" s="156" t="inlineStr">
        <is>
          <t>Use AVS for VMware workloads</t>
        </is>
      </c>
    </row>
    <row r="70" ht="21.95" customHeight="1" s="329">
      <c r="A70" s="151" t="inlineStr">
        <is>
          <t>Novell NetWare</t>
        </is>
      </c>
      <c r="B70" s="264" t="inlineStr">
        <is>
          <t>Network OS</t>
        </is>
      </c>
      <c r="C70" s="155" t="inlineStr">
        <is>
          <t>🔴 Not Supported</t>
        </is>
      </c>
      <c r="D70" s="155" t="inlineStr">
        <is>
          <t>None</t>
        </is>
      </c>
      <c r="E70" s="156" t="inlineStr">
        <is>
          <t>Modernize to Windows/Linux</t>
        </is>
      </c>
    </row>
    <row r="71" ht="21.95" customHeight="1" s="329">
      <c r="A71" s="152" t="inlineStr">
        <is>
          <t>[Add OS]</t>
        </is>
      </c>
      <c r="B71" s="265" t="n"/>
      <c r="C71" s="157" t="n"/>
      <c r="D71" s="157" t="n"/>
      <c r="E71" s="158" t="n"/>
    </row>
    <row r="73" ht="15" customHeight="1" s="329"/>
    <row r="74" ht="27.95" customHeight="1" s="329">
      <c r="A74" s="332" t="inlineStr">
        <is>
          <t>SECTION 3  —  CUSTOMER ENVIRONMENT IMPACT SUMMARY</t>
        </is>
      </c>
    </row>
    <row r="75" ht="21.95" customHeight="1" s="329">
      <c r="A75" s="341" t="inlineStr">
        <is>
          <t>Enter counts from Azure Migrate discovery to identify affected servers requiring remediation</t>
        </is>
      </c>
    </row>
    <row r="77" ht="24" customHeight="1" s="329">
      <c r="A77" s="150" t="inlineStr">
        <is>
          <t>Category</t>
        </is>
      </c>
      <c r="B77" s="263" t="inlineStr">
        <is>
          <t>Count</t>
        </is>
      </c>
      <c r="C77" s="153" t="inlineStr">
        <is>
          <t>% of Total</t>
        </is>
      </c>
      <c r="D77" s="153" t="inlineStr">
        <is>
          <t>Impact Level</t>
        </is>
      </c>
      <c r="E77" s="154" t="inlineStr">
        <is>
          <t>Recommended Action</t>
        </is>
      </c>
    </row>
    <row r="78" ht="24" customHeight="1" s="329">
      <c r="A78" s="151" t="inlineStr">
        <is>
          <t>Servers with Unsupported Windows OS</t>
        </is>
      </c>
      <c r="B78" s="267" t="n">
        <v>0</v>
      </c>
      <c r="C78" s="155">
        <f>IF($B$84=0,"",TEXT(B78/$B$84,"0%"))</f>
        <v/>
      </c>
      <c r="D78" s="155" t="inlineStr">
        <is>
          <t>🔴 Critical</t>
        </is>
      </c>
      <c r="E78" s="156" t="inlineStr">
        <is>
          <t>Rebuild or upgrade before migration</t>
        </is>
      </c>
    </row>
    <row r="79" ht="24" customHeight="1" s="329">
      <c r="A79" s="151" t="inlineStr">
        <is>
          <t>Servers with Unsupported Linux OS</t>
        </is>
      </c>
      <c r="B79" s="267" t="n">
        <v>0</v>
      </c>
      <c r="C79" s="155">
        <f>IF($B$84=0,"",TEXT(B79/$B$84,"0%"))</f>
        <v/>
      </c>
      <c r="D79" s="155" t="inlineStr">
        <is>
          <t>🔴 Critical</t>
        </is>
      </c>
      <c r="E79" s="156" t="inlineStr">
        <is>
          <t>Rebuild or upgrade before migration</t>
        </is>
      </c>
    </row>
    <row r="80" ht="24" customHeight="1" s="329">
      <c r="A80" s="151" t="inlineStr">
        <is>
          <t>Servers with EOL OS (ESU Available)</t>
        </is>
      </c>
      <c r="B80" s="267" t="n">
        <v>0</v>
      </c>
      <c r="C80" s="155">
        <f>IF($B$84=0,"",TEXT(B80/$B$84,"0%"))</f>
        <v/>
      </c>
      <c r="D80" s="155" t="inlineStr">
        <is>
          <t>🟠 High</t>
        </is>
      </c>
      <c r="E80" s="156" t="inlineStr">
        <is>
          <t>Apply ESU or plan upgrade</t>
        </is>
      </c>
    </row>
    <row r="81" ht="24" customHeight="1" s="329">
      <c r="A81" s="151" t="inlineStr">
        <is>
          <t>Servers with 32-bit OS</t>
        </is>
      </c>
      <c r="B81" s="267" t="n">
        <v>0</v>
      </c>
      <c r="C81" s="155">
        <f>IF($B$84=0,"",TEXT(B81/$B$84,"0%"))</f>
        <v/>
      </c>
      <c r="D81" s="155" t="inlineStr">
        <is>
          <t>🔴 Critical</t>
        </is>
      </c>
      <c r="E81" s="156" t="inlineStr">
        <is>
          <t>Rebuild on 64-bit OS</t>
        </is>
      </c>
    </row>
    <row r="82" ht="24" customHeight="1" s="329">
      <c r="A82" s="151" t="inlineStr">
        <is>
          <t>Servers with Unsupported Unix OS</t>
        </is>
      </c>
      <c r="B82" s="267" t="n">
        <v>0</v>
      </c>
      <c r="C82" s="155">
        <f>IF($B$84=0,"",TEXT(B82/$B$84,"0%"))</f>
        <v/>
      </c>
      <c r="D82" s="155" t="inlineStr">
        <is>
          <t>🔴 Critical</t>
        </is>
      </c>
      <c r="E82" s="156" t="inlineStr">
        <is>
          <t>Replatform to Linux</t>
        </is>
      </c>
    </row>
    <row r="83" ht="24" customHeight="1" s="329">
      <c r="A83" s="151" t="inlineStr">
        <is>
          <t>Servers in Restricted Regions</t>
        </is>
      </c>
      <c r="B83" s="267" t="n">
        <v>0</v>
      </c>
      <c r="C83" s="155">
        <f>IF($B$84=0,"",TEXT(B83/$B$84,"0%"))</f>
        <v/>
      </c>
      <c r="D83" s="155" t="inlineStr">
        <is>
          <t>🔴 Critical</t>
        </is>
      </c>
      <c r="E83" s="156" t="inlineStr">
        <is>
          <t>Relocate or use alternative cloud</t>
        </is>
      </c>
    </row>
    <row r="84" ht="24" customHeight="1" s="329">
      <c r="A84" s="159" t="inlineStr">
        <is>
          <t>TOTAL AFFECTED SERVERS</t>
        </is>
      </c>
      <c r="B84" s="268">
        <f>SUM(B78:B83)</f>
        <v/>
      </c>
      <c r="C84" s="161" t="n">
        <v>1</v>
      </c>
      <c r="D84" s="160" t="n"/>
      <c r="E84" s="162" t="n"/>
    </row>
    <row r="86" ht="15" customHeight="1" s="329"/>
    <row r="87" ht="26.1" customHeight="1" s="329">
      <c r="A87" s="343" t="inlineStr">
        <is>
          <t>⚠️ IMPORTANT NOTES &amp; MICROSOFT LEARN REFERENCES</t>
        </is>
      </c>
    </row>
    <row r="88" ht="26.1" customHeight="1" s="329">
      <c r="A88" s="317" t="inlineStr">
        <is>
          <t>• Azure Supported OS List: https://learn.microsoft.com/en-us/azure/virtual-machines/linux/endorsed-distros</t>
        </is>
      </c>
    </row>
    <row r="89" ht="26.1" customHeight="1" s="329">
      <c r="A89" s="317" t="inlineStr">
        <is>
          <t>• Windows Server ESU in Azure: https://learn.microsoft.com/en-us/azure/azure-arc/servers/deliver-extended-security-updates</t>
        </is>
      </c>
    </row>
    <row r="90" ht="26.1" customHeight="1" s="329">
      <c r="A90" s="317" t="inlineStr">
        <is>
          <t>• Azure Government Documentation: https://learn.microsoft.com/en-us/azure/azure-government/documentation-government-welcome</t>
        </is>
      </c>
    </row>
    <row r="91" ht="26.1" customHeight="1" s="329">
      <c r="A91" s="317" t="inlineStr">
        <is>
          <t>• Azure China (21Vianet): https://learn.microsoft.com/en-us/azure/china/overview-operations</t>
        </is>
      </c>
    </row>
    <row r="92" ht="26.1" customHeight="1" s="329">
      <c r="A92" s="317" t="inlineStr">
        <is>
          <t>• Azure Regions: https://learn.microsoft.com/en-us/azure/reliability/availability-zones-overview</t>
        </is>
      </c>
    </row>
    <row r="93" ht="26.1" customHeight="1" s="329">
      <c r="A93" s="317" t="inlineStr">
        <is>
          <t>• Azure Migrate Overview: https://learn.microsoft.com/en-us/azure/migrate/migrate-services-overview</t>
        </is>
      </c>
    </row>
    <row r="94" ht="26.1" customHeight="1" s="329">
      <c r="A94" s="317" t="inlineStr">
        <is>
          <t>• Azure VM Sizes: https://learn.microsoft.com/en-us/azure/virtual-machines/sizes</t>
        </is>
      </c>
    </row>
    <row r="95" ht="26.1" customHeight="1" s="329">
      <c r="A95" s="317" t="inlineStr">
        <is>
          <t>• Azure Hybrid Benefit: https://learn.microsoft.com/en-us/azure/azure-arc/servers/license-extended-security-updates</t>
        </is>
      </c>
    </row>
    <row r="96" ht="26.1" customHeight="1" s="329">
      <c r="A96" s="317" t="inlineStr">
        <is>
          <t>• Azure Site Recovery: https://learn.microsoft.com/en-us/azure/site-recovery/site-recovery-overview</t>
        </is>
      </c>
    </row>
    <row r="97" ht="26.1" customHeight="1" s="329">
      <c r="A97" s="317" t="inlineStr">
        <is>
          <t>• Azure Database Migration Service: https://learn.microsoft.com/en-us/azure/dms/dms-overview</t>
        </is>
      </c>
    </row>
    <row r="98" ht="26.1" customHeight="1" s="329">
      <c r="A98" s="317" t="inlineStr">
        <is>
          <t>• Azure Pricing Calculator: https://azure.microsoft.com/en-us/pricing/calculator/</t>
        </is>
      </c>
    </row>
    <row r="99" ht="26.1" customHeight="1" s="329">
      <c r="A99" s="317" t="inlineStr">
        <is>
          <t>• Azure TCO Calculator: https://azure.microsoft.com/en-us/pricing/tco/calculator/</t>
        </is>
      </c>
    </row>
    <row r="100" ht="26.1" customHeight="1" s="329">
      <c r="A100" s="317" t="inlineStr">
        <is>
          <t>• Cloud Adoption Framework: https://learn.microsoft.com/en-us/azure/cloud-adoption-framework/</t>
        </is>
      </c>
    </row>
    <row r="101" ht="26.1" customHeight="1" s="329">
      <c r="A101" s="317" t="inlineStr">
        <is>
          <t>• Azure Well-Architected Framework: https://learn.microsoft.com/en-us/azure/well-architected/</t>
        </is>
      </c>
    </row>
    <row r="102" ht="26.1" customHeight="1" s="329">
      <c r="A102" s="317" t="inlineStr">
        <is>
          <t>• Azure Reserved Instances: https://learn.microsoft.com/en-us/azure/cost-management-billing/reservations/save-compute-costs-reservations</t>
        </is>
      </c>
    </row>
    <row r="104" ht="15.6" customHeight="1" s="329">
      <c r="A104" s="344" t="inlineStr">
        <is>
          <t>📚 QUICK REFERENCE LINKS BY CATEGORY</t>
        </is>
      </c>
    </row>
    <row r="105" ht="15" customHeight="1" s="329"/>
    <row r="106" ht="15" customHeight="1" s="329">
      <c r="A106" s="149" t="inlineStr">
        <is>
          <t>Category</t>
        </is>
      </c>
      <c r="B106" s="269" t="inlineStr">
        <is>
          <t>Resource</t>
        </is>
      </c>
      <c r="C106" s="163" t="inlineStr">
        <is>
          <t>URL</t>
        </is>
      </c>
      <c r="D106" s="163" t="inlineStr">
        <is>
          <t>Purpose</t>
        </is>
      </c>
    </row>
    <row r="107" ht="15" customHeight="1" s="329">
      <c r="A107" s="261" t="inlineStr">
        <is>
          <t>Migration &amp; Assessment</t>
        </is>
      </c>
      <c r="B107" s="270" t="inlineStr">
        <is>
          <t>Azure Migrate</t>
        </is>
      </c>
      <c r="C107" s="166" t="inlineStr">
        <is>
          <t>https://learn.microsoft.com/en-us/azure/migrate/</t>
        </is>
      </c>
      <c r="D107" s="164" t="inlineStr">
        <is>
          <t>Discovery, assessment, migration planning</t>
        </is>
      </c>
    </row>
    <row r="108" ht="15" customHeight="1" s="329">
      <c r="A108" s="262" t="inlineStr">
        <is>
          <t>Migration &amp; Assessment</t>
        </is>
      </c>
      <c r="B108" s="271" t="inlineStr">
        <is>
          <t>Azure Site Recovery</t>
        </is>
      </c>
      <c r="C108" s="167" t="inlineStr">
        <is>
          <t>https://learn.microsoft.com/en-us/azure/site-recovery/</t>
        </is>
      </c>
      <c r="D108" s="165" t="inlineStr">
        <is>
          <t>VM replication and disaster recovery</t>
        </is>
      </c>
    </row>
    <row r="109" ht="15" customHeight="1" s="329">
      <c r="A109" s="261" t="inlineStr">
        <is>
          <t>Migration &amp; Assessment</t>
        </is>
      </c>
      <c r="B109" s="270" t="inlineStr">
        <is>
          <t>Database Migration Service</t>
        </is>
      </c>
      <c r="C109" s="166" t="inlineStr">
        <is>
          <t>https://learn.microsoft.com/en-us/azure/dms/</t>
        </is>
      </c>
      <c r="D109" s="164" t="inlineStr">
        <is>
          <t>Database migration (online/offline)</t>
        </is>
      </c>
    </row>
    <row r="110" ht="15" customHeight="1" s="329">
      <c r="A110" s="262" t="inlineStr">
        <is>
          <t>Cost Optimization</t>
        </is>
      </c>
      <c r="B110" s="271" t="inlineStr">
        <is>
          <t>Azure Pricing Calculator</t>
        </is>
      </c>
      <c r="C110" s="167" t="inlineStr">
        <is>
          <t>https://azure.microsoft.com/pricing/calculator/</t>
        </is>
      </c>
      <c r="D110" s="165" t="inlineStr">
        <is>
          <t>Estimate Azure costs</t>
        </is>
      </c>
    </row>
    <row r="111" ht="15" customHeight="1" s="329">
      <c r="A111" s="261" t="inlineStr">
        <is>
          <t>Cost Optimization</t>
        </is>
      </c>
      <c r="B111" s="270" t="inlineStr">
        <is>
          <t>Azure TCO Calculator</t>
        </is>
      </c>
      <c r="C111" s="166" t="inlineStr">
        <is>
          <t>https://azure.microsoft.com/pricing/tco/</t>
        </is>
      </c>
      <c r="D111" s="164" t="inlineStr">
        <is>
          <t>Compare on-premises vs Azure costs</t>
        </is>
      </c>
    </row>
    <row r="112" ht="15" customHeight="1" s="329">
      <c r="A112" s="262" t="inlineStr">
        <is>
          <t>Cost Optimization</t>
        </is>
      </c>
      <c r="B112" s="271" t="inlineStr">
        <is>
          <t>Azure Hybrid Benefit</t>
        </is>
      </c>
      <c r="C112" s="167" t="inlineStr">
        <is>
          <t>https://learn.microsoft.com/en-us/azure/azure-arc/servers/license-extended-security-updates</t>
        </is>
      </c>
      <c r="D112" s="165" t="inlineStr">
        <is>
          <t>License mobility for Windows/SQL</t>
        </is>
      </c>
    </row>
    <row r="113" ht="15" customHeight="1" s="329">
      <c r="A113" s="261" t="inlineStr">
        <is>
          <t>Cost Optimization</t>
        </is>
      </c>
      <c r="B113" s="270" t="inlineStr">
        <is>
          <t>Reserved Instances</t>
        </is>
      </c>
      <c r="C113" s="166" t="inlineStr">
        <is>
          <t>https://learn.microsoft.com/en-us/azure/cost-management-billing/reservations/</t>
        </is>
      </c>
      <c r="D113" s="164" t="inlineStr">
        <is>
          <t>Save with 1-year or 3-year commitments</t>
        </is>
      </c>
    </row>
    <row r="114" ht="15" customHeight="1" s="329">
      <c r="A114" s="262" t="inlineStr">
        <is>
          <t>Supported OS</t>
        </is>
      </c>
      <c r="B114" s="271" t="inlineStr">
        <is>
          <t>Linux Endorsed Distros</t>
        </is>
      </c>
      <c r="C114" s="167" t="inlineStr">
        <is>
          <t>https://learn.microsoft.com/en-us/azure/virtual-machines/linux/endorsed-distros</t>
        </is>
      </c>
      <c r="D114" s="165" t="inlineStr">
        <is>
          <t>Supported Linux distributions</t>
        </is>
      </c>
    </row>
    <row r="115" ht="15" customHeight="1" s="329">
      <c r="A115" s="261" t="inlineStr">
        <is>
          <t>Supported OS</t>
        </is>
      </c>
      <c r="B115" s="270" t="inlineStr">
        <is>
          <t>Windows Server Support</t>
        </is>
      </c>
      <c r="C115" s="166" t="inlineStr">
        <is>
          <t>https://learn.microsoft.com/en-us/azure/virtual-machines/windows/</t>
        </is>
      </c>
      <c r="D115" s="164" t="inlineStr">
        <is>
          <t>Windows VM documentation</t>
        </is>
      </c>
    </row>
    <row r="116" ht="15" customHeight="1" s="329">
      <c r="A116" s="262" t="inlineStr">
        <is>
          <t>Supported OS</t>
        </is>
      </c>
      <c r="B116" s="271" t="inlineStr">
        <is>
          <t>Extended Security Updates</t>
        </is>
      </c>
      <c r="C116" s="167" t="inlineStr">
        <is>
          <t>https://learn.microsoft.com/en-us/windows-server/get-started/extended-security-updates-overview</t>
        </is>
      </c>
      <c r="D116" s="165" t="inlineStr">
        <is>
          <t>ESU for Windows Server 2012/2008</t>
        </is>
      </c>
    </row>
    <row r="117" ht="15" customHeight="1" s="329">
      <c r="A117" s="261" t="inlineStr">
        <is>
          <t>Governance &amp; Compliance</t>
        </is>
      </c>
      <c r="B117" s="270" t="inlineStr">
        <is>
          <t>Azure Government</t>
        </is>
      </c>
      <c r="C117" s="166" t="inlineStr">
        <is>
          <t>https://learn.microsoft.com/en-us/azure/azure-government/</t>
        </is>
      </c>
      <c r="D117" s="164" t="inlineStr">
        <is>
          <t>US Government cloud documentation</t>
        </is>
      </c>
    </row>
    <row r="118" ht="15" customHeight="1" s="329">
      <c r="A118" s="262" t="inlineStr">
        <is>
          <t>Governance &amp; Compliance</t>
        </is>
      </c>
      <c r="B118" s="271" t="inlineStr">
        <is>
          <t>Azure China</t>
        </is>
      </c>
      <c r="C118" s="167" t="inlineStr">
        <is>
          <t>https://learn.microsoft.com/en-us/azure/china/</t>
        </is>
      </c>
      <c r="D118" s="165" t="inlineStr">
        <is>
          <t>China cloud (21Vianet)</t>
        </is>
      </c>
    </row>
    <row r="119" ht="15" customHeight="1" s="329">
      <c r="A119" s="261" t="inlineStr">
        <is>
          <t>Governance &amp; Compliance</t>
        </is>
      </c>
      <c r="B119" s="270" t="inlineStr">
        <is>
          <t>Azure Regions</t>
        </is>
      </c>
      <c r="C119" s="166" t="inlineStr">
        <is>
          <t>https://learn.microsoft.com/en-us/azure/reliability/availability-zones-overview</t>
        </is>
      </c>
      <c r="D119" s="164" t="inlineStr">
        <is>
          <t>Region availability and zones</t>
        </is>
      </c>
    </row>
    <row r="120" ht="15" customHeight="1" s="329"/>
    <row r="121" ht="15" customHeight="1" s="329"/>
    <row r="122" ht="15" customHeight="1" s="329">
      <c r="A122" s="345" t="inlineStr">
        <is>
          <t>━━━━━━━━━━━━━━━━━━━━━━━━━━━━━━━━━━━━━━━━━━━━━━━━━━━━━━━━━━━━━━━━━━━━━━━━━━━━━━━━━━━━━━━━━━━━━━</t>
        </is>
      </c>
    </row>
    <row r="123" ht="15" customHeight="1" s="329">
      <c r="A123" s="346" t="inlineStr">
        <is>
          <t>📎 All URLs verified against Microsoft Learn Documentation  |  Last verified: April 2026</t>
        </is>
      </c>
    </row>
    <row r="124">
      <c r="A124" s="319" t="inlineStr">
        <is>
          <t>━━━━━━━━━━━━━━━━━━━━━━━━━━━━━━━━━━━━━━━━━━━━━━━━━━━━━━━━━━━━━━━━━━━━━━━━━━━━━━━━━━━━━━━━━━━━━━</t>
        </is>
      </c>
    </row>
    <row r="125">
      <c r="A125" s="318" t="inlineStr">
        <is>
          <t>Cloud Readiness Accelerator Framework  |  Azure Compatibility Exclusions  |  Version 1.0  |  April 2026</t>
        </is>
      </c>
    </row>
    <row r="126">
      <c r="A126" s="318" t="inlineStr">
        <is>
          <t>© 2026 Cloud Readiness Accelerator Framework  |  Confidential — For Authorized Use Only</t>
        </is>
      </c>
    </row>
    <row r="127">
      <c r="A127" s="316" t="inlineStr">
        <is>
          <t>Source: Microsoft Azure Documentation  |  docs.microsoft.com/azure/virtual-machines</t>
        </is>
      </c>
    </row>
  </sheetData>
  <sheetProtection selectLockedCells="0" selectUnlockedCells="0" sheet="1" objects="1" insertRows="1" insertHyperlinks="1" autoFilter="1" scenarios="1" formatColumns="1" deleteColumns="1" insertColumns="1" pivotTables="1" deleteRows="1" formatCells="1" formatRows="1" sort="1"/>
  <mergeCells count="39">
    <mergeCell ref="A34:E34"/>
    <mergeCell ref="A98:E98"/>
    <mergeCell ref="A45:E45"/>
    <mergeCell ref="A1:E1"/>
    <mergeCell ref="A94:E94"/>
    <mergeCell ref="A123:E123"/>
    <mergeCell ref="A88:E88"/>
    <mergeCell ref="A124:E124"/>
    <mergeCell ref="A87:E87"/>
    <mergeCell ref="A7:E7"/>
    <mergeCell ref="A90:E90"/>
    <mergeCell ref="A99:E99"/>
    <mergeCell ref="A75:E75"/>
    <mergeCell ref="A89:E89"/>
    <mergeCell ref="A74:E74"/>
    <mergeCell ref="A3:E3"/>
    <mergeCell ref="A21:E21"/>
    <mergeCell ref="A95:E95"/>
    <mergeCell ref="A101:E101"/>
    <mergeCell ref="A2:E2"/>
    <mergeCell ref="A104:E104"/>
    <mergeCell ref="A5:E5"/>
    <mergeCell ref="A32:E32"/>
    <mergeCell ref="A8:E8"/>
    <mergeCell ref="A97:E97"/>
    <mergeCell ref="A126:E126"/>
    <mergeCell ref="A122:E122"/>
    <mergeCell ref="A91:E91"/>
    <mergeCell ref="A62:E62"/>
    <mergeCell ref="A100:E100"/>
    <mergeCell ref="A125:E125"/>
    <mergeCell ref="A96:E96"/>
    <mergeCell ref="A10:E10"/>
    <mergeCell ref="A121:E121"/>
    <mergeCell ref="A102:E102"/>
    <mergeCell ref="A93:E93"/>
    <mergeCell ref="A31:E31"/>
    <mergeCell ref="A127:E127"/>
    <mergeCell ref="A92:E92"/>
  </mergeCells>
  <pageMargins left="0.7" right="0.7" top="0.75" bottom="0.75" header="0.3" footer="0.3"/>
  <pageSetup orientation="landscape" paperSize="0" scale="0" horizontalDpi="0" verticalDpi="0" copies="0"/>
</worksheet>
</file>

<file path=xl/worksheets/sheet7.xml><?xml version="1.0" encoding="utf-8"?>
<worksheet xmlns="http://schemas.openxmlformats.org/spreadsheetml/2006/main">
  <sheetPr>
    <outlinePr summaryBelow="1" summaryRight="1"/>
    <pageSetUpPr/>
  </sheetPr>
  <dimension ref="A1:G19"/>
  <sheetViews>
    <sheetView showGridLines="0" workbookViewId="0">
      <pane ySplit="3" topLeftCell="A4" activePane="bottomLeft" state="frozen"/>
      <selection pane="bottomLeft" activeCell="A1" sqref="A1"/>
    </sheetView>
  </sheetViews>
  <sheetFormatPr baseColWidth="8" defaultRowHeight="15"/>
  <cols>
    <col width="30" customWidth="1" style="329" min="1" max="1"/>
    <col width="18" customWidth="1" style="329" min="2" max="2"/>
    <col width="10" customWidth="1" style="329" min="3" max="3"/>
    <col width="20" customWidth="1" style="329" min="4" max="4"/>
    <col width="18" customWidth="1" style="329" min="5" max="5"/>
    <col width="28" customWidth="1" style="329" min="6" max="6"/>
    <col width="40" customWidth="1" style="329" min="7" max="7"/>
  </cols>
  <sheetData>
    <row r="1" ht="22" customHeight="1" s="329">
      <c r="A1" s="358" t="inlineStr">
        <is>
          <t>Azure Hybrid Benefit (AHB) Overlay — Requires Active Software Assurance Confirmation</t>
        </is>
      </c>
    </row>
    <row r="2" ht="35" customHeight="1" s="329">
      <c r="A2" s="359" t="inlineStr">
        <is>
          <t>AHB allows organisations with active SA on Windows Server or SQL Server licences to use those licences in Azure at no additional licence cost. SA status must be confirmed by the customer before including this saving in the TCO.</t>
        </is>
      </c>
    </row>
    <row r="3">
      <c r="A3" s="360" t="inlineStr">
        <is>
          <t>VM Name</t>
        </is>
      </c>
      <c r="B3" s="360" t="inlineStr">
        <is>
          <t>OS</t>
        </is>
      </c>
      <c r="C3" s="360" t="inlineStr">
        <is>
          <t>vCPUs</t>
        </is>
      </c>
      <c r="D3" s="360" t="inlineStr">
        <is>
          <t>SQL Server Licence?</t>
        </is>
      </c>
      <c r="E3" s="360" t="inlineStr">
        <is>
          <t>AHB Applicable?</t>
        </is>
      </c>
      <c r="F3" s="360" t="inlineStr">
        <is>
          <t>Monthly Saving (AHB vs PAYG)</t>
        </is>
      </c>
      <c r="G3" s="360" t="inlineStr">
        <is>
          <t>Notes</t>
        </is>
      </c>
    </row>
    <row r="4"/>
    <row r="12">
      <c r="A12" s="361" t="inlineStr">
        <is>
          <t>Extended Security Updates (ESU) — Windows Server 2012 / SQL Server 2012 (FREE in Azure)</t>
        </is>
      </c>
    </row>
    <row r="13" ht="45" customHeight="1" s="329">
      <c r="A13" s="362" t="inlineStr">
        <is>
          <t>Windows Server 2012/R2 and SQL Server 2012/2014 ESU is FREE when running in Azure. On AWS or GCP, the customer must purchase ESU from Microsoft (typically £100–£200 per server per year). This is a LEGITIMATE Azure cost advantage that must appear in the TCO.</t>
        </is>
      </c>
    </row>
    <row r="14">
      <c r="A14" s="360" t="inlineStr">
        <is>
          <t>EoL OS / Product</t>
        </is>
      </c>
      <c r="B14" s="360" t="inlineStr">
        <is>
          <t>Count in Estate</t>
        </is>
      </c>
      <c r="C14" s="360" t="inlineStr">
        <is>
          <t>Azure ESU Cost (3yr)</t>
        </is>
      </c>
      <c r="D14" s="360" t="inlineStr">
        <is>
          <t>AWS/GCP ESU Cost (3yr)</t>
        </is>
      </c>
      <c r="E14" s="360" t="inlineStr">
        <is>
          <t>Azure Saving vs AWS/GCP</t>
        </is>
      </c>
    </row>
    <row r="15">
      <c r="A15" s="363" t="inlineStr">
        <is>
          <t>Windows Server 2012/R2</t>
        </is>
      </c>
      <c r="B15" s="363" t="inlineStr">
        <is>
          <t>[Count from infrastructure-profiling]</t>
        </is>
      </c>
      <c r="C15" s="363" t="inlineStr">
        <is>
          <t>£0 (free in Azure)</t>
        </is>
      </c>
      <c r="D15" s="363" t="inlineStr">
        <is>
          <t>~£300–£600 per server (3yr)</t>
        </is>
      </c>
      <c r="E15" s="363">
        <f>C15-D15 per server</f>
        <v/>
      </c>
    </row>
    <row r="16">
      <c r="A16" s="364" t="inlineStr">
        <is>
          <t>SQL Server 2012</t>
        </is>
      </c>
      <c r="B16" s="364" t="inlineStr">
        <is>
          <t>[Count from infrastructure-profiling]</t>
        </is>
      </c>
      <c r="C16" s="364" t="inlineStr">
        <is>
          <t>£0 (free in Azure)</t>
        </is>
      </c>
      <c r="D16" s="364" t="inlineStr">
        <is>
          <t>~£400–£800 per server (3yr)</t>
        </is>
      </c>
      <c r="E16" s="364">
        <f>C16-D16 per server</f>
        <v/>
      </c>
    </row>
    <row r="17">
      <c r="A17" s="363" t="inlineStr">
        <is>
          <t>SQL Server 2014</t>
        </is>
      </c>
      <c r="B17" s="363" t="inlineStr">
        <is>
          <t>[Count]</t>
        </is>
      </c>
      <c r="C17" s="363" t="inlineStr">
        <is>
          <t>£0 (free in Azure)</t>
        </is>
      </c>
      <c r="D17" s="363" t="inlineStr">
        <is>
          <t>~£400–£800 per server (3yr)</t>
        </is>
      </c>
      <c r="E17" s="363">
        <f>C17-D17 per server</f>
        <v/>
      </c>
    </row>
    <row r="19">
      <c r="A19" s="365" t="inlineStr">
        <is>
          <t>TOTAL ESU SAVING (Azure vs AWS/GCP):</t>
        </is>
      </c>
      <c r="B19" s="366" t="inlineStr">
        <is>
          <t>[Calculate: sum of ESU savings across all EoL OS instances x 3 years]</t>
        </is>
      </c>
    </row>
  </sheetData>
  <mergeCells count="4">
    <mergeCell ref="A2:F2"/>
    <mergeCell ref="A13:G13"/>
    <mergeCell ref="A1:F1"/>
    <mergeCell ref="A12:G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2026-04-25T12:28:22Z</dcterms:created>
  <dcterms:modified xmlns:dcterms="http://purl.org/dc/terms/" xmlns:xsi="http://www.w3.org/2001/XMLSchema-instance" xsi:type="dcterms:W3CDTF">2026-06-03T05:46:08Z</dcterms:modified>
  <cp:lastModifiedBy>Sandeep Tembare</cp:lastModifiedBy>
  <cp:revision>0</cp:revision>
</cp:coreProperties>
</file>