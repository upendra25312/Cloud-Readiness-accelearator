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cision Matrix" sheetId="2" state="visible" r:id="rId2"/>
    <sheet xmlns:r="http://schemas.openxmlformats.org/officeDocument/2006/relationships" name="Criteria &amp; Weights" sheetId="3" state="visible" r:id="rId3"/>
    <sheet xmlns:r="http://schemas.openxmlformats.org/officeDocument/2006/relationships" name="Azure Scoring" sheetId="4" state="visible" r:id="rId4"/>
    <sheet xmlns:r="http://schemas.openxmlformats.org/officeDocument/2006/relationships" name="AWS Scoring" sheetId="5" state="visible" r:id="rId5"/>
    <sheet xmlns:r="http://schemas.openxmlformats.org/officeDocument/2006/relationships" name="GCP Scoring" sheetId="6" state="visible" r:id="rId6"/>
    <sheet xmlns:r="http://schemas.openxmlformats.org/officeDocument/2006/relationships" name="Weighted Summary" sheetId="7" state="visible" r:id="rId7"/>
    <sheet xmlns:r="http://schemas.openxmlformats.org/officeDocument/2006/relationships" name="7Rs Estate View" sheetId="8" state="visible" r:id="rId8"/>
    <sheet xmlns:r="http://schemas.openxmlformats.org/officeDocument/2006/relationships" name="Multi-Cloud Exceptions" sheetId="9" state="visible" r:id="rId9"/>
    <sheet xmlns:r="http://schemas.openxmlformats.org/officeDocument/2006/relationships" name="Worked Example -- Reference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&quot; / 100&quot;"/>
    <numFmt numFmtId="165" formatCode="\£#,##0;&quot;(£&quot;#,##0\);\-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40404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595959"/>
      <sz val="9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444444"/>
      <sz val="10"/>
    </font>
    <font>
      <name val="Calibri"/>
      <i val="1"/>
      <color rgb="00006400"/>
      <sz val="9"/>
    </font>
    <font>
      <name val="Calibri"/>
      <b val="1"/>
      <color rgb="00C00000"/>
      <sz val="10"/>
    </font>
    <font>
      <name val="Calibri"/>
      <i val="1"/>
      <color rgb="00C00000"/>
      <sz val="9"/>
    </font>
    <font>
      <name val="Calibri"/>
      <b val="1"/>
      <color rgb="00000000"/>
      <sz val="11"/>
    </font>
    <font>
      <name val="Calibri"/>
      <color rgb="00FFFFFF"/>
      <sz val="10"/>
    </font>
    <font>
      <name val="Calibri"/>
      <b val="1"/>
      <color rgb="00006100"/>
      <sz val="10"/>
    </font>
    <font>
      <name val="Calibri"/>
      <color rgb="009C5700"/>
      <sz val="10"/>
    </font>
    <font>
      <name val="Calibri"/>
      <color rgb="009C0006"/>
      <sz val="10"/>
    </font>
  </fonts>
  <fills count="26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548235"/>
        <bgColor rgb="FF339966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E31C3D"/>
      </patternFill>
    </fill>
    <fill>
      <patternFill patternType="solid">
        <fgColor rgb="00FFFFFF"/>
      </patternFill>
    </fill>
    <fill>
      <patternFill patternType="solid">
        <fgColor rgb="000078D4"/>
      </patternFill>
    </fill>
    <fill>
      <patternFill patternType="solid">
        <fgColor rgb="00FFFF99"/>
      </patternFill>
    </fill>
    <fill>
      <patternFill patternType="solid">
        <fgColor rgb="00C00000"/>
      </patternFill>
    </fill>
    <fill>
      <patternFill patternType="solid">
        <fgColor rgb="00FFE6E6"/>
      </patternFill>
    </fill>
    <fill>
      <patternFill patternType="solid">
        <fgColor rgb="00FF9900"/>
      </patternFill>
    </fill>
    <fill>
      <patternFill patternType="solid">
        <fgColor rgb="004285F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9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9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164" fontId="8" fillId="0" borderId="1" applyAlignment="1" pivotButton="0" quotePrefix="0" xfId="0">
      <alignment horizontal="left" vertical="center" wrapText="1"/>
    </xf>
    <xf numFmtId="164" fontId="11" fillId="6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7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9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9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164" fontId="8" fillId="0" borderId="1" applyAlignment="1" pivotButton="0" quotePrefix="0" xfId="0">
      <alignment horizontal="left" vertical="center" wrapText="1"/>
    </xf>
    <xf numFmtId="164" fontId="11" fillId="6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center" vertical="center"/>
    </xf>
    <xf numFmtId="0" fontId="17" fillId="10" borderId="2" applyAlignment="1" pivotButton="0" quotePrefix="0" xfId="0">
      <alignment horizontal="left" vertical="center" wrapText="1"/>
    </xf>
    <xf numFmtId="0" fontId="16" fillId="11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left" vertical="center" wrapText="1"/>
    </xf>
    <xf numFmtId="0" fontId="16" fillId="11" borderId="2" applyAlignment="1" pivotButton="0" quotePrefix="0" xfId="0">
      <alignment horizontal="left" vertical="center" wrapText="1"/>
    </xf>
    <xf numFmtId="0" fontId="18" fillId="11" borderId="2" applyAlignment="1" pivotButton="0" quotePrefix="0" xfId="0">
      <alignment horizontal="left" vertical="center" wrapText="1"/>
    </xf>
    <xf numFmtId="0" fontId="16" fillId="9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center" vertical="center" wrapText="1"/>
    </xf>
    <xf numFmtId="0" fontId="18" fillId="13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 vertical="center" wrapText="1"/>
    </xf>
    <xf numFmtId="0" fontId="15" fillId="9" borderId="2" pivotButton="0" quotePrefix="0" xfId="0"/>
    <xf numFmtId="0" fontId="19" fillId="9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20" fillId="15" borderId="2" pivotButton="0" quotePrefix="0" xfId="0"/>
    <xf numFmtId="0" fontId="21" fillId="15" borderId="2" pivotButton="0" quotePrefix="0" xfId="0"/>
    <xf numFmtId="0" fontId="14" fillId="16" borderId="0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left" vertical="center" wrapText="1"/>
    </xf>
    <xf numFmtId="0" fontId="14" fillId="17" borderId="0" applyAlignment="1" pivotButton="0" quotePrefix="0" xfId="0">
      <alignment horizontal="center" vertical="center" wrapText="1"/>
    </xf>
    <xf numFmtId="0" fontId="17" fillId="17" borderId="2" applyAlignment="1" pivotButton="0" quotePrefix="0" xfId="0">
      <alignment horizontal="left" vertical="center" wrapText="1"/>
    </xf>
    <xf numFmtId="0" fontId="15" fillId="18" borderId="2" applyAlignment="1" pivotButton="0" quotePrefix="0" xfId="0">
      <alignment horizontal="left" vertical="center" wrapText="1"/>
    </xf>
    <xf numFmtId="0" fontId="16" fillId="18" borderId="2" applyAlignment="1" pivotButton="0" quotePrefix="0" xfId="0">
      <alignment horizontal="left" vertical="center" wrapText="1"/>
    </xf>
    <xf numFmtId="0" fontId="16" fillId="19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center" vertical="center" wrapText="1"/>
    </xf>
    <xf numFmtId="9" fontId="16" fillId="20" borderId="2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left" vertical="center" wrapText="1"/>
    </xf>
    <xf numFmtId="0" fontId="16" fillId="21" borderId="2" applyAlignment="1" pivotButton="0" quotePrefix="0" xfId="0">
      <alignment horizontal="left" vertical="center" wrapText="1"/>
    </xf>
    <xf numFmtId="0" fontId="16" fillId="21" borderId="2" applyAlignment="1" pivotButton="0" quotePrefix="0" xfId="0">
      <alignment horizontal="center" vertical="center" wrapText="1"/>
    </xf>
    <xf numFmtId="9" fontId="16" fillId="21" borderId="2" applyAlignment="1" pivotButton="0" quotePrefix="0" xfId="0">
      <alignment horizontal="center" vertical="center" wrapText="1"/>
    </xf>
    <xf numFmtId="0" fontId="18" fillId="21" borderId="2" applyAlignment="1" pivotButton="0" quotePrefix="0" xfId="0">
      <alignment horizontal="left" vertical="center" wrapText="1"/>
    </xf>
    <xf numFmtId="0" fontId="16" fillId="22" borderId="2" applyAlignment="1" pivotButton="0" quotePrefix="0" xfId="0">
      <alignment horizontal="left" vertical="center" wrapText="1"/>
    </xf>
    <xf numFmtId="0" fontId="16" fillId="22" borderId="2" applyAlignment="1" pivotButton="0" quotePrefix="0" xfId="0">
      <alignment horizontal="center" vertical="center" wrapText="1"/>
    </xf>
    <xf numFmtId="9" fontId="16" fillId="22" borderId="2" applyAlignment="1" pivotButton="0" quotePrefix="0" xfId="0">
      <alignment horizontal="center" vertical="center" wrapText="1"/>
    </xf>
    <xf numFmtId="0" fontId="18" fillId="22" borderId="2" applyAlignment="1" pivotButton="0" quotePrefix="0" xfId="0">
      <alignment horizontal="left" vertical="center" wrapText="1"/>
    </xf>
    <xf numFmtId="0" fontId="16" fillId="23" borderId="2" applyAlignment="1" pivotButton="0" quotePrefix="0" xfId="0">
      <alignment horizontal="left" vertical="center" wrapText="1"/>
    </xf>
    <xf numFmtId="0" fontId="16" fillId="23" borderId="2" applyAlignment="1" pivotButton="0" quotePrefix="0" xfId="0">
      <alignment horizontal="center" vertical="center" wrapText="1"/>
    </xf>
    <xf numFmtId="9" fontId="16" fillId="23" borderId="2" applyAlignment="1" pivotButton="0" quotePrefix="0" xfId="0">
      <alignment horizontal="center" vertical="center" wrapText="1"/>
    </xf>
    <xf numFmtId="0" fontId="18" fillId="23" borderId="2" applyAlignment="1" pivotButton="0" quotePrefix="0" xfId="0">
      <alignment horizontal="left" vertical="center" wrapText="1"/>
    </xf>
    <xf numFmtId="0" fontId="16" fillId="18" borderId="2" applyAlignment="1" pivotButton="0" quotePrefix="0" xfId="0">
      <alignment horizontal="center" vertical="center" wrapText="1"/>
    </xf>
    <xf numFmtId="9" fontId="16" fillId="18" borderId="2" applyAlignment="1" pivotButton="0" quotePrefix="0" xfId="0">
      <alignment horizontal="center" vertical="center" wrapText="1"/>
    </xf>
    <xf numFmtId="0" fontId="18" fillId="18" borderId="2" applyAlignment="1" pivotButton="0" quotePrefix="0" xfId="0">
      <alignment horizontal="left" vertical="center" wrapText="1"/>
    </xf>
    <xf numFmtId="0" fontId="16" fillId="24" borderId="2" applyAlignment="1" pivotButton="0" quotePrefix="0" xfId="0">
      <alignment horizontal="left" vertical="center" wrapText="1"/>
    </xf>
    <xf numFmtId="0" fontId="16" fillId="24" borderId="2" applyAlignment="1" pivotButton="0" quotePrefix="0" xfId="0">
      <alignment horizontal="center" vertical="center" wrapText="1"/>
    </xf>
    <xf numFmtId="9" fontId="16" fillId="24" borderId="2" applyAlignment="1" pivotButton="0" quotePrefix="0" xfId="0">
      <alignment horizontal="center" vertical="center" wrapText="1"/>
    </xf>
    <xf numFmtId="0" fontId="18" fillId="24" borderId="2" applyAlignment="1" pivotButton="0" quotePrefix="0" xfId="0">
      <alignment horizontal="left" vertical="center" wrapText="1"/>
    </xf>
    <xf numFmtId="0" fontId="16" fillId="25" borderId="2" applyAlignment="1" pivotButton="0" quotePrefix="0" xfId="0">
      <alignment horizontal="left" vertical="center" wrapText="1"/>
    </xf>
    <xf numFmtId="0" fontId="16" fillId="25" borderId="2" applyAlignment="1" pivotButton="0" quotePrefix="0" xfId="0">
      <alignment horizontal="center" vertical="center" wrapText="1"/>
    </xf>
    <xf numFmtId="9" fontId="16" fillId="25" borderId="2" applyAlignment="1" pivotButton="0" quotePrefix="0" xfId="0">
      <alignment horizontal="center" vertical="center" wrapText="1"/>
    </xf>
    <xf numFmtId="0" fontId="18" fillId="25" borderId="2" applyAlignment="1" pivotButton="0" quotePrefix="0" xfId="0">
      <alignment horizontal="left" vertical="center" wrapText="1"/>
    </xf>
    <xf numFmtId="0" fontId="22" fillId="19" borderId="0" applyAlignment="1" pivotButton="0" quotePrefix="0" xfId="0">
      <alignment horizontal="center" vertical="center" wrapText="1"/>
    </xf>
    <xf numFmtId="0" fontId="15" fillId="20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left" vertical="center" wrapText="1"/>
    </xf>
    <xf numFmtId="0" fontId="24" fillId="20" borderId="2" applyAlignment="1" pivotButton="0" quotePrefix="0" xfId="0">
      <alignment horizontal="center" vertical="center" wrapText="1"/>
    </xf>
    <xf numFmtId="0" fontId="25" fillId="21" borderId="2" applyAlignment="1" pivotButton="0" quotePrefix="0" xfId="0">
      <alignment horizontal="center" vertical="center" wrapText="1"/>
    </xf>
    <xf numFmtId="0" fontId="26" fillId="24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22" customWidth="1" style="18" min="1" max="1"/>
    <col width="80" customWidth="1" style="18" min="2" max="2"/>
  </cols>
  <sheetData>
    <row r="1" ht="28" customHeight="1" s="18">
      <c r="A1" s="19" t="inlineStr">
        <is>
          <t>HYPERSCALER DECISION MATRIX</t>
        </is>
      </c>
    </row>
    <row r="2" ht="20" customHeight="1" s="18">
      <c r="A2" s="20" t="inlineStr">
        <is>
          <t>CRA Framework -- Phase 3: Hyperscaler Evaluation</t>
        </is>
      </c>
    </row>
    <row r="3">
      <c r="A3" s="21" t="inlineStr">
        <is>
          <t>PURPOSE</t>
        </is>
      </c>
      <c r="B3" s="22" t="inlineStr"/>
    </row>
    <row r="4">
      <c r="A4" s="23" t="n"/>
      <c r="B4" s="22" t="inlineStr">
        <is>
          <t>Produce a weighted, evidence-backed score for each hyperscaler and generate a</t>
        </is>
      </c>
    </row>
    <row r="5">
      <c r="A5" s="23" t="n"/>
      <c r="B5" s="22" t="inlineStr">
        <is>
          <t>documented primary recommendation. This is the single most customer-visible</t>
        </is>
      </c>
    </row>
    <row r="6">
      <c r="A6" s="23" t="n"/>
      <c r="B6" s="22" t="inlineStr">
        <is>
          <t>deliverable in Phase 3. Scores that look arbitrary or pre-determined will undermine</t>
        </is>
      </c>
    </row>
    <row r="7">
      <c r="A7" s="23" t="n"/>
      <c r="B7" s="22" t="inlineStr">
        <is>
          <t>the entire engagement. Every score MUST cite a specific evidence data point.</t>
        </is>
      </c>
    </row>
    <row r="8">
      <c r="A8" s="23" t="n"/>
      <c r="B8" s="22" t="inlineStr"/>
    </row>
    <row r="9">
      <c r="A9" s="21" t="inlineStr">
        <is>
          <t>WHO FILLS THIS IN</t>
        </is>
      </c>
      <c r="B9" s="22" t="inlineStr"/>
    </row>
    <row r="10">
      <c r="A10" s="23" t="n"/>
      <c r="B10" s="22" t="inlineStr">
        <is>
          <t>Lead Architect (scoring framework) + Platform Architects (per-cloud scoring)</t>
        </is>
      </c>
    </row>
    <row r="11">
      <c r="A11" s="23" t="n"/>
      <c r="B11" s="22" t="inlineStr">
        <is>
          <t>Criteria &amp; Weights tab: agreed with customer before scoring begins.</t>
        </is>
      </c>
    </row>
    <row r="12">
      <c r="A12" s="23" t="n"/>
      <c r="B12" s="22" t="inlineStr"/>
    </row>
    <row r="13">
      <c r="A13" s="21" t="inlineStr">
        <is>
          <t>WHEN</t>
        </is>
      </c>
      <c r="B13" s="22" t="inlineStr"/>
    </row>
    <row r="14">
      <c r="A14" s="23" t="n"/>
      <c r="B14" s="22" t="inlineStr">
        <is>
          <t>Phase 3, Weeks 1-3. Must be complete before Phase 3 playback meeting.</t>
        </is>
      </c>
    </row>
    <row r="15">
      <c r="A15" s="23" t="n"/>
      <c r="B15" s="22" t="inlineStr">
        <is>
          <t>GATE: Do not present a recommendation before slides 8-12 of the playback deck.</t>
        </is>
      </c>
    </row>
    <row r="16">
      <c r="A16" s="23" t="n"/>
      <c r="B16" s="22" t="inlineStr"/>
    </row>
    <row r="17">
      <c r="A17" s="21" t="inlineStr">
        <is>
          <t>TAB GUIDE</t>
        </is>
      </c>
      <c r="B17" s="22" t="inlineStr"/>
    </row>
    <row r="18">
      <c r="A18" s="21" t="inlineStr">
        <is>
          <t>Instructions</t>
        </is>
      </c>
      <c r="B18" s="22" t="inlineStr">
        <is>
          <t>This sheet</t>
        </is>
      </c>
    </row>
    <row r="19">
      <c r="A19" s="21" t="inlineStr">
        <is>
          <t>Criteria &amp; Weights</t>
        </is>
      </c>
      <c r="B19" s="22" t="inlineStr">
        <is>
          <t>Define evaluation criteria and weighting -- agree with customer first</t>
        </is>
      </c>
    </row>
    <row r="20">
      <c r="A20" s="21" t="inlineStr">
        <is>
          <t>Azure Scoring</t>
        </is>
      </c>
      <c r="B20" s="22" t="inlineStr">
        <is>
          <t>Score Azure against each criterion with specific evidence</t>
        </is>
      </c>
    </row>
    <row r="21">
      <c r="A21" s="21" t="inlineStr">
        <is>
          <t>AWS Scoring</t>
        </is>
      </c>
      <c r="B21" s="22" t="inlineStr">
        <is>
          <t>Score AWS against each criterion with specific evidence</t>
        </is>
      </c>
    </row>
    <row r="22">
      <c r="A22" s="21" t="inlineStr">
        <is>
          <t>GCP Scoring</t>
        </is>
      </c>
      <c r="B22" s="22" t="inlineStr">
        <is>
          <t>Score GCP against each criterion with specific evidence</t>
        </is>
      </c>
    </row>
    <row r="23">
      <c r="A23" s="21" t="inlineStr">
        <is>
          <t>Weighted Summary</t>
        </is>
      </c>
      <c r="B23" s="22" t="inlineStr">
        <is>
          <t>Auto-calculated weighted totals + recommendation output</t>
        </is>
      </c>
    </row>
    <row r="24">
      <c r="A24" s="21" t="inlineStr">
        <is>
          <t>7Rs Estate View</t>
        </is>
      </c>
      <c r="B24" s="22" t="inlineStr">
        <is>
          <t>One row per application: Rehost/Replatform/Rearchitect/Repurchase/Retire/Retain/Relocate</t>
        </is>
      </c>
    </row>
    <row r="25">
      <c r="A25" s="21" t="inlineStr">
        <is>
          <t>Multi-Cloud Exceptions</t>
        </is>
      </c>
      <c r="B25" s="22" t="inlineStr">
        <is>
          <t>Apps that cannot go to the primary cloud -- documented reason</t>
        </is>
      </c>
    </row>
    <row r="26">
      <c r="A26" s="21" t="inlineStr">
        <is>
          <t>Worked Example</t>
        </is>
      </c>
      <c r="B26" s="22" t="inlineStr">
        <is>
          <t>Anonymised reference scoring -- do NOT present to customer</t>
        </is>
      </c>
    </row>
    <row r="27">
      <c r="A27" s="23" t="n"/>
      <c r="B27" s="22" t="inlineStr"/>
    </row>
    <row r="28">
      <c r="A28" s="21" t="inlineStr">
        <is>
          <t>EVIDENCE STANDARD</t>
        </is>
      </c>
      <c r="B28" s="22" t="inlineStr"/>
    </row>
    <row r="29">
      <c r="A29" s="23" t="n"/>
      <c r="B29" s="22" t="inlineStr">
        <is>
          <t>ACCEPTABLE: 'Azure 3yr RI + AHB: 39% saving vs on-prem -- see TCO Summary tab'</t>
        </is>
      </c>
    </row>
    <row r="30">
      <c r="A30" s="23" t="n"/>
      <c r="B30" s="22" t="inlineStr">
        <is>
          <t>NOT ACCEPTABLE: 'Azure is cheaper'</t>
        </is>
      </c>
    </row>
    <row r="31">
      <c r="A31" s="23" t="n"/>
      <c r="B31" s="22" t="inlineStr">
        <is>
          <t>ACCEPTABLE: '1,200 Windows + 347 SQL Server AHB-eligible -- saving estimated Xm/yr'</t>
        </is>
      </c>
    </row>
    <row r="32">
      <c r="A32" s="23" t="n"/>
      <c r="B32" s="22" t="inlineStr">
        <is>
          <t>NOT ACCEPTABLE: 'Good licensing options'</t>
        </is>
      </c>
    </row>
    <row r="33">
      <c r="A33" s="23" t="n"/>
      <c r="B33" s="22" t="inlineStr"/>
    </row>
    <row r="34">
      <c r="A34" s="21" t="inlineStr">
        <is>
          <t>PROCESS</t>
        </is>
      </c>
      <c r="B34" s="22" t="inlineStr"/>
    </row>
    <row r="35">
      <c r="A35" s="23" t="n"/>
      <c r="B35" s="22" t="inlineStr">
        <is>
          <t>1. Present Criteria &amp; Weights to customer and get written agreement (email OK)</t>
        </is>
      </c>
    </row>
    <row r="36">
      <c r="A36" s="23" t="n"/>
      <c r="B36" s="22" t="inlineStr">
        <is>
          <t>2. Complete Azure Scoring, AWS Scoring, GCP Scoring tabs with evidence</t>
        </is>
      </c>
    </row>
    <row r="37">
      <c r="A37" s="23" t="n"/>
      <c r="B37" s="22" t="inlineStr">
        <is>
          <t>3. Weighted Summary calculates automatically</t>
        </is>
      </c>
    </row>
    <row r="38">
      <c r="A38" s="23" t="n"/>
      <c r="B38" s="22" t="inlineStr">
        <is>
          <t>4. Complete 7Rs Estate View for all in-scope applications</t>
        </is>
      </c>
    </row>
    <row r="39">
      <c r="A39" s="23" t="n"/>
      <c r="B39" s="22" t="inlineStr">
        <is>
          <t>5. Document any multi-cloud exceptions in Multi-Cloud Exceptions tab</t>
        </is>
      </c>
    </row>
    <row r="40">
      <c r="A40" s="23" t="n"/>
      <c r="B40" s="22" t="inlineStr">
        <is>
          <t>6. Present Weighted Summary in Phase 3 playback (slide 12, BEFORE recommendation)</t>
        </is>
      </c>
    </row>
    <row r="41">
      <c r="A41" s="23" t="n"/>
      <c r="B41" s="22" t="inlineStr"/>
    </row>
    <row r="42">
      <c r="A42" s="21" t="inlineStr">
        <is>
          <t>QUESTIONS?</t>
        </is>
      </c>
      <c r="B42" s="22" t="inlineStr">
        <is>
          <t>Refer to docs/guides/03-evaluation-phase-guide.md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24" min="1" max="1"/>
    <col width="14" customWidth="1" style="24" min="2" max="2"/>
    <col width="18" customWidth="1" style="24" min="3" max="5"/>
    <col width="28" customWidth="1" style="24" min="6" max="6"/>
  </cols>
  <sheetData>
    <row r="1" ht="37.5" customHeight="1" s="18">
      <c r="A1" s="25" t="inlineStr">
        <is>
          <t>Hyperscaler Comparison &amp; Decision Matrix</t>
        </is>
      </c>
    </row>
    <row r="2" ht="21.75" customHeight="1" s="18">
      <c r="A2" s="26" t="inlineStr">
        <is>
          <t>Version 1.0 | Phase: Evaluation | Task 4.4 | Requirements 4.4, 4.5, 4.7, 4.8</t>
        </is>
      </c>
    </row>
    <row r="4" ht="24" customHeight="1" s="18">
      <c r="A4" s="27" t="inlineStr">
        <is>
          <t>Section 1 — Technical Comparison</t>
        </is>
      </c>
    </row>
    <row r="5" ht="30" customHeight="1" s="18">
      <c r="A5" s="28" t="inlineStr">
        <is>
          <t>Criterion</t>
        </is>
      </c>
      <c r="B5" s="28" t="inlineStr">
        <is>
          <t>Weight</t>
        </is>
      </c>
      <c r="C5" s="28" t="inlineStr">
        <is>
          <t>AWS Score</t>
        </is>
      </c>
      <c r="D5" s="28" t="inlineStr">
        <is>
          <t>Azure Score</t>
        </is>
      </c>
      <c r="E5" s="28" t="inlineStr">
        <is>
          <t>GCP Score</t>
        </is>
      </c>
      <c r="F5" s="28" t="inlineStr">
        <is>
          <t>Notes</t>
        </is>
      </c>
    </row>
    <row r="6" ht="15" customHeight="1" s="18">
      <c r="A6" s="29" t="inlineStr">
        <is>
          <t>Compute service fit</t>
        </is>
      </c>
      <c r="B6" s="30" t="n">
        <v>0.15</v>
      </c>
      <c r="C6" s="31" t="n"/>
      <c r="D6" s="31" t="n"/>
      <c r="E6" s="31" t="n"/>
      <c r="F6" s="31" t="n"/>
    </row>
    <row r="7" ht="15" customHeight="1" s="18">
      <c r="A7" s="29" t="inlineStr">
        <is>
          <t>Database service fit</t>
        </is>
      </c>
      <c r="B7" s="30" t="n">
        <v>0.15</v>
      </c>
      <c r="C7" s="31" t="n"/>
      <c r="D7" s="31" t="n"/>
      <c r="E7" s="31" t="n"/>
      <c r="F7" s="31" t="n"/>
    </row>
    <row r="8" ht="15" customHeight="1" s="18">
      <c r="A8" s="29" t="inlineStr">
        <is>
          <t>Storage service fit</t>
        </is>
      </c>
      <c r="B8" s="30" t="n">
        <v>0.1</v>
      </c>
      <c r="C8" s="31" t="n"/>
      <c r="D8" s="31" t="n"/>
      <c r="E8" s="31" t="n"/>
      <c r="F8" s="31" t="n"/>
    </row>
    <row r="9" ht="15" customHeight="1" s="18">
      <c r="A9" s="29" t="inlineStr">
        <is>
          <t>Networking capabilities</t>
        </is>
      </c>
      <c r="B9" s="30" t="n">
        <v>0.1</v>
      </c>
      <c r="C9" s="31" t="n"/>
      <c r="D9" s="31" t="n"/>
      <c r="E9" s="31" t="n"/>
      <c r="F9" s="31" t="n"/>
    </row>
    <row r="10" ht="15" customHeight="1" s="18">
      <c r="A10" s="29" t="inlineStr">
        <is>
          <t>Migration tooling</t>
        </is>
      </c>
      <c r="B10" s="30" t="n">
        <v>0.1</v>
      </c>
      <c r="C10" s="31" t="n"/>
      <c r="D10" s="31" t="n"/>
      <c r="E10" s="31" t="n"/>
      <c r="F10" s="31" t="n"/>
    </row>
    <row r="11" ht="15" customHeight="1" s="18">
      <c r="A11" s="29" t="inlineStr">
        <is>
          <t>Container/K8s support</t>
        </is>
      </c>
      <c r="B11" s="30" t="n">
        <v>0.1</v>
      </c>
      <c r="C11" s="31" t="n"/>
      <c r="D11" s="31" t="n"/>
      <c r="E11" s="31" t="n"/>
      <c r="F11" s="31" t="n"/>
    </row>
    <row r="12" ht="15" customHeight="1" s="18">
      <c r="A12" s="29" t="inlineStr">
        <is>
          <t>AI/ML services</t>
        </is>
      </c>
      <c r="B12" s="30" t="n">
        <v>0.1</v>
      </c>
      <c r="C12" s="31" t="n"/>
      <c r="D12" s="31" t="n"/>
      <c r="E12" s="31" t="n"/>
      <c r="F12" s="31" t="n"/>
    </row>
    <row r="13" ht="15" customHeight="1" s="18">
      <c r="A13" s="29" t="inlineStr">
        <is>
          <t>Security services</t>
        </is>
      </c>
      <c r="B13" s="30" t="n">
        <v>0.1</v>
      </c>
      <c r="C13" s="31" t="n"/>
      <c r="D13" s="31" t="n"/>
      <c r="E13" s="31" t="n"/>
      <c r="F13" s="31" t="n"/>
    </row>
    <row r="14" ht="15" customHeight="1" s="18">
      <c r="A14" s="29" t="inlineStr">
        <is>
          <t>Regional availability</t>
        </is>
      </c>
      <c r="B14" s="30" t="n">
        <v>0.1</v>
      </c>
      <c r="C14" s="31" t="n"/>
      <c r="D14" s="31" t="n"/>
      <c r="E14" s="31" t="n"/>
      <c r="F14" s="31" t="n"/>
    </row>
    <row r="15" ht="15" customHeight="1" s="18">
      <c r="A15" s="32" t="inlineStr">
        <is>
          <t>Technical Score</t>
        </is>
      </c>
      <c r="B15" s="33">
        <f>SUM(B6:B14)</f>
        <v/>
      </c>
      <c r="C15" s="34">
        <f>IFERROR(SUMPRODUCT(B6:B14,C6:C14),0)</f>
        <v/>
      </c>
      <c r="D15" s="34">
        <f>IFERROR(SUMPRODUCT(B6:B14,D6:D14),0)</f>
        <v/>
      </c>
      <c r="E15" s="34">
        <f>IFERROR(SUMPRODUCT(B6:B14,E6:E14),0)</f>
        <v/>
      </c>
      <c r="F15" s="32" t="n"/>
    </row>
    <row r="17" ht="24" customHeight="1" s="18">
      <c r="A17" s="27" t="inlineStr">
        <is>
          <t>Section 2 — Financial Comparison</t>
        </is>
      </c>
    </row>
    <row r="18" ht="30" customHeight="1" s="18">
      <c r="A18" s="28" t="inlineStr">
        <is>
          <t>Criterion</t>
        </is>
      </c>
      <c r="B18" s="28" t="inlineStr">
        <is>
          <t>Weight</t>
        </is>
      </c>
      <c r="C18" s="28" t="inlineStr">
        <is>
          <t>AWS (£)</t>
        </is>
      </c>
      <c r="D18" s="28" t="inlineStr">
        <is>
          <t>Azure (£)</t>
        </is>
      </c>
      <c r="E18" s="28" t="inlineStr">
        <is>
          <t>GCP (£)</t>
        </is>
      </c>
      <c r="F18" s="28" t="inlineStr">
        <is>
          <t>Notes</t>
        </is>
      </c>
    </row>
    <row r="19" ht="15" customHeight="1" s="18">
      <c r="A19" s="29" t="inlineStr">
        <is>
          <t>Monthly run-rate (PAYG)</t>
        </is>
      </c>
      <c r="B19" s="30" t="n">
        <v>0.15</v>
      </c>
      <c r="C19" s="35" t="n"/>
      <c r="D19" s="35" t="n"/>
      <c r="E19" s="35" t="n"/>
      <c r="F19" s="31" t="n"/>
    </row>
    <row r="20" ht="15" customHeight="1" s="18">
      <c r="A20" s="29" t="inlineStr">
        <is>
          <t>Monthly run-rate (committed)</t>
        </is>
      </c>
      <c r="B20" s="30" t="n">
        <v>0.2</v>
      </c>
      <c r="C20" s="35" t="n"/>
      <c r="D20" s="35" t="n"/>
      <c r="E20" s="35" t="n"/>
      <c r="F20" s="31" t="n"/>
    </row>
    <row r="21" ht="15" customHeight="1" s="18">
      <c r="A21" s="29" t="inlineStr">
        <is>
          <t>Migration cost</t>
        </is>
      </c>
      <c r="B21" s="30" t="n">
        <v>0.15</v>
      </c>
      <c r="C21" s="35" t="n"/>
      <c r="D21" s="35" t="n"/>
      <c r="E21" s="35" t="n"/>
      <c r="F21" s="31" t="n"/>
    </row>
    <row r="22" ht="15" customHeight="1" s="18">
      <c r="A22" s="29" t="inlineStr">
        <is>
          <t>3-Year TCO</t>
        </is>
      </c>
      <c r="B22" s="30" t="n">
        <v>0.3</v>
      </c>
      <c r="C22" s="35" t="n"/>
      <c r="D22" s="35" t="n"/>
      <c r="E22" s="35" t="n"/>
      <c r="F22" s="31" t="n"/>
    </row>
    <row r="23" ht="15" customHeight="1" s="18">
      <c r="A23" s="36" t="inlineStr">
        <is>
          <t>Licensing optimization (savings)</t>
        </is>
      </c>
      <c r="B23" s="30" t="n">
        <v>0.1</v>
      </c>
      <c r="C23" s="35" t="n"/>
      <c r="D23" s="35" t="n"/>
      <c r="E23" s="35" t="n"/>
      <c r="F23" s="31" t="n"/>
    </row>
    <row r="24" ht="15" customHeight="1" s="18">
      <c r="A24" s="29" t="inlineStr">
        <is>
          <t>Support cost</t>
        </is>
      </c>
      <c r="B24" s="30" t="n">
        <v>0.1</v>
      </c>
      <c r="C24" s="35" t="n"/>
      <c r="D24" s="35" t="n"/>
      <c r="E24" s="35" t="n"/>
      <c r="F24" s="31" t="n"/>
    </row>
    <row r="25" ht="23.85" customHeight="1" s="18">
      <c r="A25" s="37" t="inlineStr">
        <is>
          <t>Financial Score (0-100, lower cost = higher score)</t>
        </is>
      </c>
      <c r="B25" s="33">
        <f>SUM(B19:B24)</f>
        <v/>
      </c>
      <c r="C25" s="34">
        <f>IFERROR(MIN(SUMPRODUCT(B19:B24,C19:C24),SUMPRODUCT(B19:B24,D19:D24),SUMPRODUCT(B19:B24,E19:E24))/SUMPRODUCT(B19:B24,C19:C24)*100,0)</f>
        <v/>
      </c>
      <c r="D25" s="34">
        <f>IFERROR(MIN(SUMPRODUCT(B19:B24,C19:C24),SUMPRODUCT(B19:B24,D19:D24),SUMPRODUCT(B19:B24,E19:E24))/SUMPRODUCT(B19:B24,D19:D24)*100,0)</f>
        <v/>
      </c>
      <c r="E25" s="34">
        <f>IFERROR(MIN(SUMPRODUCT(B19:B24,C19:C24),SUMPRODUCT(B19:B24,D19:D24),SUMPRODUCT(B19:B24,E19:E24))/SUMPRODUCT(B19:B24,E19:E24)*100,0)</f>
        <v/>
      </c>
      <c r="F25" s="37" t="inlineStr">
        <is>
          <t>Auto-calc: 100 if lowest, scaled otherwise</t>
        </is>
      </c>
    </row>
    <row r="27" ht="24" customHeight="1" s="18">
      <c r="A27" s="27" t="inlineStr">
        <is>
          <t>Section 3 — Organizational Comparison</t>
        </is>
      </c>
    </row>
    <row r="28" ht="30" customHeight="1" s="18">
      <c r="A28" s="28" t="inlineStr">
        <is>
          <t>Criterion</t>
        </is>
      </c>
      <c r="B28" s="28" t="inlineStr">
        <is>
          <t>Weight</t>
        </is>
      </c>
      <c r="C28" s="28" t="inlineStr">
        <is>
          <t>AWS Score</t>
        </is>
      </c>
      <c r="D28" s="28" t="inlineStr">
        <is>
          <t>Azure Score</t>
        </is>
      </c>
      <c r="E28" s="28" t="inlineStr">
        <is>
          <t>GCP Score</t>
        </is>
      </c>
      <c r="F28" s="28" t="inlineStr">
        <is>
          <t>Notes</t>
        </is>
      </c>
    </row>
    <row r="29" ht="15" customHeight="1" s="18">
      <c r="A29" s="29" t="inlineStr">
        <is>
          <t>Existing cloud investment</t>
        </is>
      </c>
      <c r="B29" s="30" t="n">
        <v>0.2</v>
      </c>
      <c r="C29" s="31" t="n"/>
      <c r="D29" s="31" t="n"/>
      <c r="E29" s="31" t="n"/>
      <c r="F29" s="31" t="n"/>
    </row>
    <row r="30" ht="15" customHeight="1" s="18">
      <c r="A30" s="29" t="inlineStr">
        <is>
          <t>Team expertise/skills</t>
        </is>
      </c>
      <c r="B30" s="30" t="n">
        <v>0.2</v>
      </c>
      <c r="C30" s="31" t="n"/>
      <c r="D30" s="31" t="n"/>
      <c r="E30" s="31" t="n"/>
      <c r="F30" s="31" t="n"/>
    </row>
    <row r="31" ht="15" customHeight="1" s="18">
      <c r="A31" s="29" t="inlineStr">
        <is>
          <t>Vendor relationship</t>
        </is>
      </c>
      <c r="B31" s="30" t="n">
        <v>0.15</v>
      </c>
      <c r="C31" s="31" t="n"/>
      <c r="D31" s="31" t="n"/>
      <c r="E31" s="31" t="n"/>
      <c r="F31" s="31" t="n"/>
    </row>
    <row r="32" ht="15" customHeight="1" s="18">
      <c r="A32" s="29" t="inlineStr">
        <is>
          <t>Training availability</t>
        </is>
      </c>
      <c r="B32" s="30" t="n">
        <v>0.1</v>
      </c>
      <c r="C32" s="31" t="n"/>
      <c r="D32" s="31" t="n"/>
      <c r="E32" s="31" t="n"/>
      <c r="F32" s="31" t="n"/>
    </row>
    <row r="33" ht="15" customHeight="1" s="18">
      <c r="A33" s="29" t="inlineStr">
        <is>
          <t>Partner ecosystem</t>
        </is>
      </c>
      <c r="B33" s="30" t="n">
        <v>0.1</v>
      </c>
      <c r="C33" s="31" t="n"/>
      <c r="D33" s="31" t="n"/>
      <c r="E33" s="31" t="n"/>
      <c r="F33" s="31" t="n"/>
    </row>
    <row r="34" ht="15" customHeight="1" s="18">
      <c r="A34" s="29" t="inlineStr">
        <is>
          <t>Enterprise agreement</t>
        </is>
      </c>
      <c r="B34" s="30" t="n">
        <v>0.15</v>
      </c>
      <c r="C34" s="31" t="n"/>
      <c r="D34" s="31" t="n"/>
      <c r="E34" s="31" t="n"/>
      <c r="F34" s="31" t="n"/>
    </row>
    <row r="35" ht="15" customHeight="1" s="18">
      <c r="A35" s="29" t="inlineStr">
        <is>
          <t>Strategic alignment</t>
        </is>
      </c>
      <c r="B35" s="30" t="n">
        <v>0.1</v>
      </c>
      <c r="C35" s="31" t="n"/>
      <c r="D35" s="31" t="n"/>
      <c r="E35" s="31" t="n"/>
      <c r="F35" s="31" t="n"/>
    </row>
    <row r="36" ht="15" customHeight="1" s="18">
      <c r="A36" s="32" t="inlineStr">
        <is>
          <t>Organizational Score</t>
        </is>
      </c>
      <c r="B36" s="33">
        <f>SUM(B29:B35)</f>
        <v/>
      </c>
      <c r="C36" s="34">
        <f>IFERROR(SUMPRODUCT(B29:B35,C29:C35),0)</f>
        <v/>
      </c>
      <c r="D36" s="34">
        <f>IFERROR(SUMPRODUCT(B29:B35,D29:D35),0)</f>
        <v/>
      </c>
      <c r="E36" s="34">
        <f>IFERROR(SUMPRODUCT(B29:B35,E29:E35),0)</f>
        <v/>
      </c>
      <c r="F36" s="32" t="n"/>
    </row>
    <row r="38" ht="24" customHeight="1" s="18">
      <c r="A38" s="27" t="inlineStr">
        <is>
          <t>Section 4 — Compliance &amp; Risk Comparison</t>
        </is>
      </c>
    </row>
    <row r="39" ht="30" customHeight="1" s="18">
      <c r="A39" s="28" t="inlineStr">
        <is>
          <t>Criterion</t>
        </is>
      </c>
      <c r="B39" s="28" t="inlineStr">
        <is>
          <t>Required</t>
        </is>
      </c>
      <c r="C39" s="28" t="inlineStr">
        <is>
          <t>AWS</t>
        </is>
      </c>
      <c r="D39" s="28" t="inlineStr">
        <is>
          <t>Azure</t>
        </is>
      </c>
      <c r="E39" s="28" t="inlineStr">
        <is>
          <t>GCP</t>
        </is>
      </c>
      <c r="F39" s="28" t="inlineStr">
        <is>
          <t>Notes</t>
        </is>
      </c>
    </row>
    <row r="40" ht="15" customHeight="1" s="18">
      <c r="A40" s="29" t="inlineStr">
        <is>
          <t>SOC 2 Type II</t>
        </is>
      </c>
      <c r="B40" s="31" t="n"/>
      <c r="C40" s="31" t="n"/>
      <c r="D40" s="31" t="n"/>
      <c r="E40" s="31" t="n"/>
      <c r="F40" s="31" t="n"/>
    </row>
    <row r="41" ht="15" customHeight="1" s="18">
      <c r="A41" s="29" t="inlineStr">
        <is>
          <t>ISO 27001</t>
        </is>
      </c>
      <c r="B41" s="31" t="n"/>
      <c r="C41" s="31" t="n"/>
      <c r="D41" s="31" t="n"/>
      <c r="E41" s="31" t="n"/>
      <c r="F41" s="31" t="n"/>
    </row>
    <row r="42" ht="15" customHeight="1" s="18">
      <c r="A42" s="29" t="inlineStr">
        <is>
          <t>PCI DSS</t>
        </is>
      </c>
      <c r="B42" s="31" t="n"/>
      <c r="C42" s="31" t="n"/>
      <c r="D42" s="31" t="n"/>
      <c r="E42" s="31" t="n"/>
      <c r="F42" s="31" t="n"/>
    </row>
    <row r="43" ht="15" customHeight="1" s="18">
      <c r="A43" s="29" t="inlineStr">
        <is>
          <t>HIPAA</t>
        </is>
      </c>
      <c r="B43" s="31" t="n"/>
      <c r="C43" s="31" t="n"/>
      <c r="D43" s="31" t="n"/>
      <c r="E43" s="31" t="n"/>
      <c r="F43" s="31" t="n"/>
    </row>
    <row r="44" ht="15" customHeight="1" s="18">
      <c r="A44" s="29" t="inlineStr">
        <is>
          <t>GDPR</t>
        </is>
      </c>
      <c r="B44" s="31" t="n"/>
      <c r="C44" s="31" t="n"/>
      <c r="D44" s="31" t="n"/>
      <c r="E44" s="31" t="n"/>
      <c r="F44" s="31" t="n"/>
    </row>
    <row r="45" ht="15" customHeight="1" s="18">
      <c r="A45" s="29" t="inlineStr">
        <is>
          <t>UK G-Cloud</t>
        </is>
      </c>
      <c r="B45" s="31" t="n"/>
      <c r="C45" s="31" t="n"/>
      <c r="D45" s="31" t="n"/>
      <c r="E45" s="31" t="n"/>
      <c r="F45" s="31" t="n"/>
    </row>
    <row r="46" ht="15" customHeight="1" s="18">
      <c r="A46" s="36" t="inlineStr">
        <is>
          <t>Data residency (required regions)</t>
        </is>
      </c>
      <c r="B46" s="31" t="n"/>
      <c r="C46" s="31" t="n"/>
      <c r="D46" s="31" t="n"/>
      <c r="E46" s="31" t="n"/>
      <c r="F46" s="31" t="n"/>
    </row>
    <row r="47" ht="23.85" customHeight="1" s="18">
      <c r="A47" s="32" t="inlineStr">
        <is>
          <t>Compliance Score</t>
        </is>
      </c>
      <c r="B47" s="32" t="n"/>
      <c r="C47" s="34">
        <f>IFERROR(COUNTIFS(B40:B46,"Yes",C40:C46,"Yes")/COUNTIF(B40:B46,"Yes")*100,0)</f>
        <v/>
      </c>
      <c r="D47" s="34">
        <f>IFERROR(COUNTIFS(B40:B46,"Yes",D40:D46,"Yes")/COUNTIF(B40:B46,"Yes")*100,0)</f>
        <v/>
      </c>
      <c r="E47" s="34">
        <f>IFERROR(COUNTIFS(B40:B46,"Yes",E40:E46,"Yes")/COUNTIF(B40:B46,"Yes")*100,0)</f>
        <v/>
      </c>
      <c r="F47" s="37" t="inlineStr">
        <is>
          <t>Score = % of required items met</t>
        </is>
      </c>
    </row>
    <row r="49" ht="24" customHeight="1" s="18">
      <c r="A49" s="27" t="inlineStr">
        <is>
          <t>Section 5 — Overall Decision Matrix</t>
        </is>
      </c>
    </row>
    <row r="50" ht="30" customHeight="1" s="18">
      <c r="A50" s="28" t="inlineStr">
        <is>
          <t>Category</t>
        </is>
      </c>
      <c r="B50" s="28" t="inlineStr">
        <is>
          <t>Weight</t>
        </is>
      </c>
      <c r="C50" s="28" t="inlineStr">
        <is>
          <t>AWS</t>
        </is>
      </c>
      <c r="D50" s="28" t="inlineStr">
        <is>
          <t>Azure</t>
        </is>
      </c>
      <c r="E50" s="28" t="inlineStr">
        <is>
          <t>GCP</t>
        </is>
      </c>
      <c r="F50" s="28" t="inlineStr">
        <is>
          <t>Notes</t>
        </is>
      </c>
    </row>
    <row r="51" ht="15" customHeight="1" s="18">
      <c r="A51" s="29" t="inlineStr">
        <is>
          <t>Technical Fit</t>
        </is>
      </c>
      <c r="B51" s="30" t="n">
        <v>0.35</v>
      </c>
      <c r="C51" s="38">
        <f>C15</f>
        <v/>
      </c>
      <c r="D51" s="38">
        <f>D15</f>
        <v/>
      </c>
      <c r="E51" s="38">
        <f>E15</f>
        <v/>
      </c>
      <c r="F51" s="29" t="n"/>
    </row>
    <row r="52" ht="15" customHeight="1" s="18">
      <c r="A52" s="29" t="inlineStr">
        <is>
          <t>Financial Fit</t>
        </is>
      </c>
      <c r="B52" s="30" t="n">
        <v>0.3</v>
      </c>
      <c r="C52" s="38">
        <f>C25</f>
        <v/>
      </c>
      <c r="D52" s="38">
        <f>D25</f>
        <v/>
      </c>
      <c r="E52" s="38">
        <f>E25</f>
        <v/>
      </c>
      <c r="F52" s="29" t="n"/>
    </row>
    <row r="53" ht="15" customHeight="1" s="18">
      <c r="A53" s="29" t="inlineStr">
        <is>
          <t>Organizational Fit</t>
        </is>
      </c>
      <c r="B53" s="30" t="n">
        <v>0.2</v>
      </c>
      <c r="C53" s="38">
        <f>C36</f>
        <v/>
      </c>
      <c r="D53" s="38">
        <f>D36</f>
        <v/>
      </c>
      <c r="E53" s="38">
        <f>E36</f>
        <v/>
      </c>
      <c r="F53" s="29" t="n"/>
    </row>
    <row r="54" ht="15" customHeight="1" s="18">
      <c r="A54" s="29" t="inlineStr">
        <is>
          <t>Compliance Fit</t>
        </is>
      </c>
      <c r="B54" s="30" t="n">
        <v>0.15</v>
      </c>
      <c r="C54" s="38">
        <f>C47</f>
        <v/>
      </c>
      <c r="D54" s="38">
        <f>D47</f>
        <v/>
      </c>
      <c r="E54" s="38">
        <f>E47</f>
        <v/>
      </c>
      <c r="F54" s="29" t="n"/>
    </row>
    <row r="55" ht="15" customHeight="1" s="18">
      <c r="A55" s="32" t="inlineStr">
        <is>
          <t>Overall Score</t>
        </is>
      </c>
      <c r="B55" s="33">
        <f>SUM(B51:B54)</f>
        <v/>
      </c>
      <c r="C55" s="39">
        <f>IFERROR(SUMPRODUCT(B51:B54,C51:C54),0)</f>
        <v/>
      </c>
      <c r="D55" s="39">
        <f>IFERROR(SUMPRODUCT(B51:B54,D51:D54),0)</f>
        <v/>
      </c>
      <c r="E55" s="39">
        <f>IFERROR(SUMPRODUCT(B51:B54,E51:E54),0)</f>
        <v/>
      </c>
      <c r="F55" s="32" t="n"/>
    </row>
    <row r="57" ht="24" customHeight="1" s="18">
      <c r="A57" s="27" t="inlineStr">
        <is>
          <t>Section 6 — Recommendation</t>
        </is>
      </c>
    </row>
    <row r="58" ht="30" customHeight="1" s="18">
      <c r="A58" s="28" t="inlineStr">
        <is>
          <t>Field</t>
        </is>
      </c>
      <c r="B58" s="28" t="inlineStr">
        <is>
          <t>Selection</t>
        </is>
      </c>
      <c r="C58" s="28" t="n"/>
      <c r="D58" s="28" t="n"/>
      <c r="E58" s="28" t="n"/>
      <c r="F58" s="28" t="inlineStr">
        <is>
          <t>Notes</t>
        </is>
      </c>
    </row>
    <row r="59" ht="15" customHeight="1" s="18">
      <c r="A59" s="29" t="inlineStr">
        <is>
          <t>Primary Recommendation</t>
        </is>
      </c>
      <c r="B59" s="29" t="n"/>
      <c r="C59" s="29" t="n"/>
      <c r="D59" s="29" t="n"/>
      <c r="E59" s="29" t="n"/>
      <c r="F59" s="29" t="n"/>
    </row>
    <row r="60" ht="15" customHeight="1" s="18">
      <c r="A60" s="29" t="inlineStr">
        <is>
          <t>Secondary / Hybrid</t>
        </is>
      </c>
      <c r="B60" s="29" t="n"/>
      <c r="C60" s="29" t="n"/>
      <c r="D60" s="29" t="n"/>
      <c r="E60" s="29" t="n"/>
      <c r="F60" s="29" t="n"/>
    </row>
    <row r="61" ht="15" customHeight="1" s="18">
      <c r="A61" s="29" t="inlineStr">
        <is>
          <t>Rationale</t>
        </is>
      </c>
      <c r="B61" s="31" t="n"/>
      <c r="C61" s="31" t="n"/>
      <c r="D61" s="31" t="n"/>
      <c r="E61" s="31" t="n"/>
      <c r="F61" s="31" t="n"/>
    </row>
    <row r="63" ht="19.5" customHeight="1" s="18">
      <c r="A63" s="40" t="inlineStr">
        <is>
          <t>Multi-Cloud Scenario (if applicable)</t>
        </is>
      </c>
    </row>
    <row r="64" ht="30" customHeight="1" s="18">
      <c r="A64" s="28" t="inlineStr">
        <is>
          <t>Workload Type</t>
        </is>
      </c>
      <c r="B64" s="28" t="inlineStr">
        <is>
          <t>Recommended Platform</t>
        </is>
      </c>
      <c r="C64" s="28" t="inlineStr">
        <is>
          <t>Rationale</t>
        </is>
      </c>
      <c r="D64" s="28" t="inlineStr">
        <is>
          <t>Owner</t>
        </is>
      </c>
      <c r="E64" s="28" t="inlineStr">
        <is>
          <t>Migration Wave</t>
        </is>
      </c>
      <c r="F64" s="28" t="inlineStr">
        <is>
          <t>Notes</t>
        </is>
      </c>
    </row>
    <row r="65" ht="15" customHeight="1" s="18">
      <c r="A65" s="31" t="n"/>
      <c r="B65" s="31" t="n"/>
      <c r="C65" s="31" t="n"/>
      <c r="D65" s="31" t="n"/>
      <c r="E65" s="31" t="n"/>
      <c r="F65" s="31" t="n"/>
    </row>
    <row r="66" ht="15" customHeight="1" s="18">
      <c r="A66" s="31" t="n"/>
      <c r="B66" s="31" t="n"/>
      <c r="C66" s="31" t="n"/>
      <c r="D66" s="31" t="n"/>
      <c r="E66" s="31" t="n"/>
      <c r="F66" s="31" t="n"/>
    </row>
    <row r="67" ht="15" customHeight="1" s="18">
      <c r="A67" s="31" t="n"/>
      <c r="B67" s="31" t="n"/>
      <c r="C67" s="31" t="n"/>
      <c r="D67" s="31" t="n"/>
      <c r="E67" s="31" t="n"/>
      <c r="F67" s="31" t="n"/>
    </row>
    <row r="68" ht="15" customHeight="1" s="18">
      <c r="A68" s="31" t="n"/>
      <c r="B68" s="31" t="n"/>
      <c r="C68" s="31" t="n"/>
      <c r="D68" s="31" t="n"/>
      <c r="E68" s="31" t="n"/>
      <c r="F68" s="31" t="n"/>
    </row>
    <row r="69" ht="15" customHeight="1" s="18">
      <c r="A69" s="31" t="n"/>
      <c r="B69" s="31" t="n"/>
      <c r="C69" s="31" t="n"/>
      <c r="D69" s="31" t="n"/>
      <c r="E69" s="31" t="n"/>
      <c r="F69" s="31" t="n"/>
    </row>
    <row r="70" ht="15" customHeight="1" s="18">
      <c r="A70" s="31" t="n"/>
      <c r="B70" s="31" t="n"/>
      <c r="C70" s="31" t="n"/>
      <c r="D70" s="31" t="n"/>
      <c r="E70" s="31" t="n"/>
      <c r="F70" s="31" t="n"/>
    </row>
    <row r="72" ht="15" customHeight="1" s="18">
      <c r="A72" s="41" t="inlineStr">
        <is>
          <t>Template Version 1.0 — Cloud Readiness Accelerator Framework</t>
        </is>
      </c>
    </row>
  </sheetData>
  <mergeCells count="10">
    <mergeCell ref="A38:F38"/>
    <mergeCell ref="A2:F2"/>
    <mergeCell ref="A49:F49"/>
    <mergeCell ref="A63:F63"/>
    <mergeCell ref="A1:F1"/>
    <mergeCell ref="A27:F27"/>
    <mergeCell ref="A17:F17"/>
    <mergeCell ref="A4:F4"/>
    <mergeCell ref="A72:F72"/>
    <mergeCell ref="A57:F57"/>
  </mergeCells>
  <dataValidations count="7">
    <dataValidation sqref="C6:E14" showDropDown="0" showInputMessage="0" showErrorMessage="0" allowBlank="1" errorTitle="Invalid score" error="Enter a whole number between 0 and 100" type="whole" errorStyle="stop" operator="between">
      <formula1>0</formula1>
      <formula2>100</formula2>
    </dataValidation>
    <dataValidation sqref="C29:E35" showDropDown="0" showInputMessage="0" showErrorMessage="0" allowBlank="1" errorTitle="Invalid score" error="Enter a whole number between 0 and 100" type="whole" errorStyle="stop" operator="between">
      <formula1>0</formula1>
      <formula2>100</formula2>
    </dataValidation>
    <dataValidation sqref="B40:B46" showDropDown="0" showInputMessage="0" showErrorMessage="0" allowBlank="1" type="list" errorStyle="stop" operator="between">
      <formula1>"Yes,No,N/A"</formula1>
      <formula2>0</formula2>
    </dataValidation>
    <dataValidation sqref="C40:E46" showDropDown="0" showInputMessage="0" showErrorMessage="0" allowBlank="1" type="list" errorStyle="stop" operator="between">
      <formula1>"Yes,No,Met,Not Met"</formula1>
      <formula2>0</formula2>
    </dataValidation>
    <dataValidation sqref="B59" showDropDown="0" showInputMessage="0" showErrorMessage="0" allowBlank="1" type="list" errorStyle="stop" operator="between">
      <formula1>"AWS,Azure,GCP"</formula1>
      <formula2>0</formula2>
    </dataValidation>
    <dataValidation sqref="B60" showDropDown="0" showInputMessage="0" showErrorMessage="0" allowBlank="1" type="list" errorStyle="stop" operator="between">
      <formula1>"Multi-cloud,Hybrid,Single cloud"</formula1>
      <formula2>0</formula2>
    </dataValidation>
    <dataValidation sqref="B65:B70" showDropDown="0" showInputMessage="0" showErrorMessage="0" allowBlank="1" type="list" errorStyle="stop" operator="between">
      <formula1>"AWS,Azure,GCP"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5" customWidth="1" style="18" min="1" max="1"/>
    <col width="32" customWidth="1" style="18" min="2" max="2"/>
    <col width="58" customWidth="1" style="18" min="3" max="3"/>
    <col width="14" customWidth="1" style="18" min="4" max="4"/>
    <col width="40" customWidth="1" style="18" min="5" max="5"/>
  </cols>
  <sheetData>
    <row r="1" ht="24" customHeight="1" s="18">
      <c r="A1" s="19" t="inlineStr">
        <is>
          <t>CRITERIA &amp; WEIGHTS -- Agree with customer BEFORE scoring begins</t>
        </is>
      </c>
    </row>
    <row r="2" ht="20" customHeight="1" s="18">
      <c r="A2" s="20" t="inlineStr">
        <is>
          <t>Edit the Weight % column to reflect customer-agreed weightings. Total must equal 100%.</t>
        </is>
      </c>
    </row>
    <row r="3">
      <c r="A3" s="42" t="inlineStr">
        <is>
          <t>#</t>
        </is>
      </c>
      <c r="B3" s="42" t="inlineStr">
        <is>
          <t>Criterion</t>
        </is>
      </c>
      <c r="C3" s="42" t="inlineStr">
        <is>
          <t>Description</t>
        </is>
      </c>
      <c r="D3" s="42" t="inlineStr">
        <is>
          <t>Weight %</t>
        </is>
      </c>
      <c r="E3" s="42" t="inlineStr">
        <is>
          <t>Notes</t>
        </is>
      </c>
    </row>
    <row r="4">
      <c r="A4" s="43" t="n">
        <v>1</v>
      </c>
      <c r="B4" s="44" t="inlineStr">
        <is>
          <t>Total Cost of Ownership (3yr)</t>
        </is>
      </c>
      <c r="C4" s="45" t="inlineStr">
        <is>
          <t>L4L and optimised scenarios across all tiers. Include Year 1 dual-running and partner credits.</t>
        </is>
      </c>
      <c r="D4" s="43" t="inlineStr">
        <is>
          <t>30%</t>
        </is>
      </c>
      <c r="E4" s="46" t="inlineStr">
        <is>
          <t>Highest weight -- customers care most about cost</t>
        </is>
      </c>
    </row>
    <row r="5">
      <c r="A5" s="47" t="n">
        <v>2</v>
      </c>
      <c r="B5" s="21" t="inlineStr">
        <is>
          <t>Licensing Advantage</t>
        </is>
      </c>
      <c r="C5" s="48" t="inlineStr">
        <is>
          <t>AHB / BYOL / SA portability; SQL Server, Windows Server, Oracle BYOL options.</t>
        </is>
      </c>
      <c r="D5" s="47" t="inlineStr">
        <is>
          <t>20%</t>
        </is>
      </c>
      <c r="E5" s="49" t="inlineStr">
        <is>
          <t>High impact for Microsoft-heavy estates (Windows/SQL)</t>
        </is>
      </c>
    </row>
    <row r="6">
      <c r="A6" s="43" t="n">
        <v>3</v>
      </c>
      <c r="B6" s="44" t="inlineStr">
        <is>
          <t>Technical Fit</t>
        </is>
      </c>
      <c r="C6" s="45" t="inlineStr">
        <is>
          <t>Workload type compatibility; managed services availability; GPU / HPC / storage options.</t>
        </is>
      </c>
      <c r="D6" s="43" t="inlineStr">
        <is>
          <t>15%</t>
        </is>
      </c>
      <c r="E6" s="46" t="inlineStr">
        <is>
          <t>Consider .NET, Oracle, Linux, container workloads</t>
        </is>
      </c>
    </row>
    <row r="7">
      <c r="A7" s="47" t="n">
        <v>4</v>
      </c>
      <c r="B7" s="21" t="inlineStr">
        <is>
          <t>Regulatory &amp; Compliance</t>
        </is>
      </c>
      <c r="C7" s="48" t="inlineStr">
        <is>
          <t>Certifications (ISO 27001, SOC 2, FCA, GDPR); data residency; UK region footprint.</t>
        </is>
      </c>
      <c r="D7" s="47" t="inlineStr">
        <is>
          <t>15%</t>
        </is>
      </c>
      <c r="E7" s="49" t="inlineStr">
        <is>
          <t>Critical for regulated sectors (media, finance, health)</t>
        </is>
      </c>
    </row>
    <row r="8">
      <c r="A8" s="43" t="n">
        <v>5</v>
      </c>
      <c r="B8" s="44" t="inlineStr">
        <is>
          <t>Partner Commercial (AMM/MAP/PSO)</t>
        </is>
      </c>
      <c r="C8" s="45" t="inlineStr">
        <is>
          <t>Funded programme eligibility; estimated credit value; deal registration status.</t>
        </is>
      </c>
      <c r="D8" s="43" t="inlineStr">
        <is>
          <t>10%</t>
        </is>
      </c>
      <c r="E8" s="46" t="inlineStr">
        <is>
          <t>Rackspace differentiator -- must be quantified</t>
        </is>
      </c>
    </row>
    <row r="9">
      <c r="A9" s="47" t="n">
        <v>6</v>
      </c>
      <c r="B9" s="21" t="inlineStr">
        <is>
          <t>Strategic Alignment</t>
        </is>
      </c>
      <c r="C9" s="48" t="inlineStr">
        <is>
          <t>Existing enterprise agreements; roadmap alignment; executive relationships; support contracts.</t>
        </is>
      </c>
      <c r="D9" s="47" t="inlineStr">
        <is>
          <t>10%</t>
        </is>
      </c>
      <c r="E9" s="49" t="inlineStr">
        <is>
          <t>EA and Unified Support carry weight for enterprise customers</t>
        </is>
      </c>
    </row>
    <row r="10">
      <c r="A10" s="50" t="inlineStr"/>
      <c r="B10" s="51" t="inlineStr">
        <is>
          <t>TOTAL</t>
        </is>
      </c>
      <c r="C10" s="50" t="inlineStr"/>
      <c r="D10" s="52" t="inlineStr">
        <is>
          <t>100%</t>
        </is>
      </c>
      <c r="E10" s="50" t="inlineStr">
        <is>
          <t>Must equal 100% before scoring begins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style="18" min="1" max="1"/>
    <col width="10" customWidth="1" style="18" min="2" max="2"/>
    <col width="10" customWidth="1" style="18" min="3" max="3"/>
    <col width="58" customWidth="1" style="18" min="4" max="4"/>
    <col width="38" customWidth="1" style="18" min="5" max="5"/>
    <col width="16" customWidth="1" style="18" min="6" max="6"/>
  </cols>
  <sheetData>
    <row r="1" ht="24" customHeight="1" s="18">
      <c r="A1" s="53" t="inlineStr">
        <is>
          <t>AZURE SCORING -- Evidence-backed scoring</t>
        </is>
      </c>
    </row>
    <row r="2">
      <c r="A2" s="20" t="inlineStr">
        <is>
          <t>Score = Lead Architect assessment (1-10). Evidence MUST be specific -- cite tab, date, or source.</t>
        </is>
      </c>
    </row>
    <row r="3">
      <c r="A3" s="54" t="inlineStr">
        <is>
          <t>Criterion</t>
        </is>
      </c>
      <c r="B3" s="54" t="inlineStr">
        <is>
          <t>Weight %</t>
        </is>
      </c>
      <c r="C3" s="54" t="inlineStr">
        <is>
          <t>Score (1-10)</t>
        </is>
      </c>
      <c r="D3" s="54" t="inlineStr">
        <is>
          <t>Evidence (specific data point)</t>
        </is>
      </c>
      <c r="E3" s="54" t="inlineStr">
        <is>
          <t>Source</t>
        </is>
      </c>
      <c r="F3" s="54" t="inlineStr">
        <is>
          <t>Weighted Score</t>
        </is>
      </c>
    </row>
    <row r="4">
      <c r="A4" s="44" t="inlineStr">
        <is>
          <t>Total Cost of Ownership (3yr)</t>
        </is>
      </c>
      <c r="B4" s="43" t="inlineStr">
        <is>
          <t>30%</t>
        </is>
      </c>
      <c r="C4" s="55" t="inlineStr">
        <is>
          <t>[0-10]</t>
        </is>
      </c>
      <c r="D4" s="56" t="inlineStr">
        <is>
          <t>[Enter specific evidence -- e.g. 'Azure 3yr RI: 39% saving vs on-prem -- TCO tab']</t>
        </is>
      </c>
      <c r="E4" s="56" t="inlineStr">
        <is>
          <t>[TCO tab / interview / public doc]</t>
        </is>
      </c>
      <c r="F4" s="47">
        <f>VALUE(LEFT(B4,LEN(B4)-1))/100*C4</f>
        <v/>
      </c>
    </row>
    <row r="5">
      <c r="A5" s="21" t="inlineStr">
        <is>
          <t>Licensing Advantage</t>
        </is>
      </c>
      <c r="B5" s="47" t="inlineStr">
        <is>
          <t>20%</t>
        </is>
      </c>
      <c r="C5" s="55" t="inlineStr">
        <is>
          <t>[0-10]</t>
        </is>
      </c>
      <c r="D5" s="56" t="inlineStr">
        <is>
          <t>[Enter specific evidence -- e.g. 'Azure 3yr RI: 39% saving vs on-prem -- TCO tab']</t>
        </is>
      </c>
      <c r="E5" s="56" t="inlineStr">
        <is>
          <t>[TCO tab / interview / public doc]</t>
        </is>
      </c>
      <c r="F5" s="47">
        <f>VALUE(LEFT(B5,LEN(B5)-1))/100*C5</f>
        <v/>
      </c>
    </row>
    <row r="6">
      <c r="A6" s="44" t="inlineStr">
        <is>
          <t>Technical Fit</t>
        </is>
      </c>
      <c r="B6" s="43" t="inlineStr">
        <is>
          <t>15%</t>
        </is>
      </c>
      <c r="C6" s="55" t="inlineStr">
        <is>
          <t>[0-10]</t>
        </is>
      </c>
      <c r="D6" s="56" t="inlineStr">
        <is>
          <t>[Enter specific evidence -- e.g. 'Azure 3yr RI: 39% saving vs on-prem -- TCO tab']</t>
        </is>
      </c>
      <c r="E6" s="56" t="inlineStr">
        <is>
          <t>[TCO tab / interview / public doc]</t>
        </is>
      </c>
      <c r="F6" s="47">
        <f>VALUE(LEFT(B6,LEN(B6)-1))/100*C6</f>
        <v/>
      </c>
    </row>
    <row r="7">
      <c r="A7" s="21" t="inlineStr">
        <is>
          <t>Regulatory &amp; Compliance</t>
        </is>
      </c>
      <c r="B7" s="47" t="inlineStr">
        <is>
          <t>15%</t>
        </is>
      </c>
      <c r="C7" s="55" t="inlineStr">
        <is>
          <t>[0-10]</t>
        </is>
      </c>
      <c r="D7" s="56" t="inlineStr">
        <is>
          <t>[Enter specific evidence -- e.g. 'Azure 3yr RI: 39% saving vs on-prem -- TCO tab']</t>
        </is>
      </c>
      <c r="E7" s="56" t="inlineStr">
        <is>
          <t>[TCO tab / interview / public doc]</t>
        </is>
      </c>
      <c r="F7" s="47">
        <f>VALUE(LEFT(B7,LEN(B7)-1))/100*C7</f>
        <v/>
      </c>
    </row>
    <row r="8">
      <c r="A8" s="44" t="inlineStr">
        <is>
          <t>Partner Commercial (AMM/MAP/PSO)</t>
        </is>
      </c>
      <c r="B8" s="43" t="inlineStr">
        <is>
          <t>10%</t>
        </is>
      </c>
      <c r="C8" s="55" t="inlineStr">
        <is>
          <t>[0-10]</t>
        </is>
      </c>
      <c r="D8" s="56" t="inlineStr">
        <is>
          <t>[Enter specific evidence -- e.g. 'Azure 3yr RI: 39% saving vs on-prem -- TCO tab']</t>
        </is>
      </c>
      <c r="E8" s="56" t="inlineStr">
        <is>
          <t>[TCO tab / interview / public doc]</t>
        </is>
      </c>
      <c r="F8" s="47">
        <f>VALUE(LEFT(B8,LEN(B8)-1))/100*C8</f>
        <v/>
      </c>
    </row>
    <row r="9">
      <c r="A9" s="21" t="inlineStr">
        <is>
          <t>Strategic Alignment</t>
        </is>
      </c>
      <c r="B9" s="47" t="inlineStr">
        <is>
          <t>10%</t>
        </is>
      </c>
      <c r="C9" s="55" t="inlineStr">
        <is>
          <t>[0-10]</t>
        </is>
      </c>
      <c r="D9" s="56" t="inlineStr">
        <is>
          <t>[Enter specific evidence -- e.g. 'Azure 3yr RI: 39% saving vs on-prem -- TCO tab']</t>
        </is>
      </c>
      <c r="E9" s="56" t="inlineStr">
        <is>
          <t>[TCO tab / interview / public doc]</t>
        </is>
      </c>
      <c r="F9" s="47">
        <f>VALUE(LEFT(B9,LEN(B9)-1))/100*C9</f>
        <v/>
      </c>
    </row>
    <row r="10">
      <c r="A10" s="57" t="inlineStr">
        <is>
          <t>WEIGHTED TOTAL</t>
        </is>
      </c>
      <c r="B10" s="50" t="inlineStr"/>
      <c r="C10" s="50" t="inlineStr"/>
      <c r="D10" s="50" t="inlineStr"/>
      <c r="E10" s="50" t="inlineStr"/>
      <c r="F10" s="58">
        <f>SUM(F4:F9)</f>
        <v/>
      </c>
    </row>
    <row r="12">
      <c r="A12" s="59" t="inlineStr">
        <is>
          <t>EVIDENCE QUALITY REMINDER</t>
        </is>
      </c>
    </row>
    <row r="13">
      <c r="A13" s="60" t="inlineStr">
        <is>
          <t>ACCEPTABLE evidence:</t>
        </is>
      </c>
      <c r="B13" s="61" t="inlineStr">
        <is>
          <t>'Azure 3yr RI + AHB: 39% saving -- see TCO tab' | '1,200 Windows AHB-eligible -- saving XM/yr'</t>
        </is>
      </c>
      <c r="C13" s="62" t="n"/>
      <c r="D13" s="62" t="n"/>
      <c r="E13" s="62" t="n"/>
      <c r="F13" s="63" t="n"/>
    </row>
    <row r="14">
      <c r="A14" s="64" t="inlineStr">
        <is>
          <t>NOT ACCEPTABLE:</t>
        </is>
      </c>
      <c r="B14" s="65" t="inlineStr">
        <is>
          <t>'Azure is cheaper' | 'Good licensing options' | 'Strong compliance'</t>
        </is>
      </c>
      <c r="C14" s="62" t="n"/>
      <c r="D14" s="62" t="n"/>
      <c r="E14" s="62" t="n"/>
      <c r="F14" s="63" t="n"/>
    </row>
  </sheetData>
  <mergeCells count="5">
    <mergeCell ref="A2:F2"/>
    <mergeCell ref="A1:F1"/>
    <mergeCell ref="A12:F12"/>
    <mergeCell ref="B14:F14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style="18" min="1" max="1"/>
    <col width="10" customWidth="1" style="18" min="2" max="2"/>
    <col width="10" customWidth="1" style="18" min="3" max="3"/>
    <col width="58" customWidth="1" style="18" min="4" max="4"/>
    <col width="38" customWidth="1" style="18" min="5" max="5"/>
    <col width="16" customWidth="1" style="18" min="6" max="6"/>
  </cols>
  <sheetData>
    <row r="1" ht="24" customHeight="1" s="18">
      <c r="A1" s="66" t="inlineStr">
        <is>
          <t>AWS SCORING -- Evidence-backed scoring</t>
        </is>
      </c>
    </row>
    <row r="2">
      <c r="A2" s="20" t="inlineStr">
        <is>
          <t>Score = Lead Architect assessment (1-10). Evidence MUST be specific -- cite tab, date, or source.</t>
        </is>
      </c>
    </row>
    <row r="3">
      <c r="A3" s="67" t="inlineStr">
        <is>
          <t>Criterion</t>
        </is>
      </c>
      <c r="B3" s="67" t="inlineStr">
        <is>
          <t>Weight %</t>
        </is>
      </c>
      <c r="C3" s="67" t="inlineStr">
        <is>
          <t>Score (1-10)</t>
        </is>
      </c>
      <c r="D3" s="67" t="inlineStr">
        <is>
          <t>Evidence (specific data point)</t>
        </is>
      </c>
      <c r="E3" s="67" t="inlineStr">
        <is>
          <t>Source</t>
        </is>
      </c>
      <c r="F3" s="67" t="inlineStr">
        <is>
          <t>Weighted Score</t>
        </is>
      </c>
    </row>
    <row r="4">
      <c r="A4" s="44" t="inlineStr">
        <is>
          <t>Total Cost of Ownership (3yr)</t>
        </is>
      </c>
      <c r="B4" s="43" t="inlineStr">
        <is>
          <t>30%</t>
        </is>
      </c>
      <c r="C4" s="55" t="inlineStr">
        <is>
          <t>[0-10]</t>
        </is>
      </c>
      <c r="D4" s="56" t="inlineStr">
        <is>
          <t>[Enter specific evidence -- e.g. 'Azure 3yr RI: 39% saving vs on-prem -- TCO tab']</t>
        </is>
      </c>
      <c r="E4" s="56" t="inlineStr">
        <is>
          <t>[TCO tab / interview / public doc]</t>
        </is>
      </c>
      <c r="F4" s="47">
        <f>VALUE(LEFT(B4,LEN(B4)-1))/100*C4</f>
        <v/>
      </c>
    </row>
    <row r="5">
      <c r="A5" s="21" t="inlineStr">
        <is>
          <t>Licensing Advantage</t>
        </is>
      </c>
      <c r="B5" s="47" t="inlineStr">
        <is>
          <t>20%</t>
        </is>
      </c>
      <c r="C5" s="55" t="inlineStr">
        <is>
          <t>[0-10]</t>
        </is>
      </c>
      <c r="D5" s="56" t="inlineStr">
        <is>
          <t>[Enter specific evidence -- e.g. 'Azure 3yr RI: 39% saving vs on-prem -- TCO tab']</t>
        </is>
      </c>
      <c r="E5" s="56" t="inlineStr">
        <is>
          <t>[TCO tab / interview / public doc]</t>
        </is>
      </c>
      <c r="F5" s="47">
        <f>VALUE(LEFT(B5,LEN(B5)-1))/100*C5</f>
        <v/>
      </c>
    </row>
    <row r="6">
      <c r="A6" s="44" t="inlineStr">
        <is>
          <t>Technical Fit</t>
        </is>
      </c>
      <c r="B6" s="43" t="inlineStr">
        <is>
          <t>15%</t>
        </is>
      </c>
      <c r="C6" s="55" t="inlineStr">
        <is>
          <t>[0-10]</t>
        </is>
      </c>
      <c r="D6" s="56" t="inlineStr">
        <is>
          <t>[Enter specific evidence -- e.g. 'Azure 3yr RI: 39% saving vs on-prem -- TCO tab']</t>
        </is>
      </c>
      <c r="E6" s="56" t="inlineStr">
        <is>
          <t>[TCO tab / interview / public doc]</t>
        </is>
      </c>
      <c r="F6" s="47">
        <f>VALUE(LEFT(B6,LEN(B6)-1))/100*C6</f>
        <v/>
      </c>
    </row>
    <row r="7">
      <c r="A7" s="21" t="inlineStr">
        <is>
          <t>Regulatory &amp; Compliance</t>
        </is>
      </c>
      <c r="B7" s="47" t="inlineStr">
        <is>
          <t>15%</t>
        </is>
      </c>
      <c r="C7" s="55" t="inlineStr">
        <is>
          <t>[0-10]</t>
        </is>
      </c>
      <c r="D7" s="56" t="inlineStr">
        <is>
          <t>[Enter specific evidence -- e.g. 'Azure 3yr RI: 39% saving vs on-prem -- TCO tab']</t>
        </is>
      </c>
      <c r="E7" s="56" t="inlineStr">
        <is>
          <t>[TCO tab / interview / public doc]</t>
        </is>
      </c>
      <c r="F7" s="47">
        <f>VALUE(LEFT(B7,LEN(B7)-1))/100*C7</f>
        <v/>
      </c>
    </row>
    <row r="8">
      <c r="A8" s="44" t="inlineStr">
        <is>
          <t>Partner Commercial (AMM/MAP/PSO)</t>
        </is>
      </c>
      <c r="B8" s="43" t="inlineStr">
        <is>
          <t>10%</t>
        </is>
      </c>
      <c r="C8" s="55" t="inlineStr">
        <is>
          <t>[0-10]</t>
        </is>
      </c>
      <c r="D8" s="56" t="inlineStr">
        <is>
          <t>[Enter specific evidence -- e.g. 'Azure 3yr RI: 39% saving vs on-prem -- TCO tab']</t>
        </is>
      </c>
      <c r="E8" s="56" t="inlineStr">
        <is>
          <t>[TCO tab / interview / public doc]</t>
        </is>
      </c>
      <c r="F8" s="47">
        <f>VALUE(LEFT(B8,LEN(B8)-1))/100*C8</f>
        <v/>
      </c>
    </row>
    <row r="9">
      <c r="A9" s="21" t="inlineStr">
        <is>
          <t>Strategic Alignment</t>
        </is>
      </c>
      <c r="B9" s="47" t="inlineStr">
        <is>
          <t>10%</t>
        </is>
      </c>
      <c r="C9" s="55" t="inlineStr">
        <is>
          <t>[0-10]</t>
        </is>
      </c>
      <c r="D9" s="56" t="inlineStr">
        <is>
          <t>[Enter specific evidence -- e.g. 'Azure 3yr RI: 39% saving vs on-prem -- TCO tab']</t>
        </is>
      </c>
      <c r="E9" s="56" t="inlineStr">
        <is>
          <t>[TCO tab / interview / public doc]</t>
        </is>
      </c>
      <c r="F9" s="47">
        <f>VALUE(LEFT(B9,LEN(B9)-1))/100*C9</f>
        <v/>
      </c>
    </row>
    <row r="10">
      <c r="A10" s="57" t="inlineStr">
        <is>
          <t>WEIGHTED TOTAL</t>
        </is>
      </c>
      <c r="B10" s="50" t="inlineStr"/>
      <c r="C10" s="50" t="inlineStr"/>
      <c r="D10" s="50" t="inlineStr"/>
      <c r="E10" s="50" t="inlineStr"/>
      <c r="F10" s="58">
        <f>SUM(F4:F9)</f>
        <v/>
      </c>
    </row>
    <row r="12">
      <c r="A12" s="59" t="inlineStr">
        <is>
          <t>EVIDENCE QUALITY REMINDER</t>
        </is>
      </c>
    </row>
    <row r="13">
      <c r="A13" s="60" t="inlineStr">
        <is>
          <t>ACCEPTABLE evidence:</t>
        </is>
      </c>
      <c r="B13" s="61" t="inlineStr">
        <is>
          <t>'Azure 3yr RI + AHB: 39% saving -- see TCO tab' | '1,200 Windows AHB-eligible -- saving XM/yr'</t>
        </is>
      </c>
      <c r="C13" s="62" t="n"/>
      <c r="D13" s="62" t="n"/>
      <c r="E13" s="62" t="n"/>
      <c r="F13" s="63" t="n"/>
    </row>
    <row r="14">
      <c r="A14" s="64" t="inlineStr">
        <is>
          <t>NOT ACCEPTABLE:</t>
        </is>
      </c>
      <c r="B14" s="65" t="inlineStr">
        <is>
          <t>'Azure is cheaper' | 'Good licensing options' | 'Strong compliance'</t>
        </is>
      </c>
      <c r="C14" s="62" t="n"/>
      <c r="D14" s="62" t="n"/>
      <c r="E14" s="62" t="n"/>
      <c r="F14" s="63" t="n"/>
    </row>
  </sheetData>
  <mergeCells count="5">
    <mergeCell ref="A2:F2"/>
    <mergeCell ref="A1:F1"/>
    <mergeCell ref="A12:F12"/>
    <mergeCell ref="B14:F14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style="18" min="1" max="1"/>
    <col width="10" customWidth="1" style="18" min="2" max="2"/>
    <col width="10" customWidth="1" style="18" min="3" max="3"/>
    <col width="58" customWidth="1" style="18" min="4" max="4"/>
    <col width="38" customWidth="1" style="18" min="5" max="5"/>
    <col width="16" customWidth="1" style="18" min="6" max="6"/>
  </cols>
  <sheetData>
    <row r="1" ht="24" customHeight="1" s="18">
      <c r="A1" s="68" t="inlineStr">
        <is>
          <t>GCP SCORING -- Evidence-backed scoring</t>
        </is>
      </c>
    </row>
    <row r="2">
      <c r="A2" s="20" t="inlineStr">
        <is>
          <t>Score = Lead Architect assessment (1-10). Evidence MUST be specific -- cite tab, date, or source.</t>
        </is>
      </c>
    </row>
    <row r="3">
      <c r="A3" s="69" t="inlineStr">
        <is>
          <t>Criterion</t>
        </is>
      </c>
      <c r="B3" s="69" t="inlineStr">
        <is>
          <t>Weight %</t>
        </is>
      </c>
      <c r="C3" s="69" t="inlineStr">
        <is>
          <t>Score (1-10)</t>
        </is>
      </c>
      <c r="D3" s="69" t="inlineStr">
        <is>
          <t>Evidence (specific data point)</t>
        </is>
      </c>
      <c r="E3" s="69" t="inlineStr">
        <is>
          <t>Source</t>
        </is>
      </c>
      <c r="F3" s="69" t="inlineStr">
        <is>
          <t>Weighted Score</t>
        </is>
      </c>
    </row>
    <row r="4">
      <c r="A4" s="44" t="inlineStr">
        <is>
          <t>Total Cost of Ownership (3yr)</t>
        </is>
      </c>
      <c r="B4" s="43" t="inlineStr">
        <is>
          <t>30%</t>
        </is>
      </c>
      <c r="C4" s="55" t="inlineStr">
        <is>
          <t>[0-10]</t>
        </is>
      </c>
      <c r="D4" s="56" t="inlineStr">
        <is>
          <t>[Enter specific evidence -- e.g. 'Azure 3yr RI: 39% saving vs on-prem -- TCO tab']</t>
        </is>
      </c>
      <c r="E4" s="56" t="inlineStr">
        <is>
          <t>[TCO tab / interview / public doc]</t>
        </is>
      </c>
      <c r="F4" s="47">
        <f>VALUE(LEFT(B4,LEN(B4)-1))/100*C4</f>
        <v/>
      </c>
    </row>
    <row r="5">
      <c r="A5" s="21" t="inlineStr">
        <is>
          <t>Licensing Advantage</t>
        </is>
      </c>
      <c r="B5" s="47" t="inlineStr">
        <is>
          <t>20%</t>
        </is>
      </c>
      <c r="C5" s="55" t="inlineStr">
        <is>
          <t>[0-10]</t>
        </is>
      </c>
      <c r="D5" s="56" t="inlineStr">
        <is>
          <t>[Enter specific evidence -- e.g. 'Azure 3yr RI: 39% saving vs on-prem -- TCO tab']</t>
        </is>
      </c>
      <c r="E5" s="56" t="inlineStr">
        <is>
          <t>[TCO tab / interview / public doc]</t>
        </is>
      </c>
      <c r="F5" s="47">
        <f>VALUE(LEFT(B5,LEN(B5)-1))/100*C5</f>
        <v/>
      </c>
    </row>
    <row r="6">
      <c r="A6" s="44" t="inlineStr">
        <is>
          <t>Technical Fit</t>
        </is>
      </c>
      <c r="B6" s="43" t="inlineStr">
        <is>
          <t>15%</t>
        </is>
      </c>
      <c r="C6" s="55" t="inlineStr">
        <is>
          <t>[0-10]</t>
        </is>
      </c>
      <c r="D6" s="56" t="inlineStr">
        <is>
          <t>[Enter specific evidence -- e.g. 'Azure 3yr RI: 39% saving vs on-prem -- TCO tab']</t>
        </is>
      </c>
      <c r="E6" s="56" t="inlineStr">
        <is>
          <t>[TCO tab / interview / public doc]</t>
        </is>
      </c>
      <c r="F6" s="47">
        <f>VALUE(LEFT(B6,LEN(B6)-1))/100*C6</f>
        <v/>
      </c>
    </row>
    <row r="7">
      <c r="A7" s="21" t="inlineStr">
        <is>
          <t>Regulatory &amp; Compliance</t>
        </is>
      </c>
      <c r="B7" s="47" t="inlineStr">
        <is>
          <t>15%</t>
        </is>
      </c>
      <c r="C7" s="55" t="inlineStr">
        <is>
          <t>[0-10]</t>
        </is>
      </c>
      <c r="D7" s="56" t="inlineStr">
        <is>
          <t>[Enter specific evidence -- e.g. 'Azure 3yr RI: 39% saving vs on-prem -- TCO tab']</t>
        </is>
      </c>
      <c r="E7" s="56" t="inlineStr">
        <is>
          <t>[TCO tab / interview / public doc]</t>
        </is>
      </c>
      <c r="F7" s="47">
        <f>VALUE(LEFT(B7,LEN(B7)-1))/100*C7</f>
        <v/>
      </c>
    </row>
    <row r="8">
      <c r="A8" s="44" t="inlineStr">
        <is>
          <t>Partner Commercial (AMM/MAP/PSO)</t>
        </is>
      </c>
      <c r="B8" s="43" t="inlineStr">
        <is>
          <t>10%</t>
        </is>
      </c>
      <c r="C8" s="55" t="inlineStr">
        <is>
          <t>[0-10]</t>
        </is>
      </c>
      <c r="D8" s="56" t="inlineStr">
        <is>
          <t>[Enter specific evidence -- e.g. 'Azure 3yr RI: 39% saving vs on-prem -- TCO tab']</t>
        </is>
      </c>
      <c r="E8" s="56" t="inlineStr">
        <is>
          <t>[TCO tab / interview / public doc]</t>
        </is>
      </c>
      <c r="F8" s="47">
        <f>VALUE(LEFT(B8,LEN(B8)-1))/100*C8</f>
        <v/>
      </c>
    </row>
    <row r="9">
      <c r="A9" s="21" t="inlineStr">
        <is>
          <t>Strategic Alignment</t>
        </is>
      </c>
      <c r="B9" s="47" t="inlineStr">
        <is>
          <t>10%</t>
        </is>
      </c>
      <c r="C9" s="55" t="inlineStr">
        <is>
          <t>[0-10]</t>
        </is>
      </c>
      <c r="D9" s="56" t="inlineStr">
        <is>
          <t>[Enter specific evidence -- e.g. 'Azure 3yr RI: 39% saving vs on-prem -- TCO tab']</t>
        </is>
      </c>
      <c r="E9" s="56" t="inlineStr">
        <is>
          <t>[TCO tab / interview / public doc]</t>
        </is>
      </c>
      <c r="F9" s="47">
        <f>VALUE(LEFT(B9,LEN(B9)-1))/100*C9</f>
        <v/>
      </c>
    </row>
    <row r="10">
      <c r="A10" s="57" t="inlineStr">
        <is>
          <t>WEIGHTED TOTAL</t>
        </is>
      </c>
      <c r="B10" s="50" t="inlineStr"/>
      <c r="C10" s="50" t="inlineStr"/>
      <c r="D10" s="50" t="inlineStr"/>
      <c r="E10" s="50" t="inlineStr"/>
      <c r="F10" s="58">
        <f>SUM(F4:F9)</f>
        <v/>
      </c>
    </row>
    <row r="12">
      <c r="A12" s="59" t="inlineStr">
        <is>
          <t>EVIDENCE QUALITY REMINDER</t>
        </is>
      </c>
    </row>
    <row r="13">
      <c r="A13" s="60" t="inlineStr">
        <is>
          <t>ACCEPTABLE evidence:</t>
        </is>
      </c>
      <c r="B13" s="61" t="inlineStr">
        <is>
          <t>'Azure 3yr RI + AHB: 39% saving -- see TCO tab' | '1,200 Windows AHB-eligible -- saving XM/yr'</t>
        </is>
      </c>
      <c r="C13" s="62" t="n"/>
      <c r="D13" s="62" t="n"/>
      <c r="E13" s="62" t="n"/>
      <c r="F13" s="63" t="n"/>
    </row>
    <row r="14">
      <c r="A14" s="64" t="inlineStr">
        <is>
          <t>NOT ACCEPTABLE:</t>
        </is>
      </c>
      <c r="B14" s="65" t="inlineStr">
        <is>
          <t>'Azure is cheaper' | 'Good licensing options' | 'Strong compliance'</t>
        </is>
      </c>
      <c r="C14" s="62" t="n"/>
      <c r="D14" s="62" t="n"/>
      <c r="E14" s="62" t="n"/>
      <c r="F14" s="63" t="n"/>
    </row>
  </sheetData>
  <mergeCells count="5">
    <mergeCell ref="A2:F2"/>
    <mergeCell ref="A1:F1"/>
    <mergeCell ref="A12:F12"/>
    <mergeCell ref="B14:F14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2" customWidth="1" style="18" min="1" max="1"/>
    <col width="10" customWidth="1" style="18" min="2" max="2"/>
    <col width="14" customWidth="1" style="18" min="3" max="3"/>
    <col width="14" customWidth="1" style="18" min="4" max="4"/>
    <col width="14" customWidth="1" style="18" min="5" max="5"/>
  </cols>
  <sheetData>
    <row r="1">
      <c r="A1" s="19" t="inlineStr">
        <is>
          <t>WEIGHTED SUMMARY -- Phase 3 Playback Output</t>
        </is>
      </c>
    </row>
    <row r="2">
      <c r="A2" s="20" t="inlineStr">
        <is>
          <t>This tab is the output presented in the Phase 3 playback deck (slide 12). Scores auto-calculate from scoring tabs.</t>
        </is>
      </c>
    </row>
    <row r="3">
      <c r="A3" s="42" t="inlineStr">
        <is>
          <t>Criterion</t>
        </is>
      </c>
      <c r="B3" s="42" t="inlineStr">
        <is>
          <t>Weight</t>
        </is>
      </c>
      <c r="C3" s="42" t="inlineStr">
        <is>
          <t>Azure</t>
        </is>
      </c>
      <c r="D3" s="42" t="inlineStr">
        <is>
          <t>AWS</t>
        </is>
      </c>
      <c r="E3" s="42" t="inlineStr">
        <is>
          <t>GCP</t>
        </is>
      </c>
    </row>
    <row r="4">
      <c r="A4" s="44" t="inlineStr">
        <is>
          <t>Total Cost of Ownership (3yr)</t>
        </is>
      </c>
      <c r="B4" s="43" t="inlineStr">
        <is>
          <t>30%</t>
        </is>
      </c>
      <c r="C4" s="43">
        <f>'Azure Scoring'!F4</f>
        <v/>
      </c>
      <c r="D4" s="43">
        <f>'AWS Scoring'!F4</f>
        <v/>
      </c>
      <c r="E4" s="43">
        <f>'GCP Scoring'!F4</f>
        <v/>
      </c>
    </row>
    <row r="5">
      <c r="A5" s="21" t="inlineStr">
        <is>
          <t>Licensing Advantage</t>
        </is>
      </c>
      <c r="B5" s="47" t="inlineStr">
        <is>
          <t>20%</t>
        </is>
      </c>
      <c r="C5" s="47">
        <f>'Azure Scoring'!F5</f>
        <v/>
      </c>
      <c r="D5" s="47">
        <f>'AWS Scoring'!F5</f>
        <v/>
      </c>
      <c r="E5" s="47">
        <f>'GCP Scoring'!F5</f>
        <v/>
      </c>
    </row>
    <row r="6">
      <c r="A6" s="44" t="inlineStr">
        <is>
          <t>Technical Fit</t>
        </is>
      </c>
      <c r="B6" s="43" t="inlineStr">
        <is>
          <t>15%</t>
        </is>
      </c>
      <c r="C6" s="43">
        <f>'Azure Scoring'!F6</f>
        <v/>
      </c>
      <c r="D6" s="43">
        <f>'AWS Scoring'!F6</f>
        <v/>
      </c>
      <c r="E6" s="43">
        <f>'GCP Scoring'!F6</f>
        <v/>
      </c>
    </row>
    <row r="7">
      <c r="A7" s="21" t="inlineStr">
        <is>
          <t>Regulatory &amp; Compliance</t>
        </is>
      </c>
      <c r="B7" s="47" t="inlineStr">
        <is>
          <t>15%</t>
        </is>
      </c>
      <c r="C7" s="47">
        <f>'Azure Scoring'!F7</f>
        <v/>
      </c>
      <c r="D7" s="47">
        <f>'AWS Scoring'!F7</f>
        <v/>
      </c>
      <c r="E7" s="47">
        <f>'GCP Scoring'!F7</f>
        <v/>
      </c>
    </row>
    <row r="8">
      <c r="A8" s="44" t="inlineStr">
        <is>
          <t>Partner Commercial (AMM/MAP/PSO)</t>
        </is>
      </c>
      <c r="B8" s="43" t="inlineStr">
        <is>
          <t>10%</t>
        </is>
      </c>
      <c r="C8" s="43">
        <f>'Azure Scoring'!F8</f>
        <v/>
      </c>
      <c r="D8" s="43">
        <f>'AWS Scoring'!F8</f>
        <v/>
      </c>
      <c r="E8" s="43">
        <f>'GCP Scoring'!F8</f>
        <v/>
      </c>
    </row>
    <row r="9">
      <c r="A9" s="21" t="inlineStr">
        <is>
          <t>Strategic Alignment</t>
        </is>
      </c>
      <c r="B9" s="47" t="inlineStr">
        <is>
          <t>10%</t>
        </is>
      </c>
      <c r="C9" s="47">
        <f>'Azure Scoring'!F9</f>
        <v/>
      </c>
      <c r="D9" s="47">
        <f>'AWS Scoring'!F9</f>
        <v/>
      </c>
      <c r="E9" s="47">
        <f>'GCP Scoring'!F9</f>
        <v/>
      </c>
    </row>
    <row r="10">
      <c r="A10" s="51" t="inlineStr">
        <is>
          <t>WEIGHTED TOTAL</t>
        </is>
      </c>
      <c r="B10" s="50" t="inlineStr"/>
      <c r="C10" s="58">
        <f>SUM(C4:C9)</f>
        <v/>
      </c>
      <c r="D10" s="58">
        <f>SUM(D4:D9)</f>
        <v/>
      </c>
      <c r="E10" s="58">
        <f>SUM(E4:E9)</f>
        <v/>
      </c>
    </row>
    <row r="11">
      <c r="A11" s="70" t="inlineStr">
        <is>
          <t>RANK</t>
        </is>
      </c>
      <c r="B11" s="71" t="inlineStr"/>
      <c r="C11" s="72" t="inlineStr">
        <is>
          <t>[Rank auto or manual: 1st / 2nd / 3rd]</t>
        </is>
      </c>
      <c r="D11" s="72" t="inlineStr">
        <is>
          <t>[Rank auto or manual: 1st / 2nd / 3rd]</t>
        </is>
      </c>
      <c r="E11" s="72" t="inlineStr">
        <is>
          <t>[Rank auto or manual: 1st / 2nd / 3rd]</t>
        </is>
      </c>
    </row>
    <row r="13">
      <c r="A13" s="59" t="inlineStr">
        <is>
          <t>RECOMMENDATION OUTPUT</t>
        </is>
      </c>
    </row>
    <row r="14">
      <c r="A14" s="21" t="inlineStr">
        <is>
          <t>Primary Recommendation</t>
        </is>
      </c>
      <c r="B14" s="45" t="inlineStr">
        <is>
          <t>[HYPERSCALER] is recommended as the primary cloud platform</t>
        </is>
      </c>
    </row>
    <row r="15">
      <c r="A15" s="21" t="inlineStr">
        <is>
          <t>Region</t>
        </is>
      </c>
      <c r="B15" s="45" t="inlineStr">
        <is>
          <t>[PRIMARY REGION] primary / [DR REGION] DR</t>
        </is>
      </c>
    </row>
    <row r="16">
      <c r="A16" s="21" t="inlineStr">
        <is>
          <t>Rationale 1</t>
        </is>
      </c>
      <c r="B16" s="73" t="inlineStr">
        <is>
          <t>[Specific data point -- e.g. 'Highest 3yr TCO saving: 39% -- see slide 9']</t>
        </is>
      </c>
    </row>
    <row r="17">
      <c r="A17" s="21" t="inlineStr">
        <is>
          <t>Rationale 2</t>
        </is>
      </c>
      <c r="B17" s="73" t="inlineStr">
        <is>
          <t>[Specific data point -- e.g. '1,200+ Windows + 347 SQL AHB-eligible -- saving XM/yr']</t>
        </is>
      </c>
    </row>
    <row r="18">
      <c r="A18" s="21" t="inlineStr">
        <is>
          <t>Rationale 3</t>
        </is>
      </c>
      <c r="B18" s="73" t="inlineStr">
        <is>
          <t>[Specific data point -- e.g. 'UK South holds FCA, ISO 27001, SOC 2 -- data residency confirmed']</t>
        </is>
      </c>
    </row>
    <row r="19">
      <c r="A19" s="21" t="inlineStr">
        <is>
          <t>Rationale 4</t>
        </is>
      </c>
      <c r="B19" s="73" t="inlineStr">
        <is>
          <t>[Specific data point -- e.g. 'AMM eligibility confirmed: estimated 800K-1.2M funded services']</t>
        </is>
      </c>
    </row>
    <row r="20">
      <c r="A20" s="21" t="inlineStr">
        <is>
          <t>Rationale 5</t>
        </is>
      </c>
      <c r="B20" s="73" t="inlineStr">
        <is>
          <t>[Specific data point -- optional 5th bullet]</t>
        </is>
      </c>
    </row>
    <row r="21">
      <c r="A21" s="21" t="inlineStr">
        <is>
          <t>Secondary Cloud</t>
        </is>
      </c>
      <c r="B21" s="45" t="inlineStr">
        <is>
          <t>[HYPERSCALER] for [specific use case or DR]</t>
        </is>
      </c>
    </row>
    <row r="22">
      <c r="A22" s="21" t="inlineStr">
        <is>
          <t>Multi-Cloud Note</t>
        </is>
      </c>
      <c r="B22" s="45" t="inlineStr">
        <is>
          <t>[N] workload exceptions -- see Multi-Cloud Exceptions tab</t>
        </is>
      </c>
    </row>
    <row r="24">
      <c r="A24" s="19" t="inlineStr">
        <is>
          <t>EVIDENCE-BEFORE-RECOMMENDATION CHECKLIST</t>
        </is>
      </c>
    </row>
    <row r="25">
      <c r="A25" s="43" t="inlineStr">
        <is>
          <t>[  ]</t>
        </is>
      </c>
      <c r="B25" s="45" t="inlineStr">
        <is>
          <t>1. Estate summary (what was assessed) -- presented before scoring</t>
        </is>
      </c>
    </row>
    <row r="26">
      <c r="A26" s="47" t="inlineStr">
        <is>
          <t>[  ]</t>
        </is>
      </c>
      <c r="B26" s="48" t="inlineStr">
        <is>
          <t>2. Readiness profile (Phase 2 output) -- presented before scoring</t>
        </is>
      </c>
    </row>
    <row r="27">
      <c r="A27" s="43" t="inlineStr">
        <is>
          <t>[  ]</t>
        </is>
      </c>
      <c r="B27" s="45" t="inlineStr">
        <is>
          <t>3. Cloud comparison: cost, licensing, compliance -- all 3 clouds treated equally</t>
        </is>
      </c>
    </row>
    <row r="28">
      <c r="A28" s="47" t="inlineStr">
        <is>
          <t>[  ]</t>
        </is>
      </c>
      <c r="B28" s="48" t="inlineStr">
        <is>
          <t>4. Scoring matrix (weights agreed with customer) -- presented before recommendation</t>
        </is>
      </c>
    </row>
    <row r="29">
      <c r="A29" s="43" t="inlineStr">
        <is>
          <t>[  ]</t>
        </is>
      </c>
      <c r="B29" s="45" t="inlineStr">
        <is>
          <t>5. Recommendation -- appears AFTER all of the above. If not: restructure the deck.</t>
        </is>
      </c>
    </row>
  </sheetData>
  <mergeCells count="18">
    <mergeCell ref="B20:E20"/>
    <mergeCell ref="B17:E17"/>
    <mergeCell ref="B18:E18"/>
    <mergeCell ref="B26:E26"/>
    <mergeCell ref="B27:E27"/>
    <mergeCell ref="A24:E24"/>
    <mergeCell ref="A2:E2"/>
    <mergeCell ref="B21:E21"/>
    <mergeCell ref="B16:E16"/>
    <mergeCell ref="B15:E15"/>
    <mergeCell ref="B29:E29"/>
    <mergeCell ref="A1:E1"/>
    <mergeCell ref="B25:E25"/>
    <mergeCell ref="A13:E13"/>
    <mergeCell ref="B19:E19"/>
    <mergeCell ref="B28:E28"/>
    <mergeCell ref="B22:E22"/>
    <mergeCell ref="B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0" customWidth="1" style="18" min="1" max="1"/>
    <col width="26" customWidth="1" style="18" min="2" max="2"/>
    <col width="16" customWidth="1" style="18" min="3" max="3"/>
    <col width="20" customWidth="1" style="18" min="4" max="4"/>
    <col width="18" customWidth="1" style="18" min="5" max="5"/>
    <col width="36" customWidth="1" style="18" min="6" max="6"/>
    <col width="14" customWidth="1" style="18" min="7" max="7"/>
    <col width="30" customWidth="1" style="18" min="8" max="8"/>
    <col width="14" customWidth="1" style="18" min="9" max="9"/>
    <col width="28" customWidth="1" style="18" min="10" max="10"/>
  </cols>
  <sheetData>
    <row r="1">
      <c r="A1" s="19" t="inlineStr">
        <is>
          <t>7Rs ESTATE VIEW -- Named SOW Deliverable</t>
        </is>
      </c>
    </row>
    <row r="2">
      <c r="A2" s="20" t="inlineStr">
        <is>
          <t>Flag every application with a migration pattern. Complete before Phase 3 playback.</t>
        </is>
      </c>
    </row>
    <row r="3">
      <c r="A3" s="19" t="inlineStr">
        <is>
          <t>SUMMARY (auto-calculated from data below)</t>
        </is>
      </c>
    </row>
    <row r="4">
      <c r="A4" s="42" t="inlineStr">
        <is>
          <t>Pattern</t>
        </is>
      </c>
      <c r="B4" s="42" t="inlineStr">
        <is>
          <t>Count</t>
        </is>
      </c>
      <c r="C4" s="42" t="inlineStr">
        <is>
          <t>% of Estate</t>
        </is>
      </c>
      <c r="D4" s="42" t="inlineStr">
        <is>
          <t>Notes</t>
        </is>
      </c>
      <c r="E4" s="74" t="inlineStr"/>
      <c r="F4" s="74" t="inlineStr"/>
      <c r="G4" s="74" t="inlineStr"/>
      <c r="H4" s="74" t="inlineStr"/>
      <c r="I4" s="74" t="inlineStr"/>
      <c r="J4" s="74" t="inlineStr"/>
    </row>
    <row r="5">
      <c r="A5" s="75" t="inlineStr">
        <is>
          <t>Rehost</t>
        </is>
      </c>
      <c r="B5" s="76">
        <f>COUNTIF(E:E,"Rehost")</f>
        <v/>
      </c>
      <c r="C5" s="77">
        <f>IF(B5&gt;0,B5/B13,"")</f>
        <v/>
      </c>
      <c r="D5" s="78" t="inlineStr">
        <is>
          <t>Target: 50-70% of typical estate</t>
        </is>
      </c>
      <c r="E5" s="75" t="inlineStr"/>
      <c r="F5" s="75" t="inlineStr"/>
      <c r="G5" s="75" t="inlineStr"/>
      <c r="H5" s="75" t="inlineStr"/>
      <c r="I5" s="75" t="inlineStr"/>
      <c r="J5" s="75" t="inlineStr"/>
    </row>
    <row r="6">
      <c r="A6" s="79" t="inlineStr">
        <is>
          <t>Replatform</t>
        </is>
      </c>
      <c r="B6" s="80">
        <f>COUNTIF(E:E,"Replatform")</f>
        <v/>
      </c>
      <c r="C6" s="81">
        <f>IF(B6&gt;0,B6/B13,"")</f>
        <v/>
      </c>
      <c r="D6" s="82" t="inlineStr">
        <is>
          <t>Target: 15-25%</t>
        </is>
      </c>
      <c r="E6" s="79" t="inlineStr"/>
      <c r="F6" s="79" t="inlineStr"/>
      <c r="G6" s="79" t="inlineStr"/>
      <c r="H6" s="79" t="inlineStr"/>
      <c r="I6" s="79" t="inlineStr"/>
      <c r="J6" s="79" t="inlineStr"/>
    </row>
    <row r="7">
      <c r="A7" s="83" t="inlineStr">
        <is>
          <t>Rearchitect</t>
        </is>
      </c>
      <c r="B7" s="84">
        <f>COUNTIF(E:E,"Rearchitect")</f>
        <v/>
      </c>
      <c r="C7" s="85">
        <f>IF(B7&gt;0,B7/B13,"")</f>
        <v/>
      </c>
      <c r="D7" s="86" t="inlineStr">
        <is>
          <t>Target: 5-10% (high cost/complexity)</t>
        </is>
      </c>
      <c r="E7" s="83" t="inlineStr"/>
      <c r="F7" s="83" t="inlineStr"/>
      <c r="G7" s="83" t="inlineStr"/>
      <c r="H7" s="83" t="inlineStr"/>
      <c r="I7" s="83" t="inlineStr"/>
      <c r="J7" s="83" t="inlineStr"/>
    </row>
    <row r="8">
      <c r="A8" s="87" t="inlineStr">
        <is>
          <t>Repurchase</t>
        </is>
      </c>
      <c r="B8" s="88">
        <f>COUNTIF(E:E,"Repurchase")</f>
        <v/>
      </c>
      <c r="C8" s="89">
        <f>IF(B8&gt;0,B8/B13,"")</f>
        <v/>
      </c>
      <c r="D8" s="90" t="inlineStr">
        <is>
          <t>Replace with SaaS</t>
        </is>
      </c>
      <c r="E8" s="87" t="inlineStr"/>
      <c r="F8" s="87" t="inlineStr"/>
      <c r="G8" s="87" t="inlineStr"/>
      <c r="H8" s="87" t="inlineStr"/>
      <c r="I8" s="87" t="inlineStr"/>
      <c r="J8" s="87" t="inlineStr"/>
    </row>
    <row r="9">
      <c r="A9" s="71" t="inlineStr">
        <is>
          <t>Retire</t>
        </is>
      </c>
      <c r="B9" s="91">
        <f>COUNTIF(E:E,"Retire")</f>
        <v/>
      </c>
      <c r="C9" s="92">
        <f>IF(B9&gt;0,B9/B13,"")</f>
        <v/>
      </c>
      <c r="D9" s="93" t="inlineStr">
        <is>
          <t>Cost saving -- quantify decommission saving</t>
        </is>
      </c>
      <c r="E9" s="71" t="inlineStr"/>
      <c r="F9" s="71" t="inlineStr"/>
      <c r="G9" s="71" t="inlineStr"/>
      <c r="H9" s="71" t="inlineStr"/>
      <c r="I9" s="71" t="inlineStr"/>
      <c r="J9" s="71" t="inlineStr"/>
    </row>
    <row r="10">
      <c r="A10" s="94" t="inlineStr">
        <is>
          <t>Retain</t>
        </is>
      </c>
      <c r="B10" s="95">
        <f>COUNTIF(E:E,"Retain")</f>
        <v/>
      </c>
      <c r="C10" s="96">
        <f>IF(B10&gt;0,B10/B13,"")</f>
        <v/>
      </c>
      <c r="D10" s="97" t="inlineStr">
        <is>
          <t>Multi-cloud exceptions -- see that tab</t>
        </is>
      </c>
      <c r="E10" s="94" t="inlineStr"/>
      <c r="F10" s="94" t="inlineStr"/>
      <c r="G10" s="94" t="inlineStr"/>
      <c r="H10" s="94" t="inlineStr"/>
      <c r="I10" s="94" t="inlineStr"/>
      <c r="J10" s="94" t="inlineStr"/>
    </row>
    <row r="11">
      <c r="A11" s="98" t="inlineStr">
        <is>
          <t>Relocate</t>
        </is>
      </c>
      <c r="B11" s="99">
        <f>COUNTIF(E:E,"Relocate")</f>
        <v/>
      </c>
      <c r="C11" s="100">
        <f>IF(B11&gt;0,B11/B13,"")</f>
        <v/>
      </c>
      <c r="D11" s="101" t="inlineStr">
        <is>
          <t>DC consolidation without cloud</t>
        </is>
      </c>
      <c r="E11" s="98" t="inlineStr"/>
      <c r="F11" s="98" t="inlineStr"/>
      <c r="G11" s="98" t="inlineStr"/>
      <c r="H11" s="98" t="inlineStr"/>
      <c r="I11" s="98" t="inlineStr"/>
      <c r="J11" s="98" t="inlineStr"/>
    </row>
    <row r="12">
      <c r="A12" s="70" t="inlineStr">
        <is>
          <t>TOTAL</t>
        </is>
      </c>
      <c r="B12" s="91">
        <f>COUNTA(E18:E500)-COUNTBLANK(E18:E500)</f>
        <v/>
      </c>
      <c r="C12" s="92" t="inlineStr"/>
      <c r="D12" s="93" t="inlineStr"/>
      <c r="E12" s="71" t="inlineStr"/>
      <c r="F12" s="71" t="inlineStr"/>
      <c r="G12" s="71" t="inlineStr"/>
      <c r="H12" s="71" t="inlineStr"/>
      <c r="I12" s="71" t="inlineStr"/>
      <c r="J12" s="71" t="inlineStr"/>
    </row>
    <row r="14">
      <c r="A14" s="19" t="inlineStr">
        <is>
          <t>7Rs CLASSIFICATION REFERENCE</t>
        </is>
      </c>
    </row>
    <row r="15">
      <c r="A15" s="42" t="inlineStr">
        <is>
          <t>Pattern</t>
        </is>
      </c>
      <c r="B15" s="42" t="inlineStr">
        <is>
          <t>Definition</t>
        </is>
      </c>
      <c r="C15" s="42" t="inlineStr">
        <is>
          <t>When to Use</t>
        </is>
      </c>
      <c r="D15" s="74" t="inlineStr"/>
      <c r="E15" s="74" t="inlineStr"/>
      <c r="F15" s="74" t="inlineStr"/>
      <c r="G15" s="74" t="inlineStr"/>
      <c r="H15" s="74" t="inlineStr"/>
      <c r="I15" s="74" t="inlineStr"/>
      <c r="J15" s="74" t="inlineStr"/>
    </row>
    <row r="16">
      <c r="A16" s="44" t="inlineStr">
        <is>
          <t>Rehost</t>
        </is>
      </c>
      <c r="B16" s="45" t="inlineStr">
        <is>
          <t>Lift-and-shift to IaaS VM. No code changes.</t>
        </is>
      </c>
      <c r="C16" s="46" t="inlineStr">
        <is>
          <t>No code changes needed; fastest migration path; most of the estate (50-70%)</t>
        </is>
      </c>
      <c r="D16" s="45" t="inlineStr"/>
      <c r="E16" s="45" t="inlineStr"/>
      <c r="F16" s="45" t="inlineStr"/>
      <c r="G16" s="45" t="inlineStr"/>
      <c r="H16" s="45" t="inlineStr"/>
      <c r="I16" s="45" t="inlineStr"/>
      <c r="J16" s="45" t="inlineStr"/>
    </row>
    <row r="17">
      <c r="A17" s="21" t="inlineStr">
        <is>
          <t>Replatform</t>
        </is>
      </c>
      <c r="B17" s="48" t="inlineStr">
        <is>
          <t>Migrate with minor changes to use managed services.</t>
        </is>
      </c>
      <c r="C17" s="49" t="inlineStr">
        <is>
          <t>e.g., SQL Server -&gt; Azure SQL Managed Instance; saves patching overhead</t>
        </is>
      </c>
      <c r="D17" s="48" t="inlineStr"/>
      <c r="E17" s="48" t="inlineStr"/>
      <c r="F17" s="48" t="inlineStr"/>
      <c r="G17" s="48" t="inlineStr"/>
      <c r="H17" s="48" t="inlineStr"/>
      <c r="I17" s="48" t="inlineStr"/>
      <c r="J17" s="48" t="inlineStr"/>
    </row>
    <row r="18">
      <c r="A18" s="44" t="inlineStr">
        <is>
          <t>Rearchitect</t>
        </is>
      </c>
      <c r="B18" s="45" t="inlineStr">
        <is>
          <t>Significant redesign to use cloud-native services.</t>
        </is>
      </c>
      <c r="C18" s="46" t="inlineStr">
        <is>
          <t>e.g., monolith -&gt; containers; high complexity / high long-term benefit</t>
        </is>
      </c>
      <c r="D18" s="45" t="inlineStr"/>
      <c r="E18" s="45" t="inlineStr"/>
      <c r="F18" s="45" t="inlineStr"/>
      <c r="G18" s="45" t="inlineStr"/>
      <c r="H18" s="45" t="inlineStr"/>
      <c r="I18" s="45" t="inlineStr"/>
      <c r="J18" s="45" t="inlineStr"/>
    </row>
    <row r="19">
      <c r="A19" s="21" t="inlineStr">
        <is>
          <t>Repurchase</t>
        </is>
      </c>
      <c r="B19" s="48" t="inlineStr">
        <is>
          <t>Replace with a SaaS product.</t>
        </is>
      </c>
      <c r="C19" s="49" t="inlineStr">
        <is>
          <t>e.g., on-prem CRM -&gt; Salesforce; vendor SaaS now covers the need</t>
        </is>
      </c>
      <c r="D19" s="48" t="inlineStr"/>
      <c r="E19" s="48" t="inlineStr"/>
      <c r="F19" s="48" t="inlineStr"/>
      <c r="G19" s="48" t="inlineStr"/>
      <c r="H19" s="48" t="inlineStr"/>
      <c r="I19" s="48" t="inlineStr"/>
      <c r="J19" s="48" t="inlineStr"/>
    </row>
    <row r="20">
      <c r="A20" s="44" t="inlineStr">
        <is>
          <t>Retire</t>
        </is>
      </c>
      <c r="B20" s="45" t="inlineStr">
        <is>
          <t>Decommission -- do not migrate.</t>
        </is>
      </c>
      <c r="C20" s="46" t="inlineStr">
        <is>
          <t>Application confirmed redundant or replaced; stop paying for it</t>
        </is>
      </c>
      <c r="D20" s="45" t="inlineStr"/>
      <c r="E20" s="45" t="inlineStr"/>
      <c r="F20" s="45" t="inlineStr"/>
      <c r="G20" s="45" t="inlineStr"/>
      <c r="H20" s="45" t="inlineStr"/>
      <c r="I20" s="45" t="inlineStr"/>
      <c r="J20" s="45" t="inlineStr"/>
    </row>
    <row r="21">
      <c r="A21" s="21" t="inlineStr">
        <is>
          <t>Retain</t>
        </is>
      </c>
      <c r="B21" s="48" t="inlineStr">
        <is>
          <t>Keep on-premises -- cannot migrate.</t>
        </is>
      </c>
      <c r="C21" s="49" t="inlineStr">
        <is>
          <t>Regulatory / latency / dependency constraint prevents migration</t>
        </is>
      </c>
      <c r="D21" s="48" t="inlineStr"/>
      <c r="E21" s="48" t="inlineStr"/>
      <c r="F21" s="48" t="inlineStr"/>
      <c r="G21" s="48" t="inlineStr"/>
      <c r="H21" s="48" t="inlineStr"/>
      <c r="I21" s="48" t="inlineStr"/>
      <c r="J21" s="48" t="inlineStr"/>
    </row>
    <row r="22">
      <c r="A22" s="44" t="inlineStr">
        <is>
          <t>Relocate</t>
        </is>
      </c>
      <c r="B22" s="45" t="inlineStr">
        <is>
          <t>Move to different DC without cloud.</t>
        </is>
      </c>
      <c r="C22" s="46" t="inlineStr">
        <is>
          <t>Consolidate DCs without migrating to cloud</t>
        </is>
      </c>
      <c r="D22" s="45" t="inlineStr"/>
      <c r="E22" s="45" t="inlineStr"/>
      <c r="F22" s="45" t="inlineStr"/>
      <c r="G22" s="45" t="inlineStr"/>
      <c r="H22" s="45" t="inlineStr"/>
      <c r="I22" s="45" t="inlineStr"/>
      <c r="J22" s="45" t="inlineStr"/>
    </row>
    <row r="24">
      <c r="A24" s="59" t="inlineStr">
        <is>
          <t>APPLICATION DATA -- One row per application</t>
        </is>
      </c>
    </row>
    <row r="25">
      <c r="A25" s="42" t="inlineStr">
        <is>
          <t>App ID</t>
        </is>
      </c>
      <c r="B25" s="42" t="inlineStr">
        <is>
          <t>Application Name</t>
        </is>
      </c>
      <c r="C25" s="42" t="inlineStr">
        <is>
          <t>Business Criticality</t>
        </is>
      </c>
      <c r="D25" s="42" t="inlineStr">
        <is>
          <t>Current Platform</t>
        </is>
      </c>
      <c r="E25" s="42" t="inlineStr">
        <is>
          <t>7R Classification</t>
        </is>
      </c>
      <c r="F25" s="42" t="inlineStr">
        <is>
          <t>Justification</t>
        </is>
      </c>
      <c r="G25" s="42" t="inlineStr">
        <is>
          <t>Complexity</t>
        </is>
      </c>
      <c r="H25" s="42" t="inlineStr">
        <is>
          <t>Target Service</t>
        </is>
      </c>
      <c r="I25" s="42" t="inlineStr">
        <is>
          <t>Wave (Indicative)</t>
        </is>
      </c>
      <c r="J25" s="42" t="inlineStr">
        <is>
          <t>Notes</t>
        </is>
      </c>
    </row>
    <row r="26">
      <c r="A26" s="45" t="inlineStr">
        <is>
          <t>APP-001</t>
        </is>
      </c>
      <c r="B26" s="45" t="inlineStr">
        <is>
          <t>[App Name]</t>
        </is>
      </c>
      <c r="C26" s="45" t="inlineStr">
        <is>
          <t>Critical</t>
        </is>
      </c>
      <c r="D26" s="45" t="inlineStr">
        <is>
          <t>VMware vSphere</t>
        </is>
      </c>
      <c r="E26" s="45" t="inlineStr">
        <is>
          <t>Rehost</t>
        </is>
      </c>
      <c r="F26" s="45" t="inlineStr">
        <is>
          <t>No code changes needed; fast migration path</t>
        </is>
      </c>
      <c r="G26" s="45" t="inlineStr">
        <is>
          <t>Low</t>
        </is>
      </c>
      <c r="H26" s="45" t="inlineStr">
        <is>
          <t>Azure VM D4sv5 / AWS m6i.xlarge / GCP n2-standard-4</t>
        </is>
      </c>
      <c r="I26" s="45" t="inlineStr">
        <is>
          <t>2</t>
        </is>
      </c>
      <c r="J26" s="45" t="inlineStr"/>
    </row>
    <row r="27">
      <c r="A27" s="48" t="inlineStr">
        <is>
          <t>APP-002</t>
        </is>
      </c>
      <c r="B27" s="48" t="inlineStr">
        <is>
          <t>[App Name]</t>
        </is>
      </c>
      <c r="C27" s="48" t="inlineStr">
        <is>
          <t>High</t>
        </is>
      </c>
      <c r="D27" s="48" t="inlineStr">
        <is>
          <t>VMware vSphere</t>
        </is>
      </c>
      <c r="E27" s="48" t="inlineStr">
        <is>
          <t>Replatform</t>
        </is>
      </c>
      <c r="F27" s="48" t="inlineStr">
        <is>
          <t>SQL Server -&gt; Azure SQL Managed Instance; reduces patching overhead</t>
        </is>
      </c>
      <c r="G27" s="48" t="inlineStr">
        <is>
          <t>Medium</t>
        </is>
      </c>
      <c r="H27" s="48" t="inlineStr">
        <is>
          <t>Azure SQL Managed Instance</t>
        </is>
      </c>
      <c r="I27" s="48" t="inlineStr">
        <is>
          <t>3</t>
        </is>
      </c>
      <c r="J27" s="48" t="inlineStr">
        <is>
          <t>Validate compatibility</t>
        </is>
      </c>
    </row>
    <row r="28">
      <c r="A28" s="45" t="inlineStr">
        <is>
          <t>APP-003</t>
        </is>
      </c>
      <c r="B28" s="45" t="inlineStr">
        <is>
          <t>[App Name]</t>
        </is>
      </c>
      <c r="C28" s="45" t="inlineStr">
        <is>
          <t>Medium</t>
        </is>
      </c>
      <c r="D28" s="45" t="inlineStr">
        <is>
          <t>Physical</t>
        </is>
      </c>
      <c r="E28" s="45" t="inlineStr">
        <is>
          <t>Retire</t>
        </is>
      </c>
      <c r="F28" s="45" t="inlineStr">
        <is>
          <t>Confirmed redundant -- replaced by SaaS product</t>
        </is>
      </c>
      <c r="G28" s="45" t="inlineStr">
        <is>
          <t>Low</t>
        </is>
      </c>
      <c r="H28" s="45" t="inlineStr">
        <is>
          <t>Decommission</t>
        </is>
      </c>
      <c r="I28" s="45" t="inlineStr">
        <is>
          <t>0</t>
        </is>
      </c>
      <c r="J28" s="45" t="inlineStr">
        <is>
          <t>Save decommission cost</t>
        </is>
      </c>
    </row>
    <row r="29">
      <c r="A29" s="48" t="inlineStr">
        <is>
          <t>APP-004</t>
        </is>
      </c>
      <c r="B29" s="48" t="inlineStr">
        <is>
          <t>[App Name]</t>
        </is>
      </c>
      <c r="C29" s="48" t="inlineStr">
        <is>
          <t>High</t>
        </is>
      </c>
      <c r="D29" s="48" t="inlineStr">
        <is>
          <t>VMware vSphere</t>
        </is>
      </c>
      <c r="E29" s="48" t="inlineStr">
        <is>
          <t>Retain</t>
        </is>
      </c>
      <c r="F29" s="48" t="inlineStr">
        <is>
          <t>Latency requirement &lt;5ms to on-prem payment system</t>
        </is>
      </c>
      <c r="G29" s="48" t="inlineStr">
        <is>
          <t>N/A</t>
        </is>
      </c>
      <c r="H29" s="48" t="inlineStr">
        <is>
          <t>On-premises (retain)</t>
        </is>
      </c>
      <c r="I29" s="48" t="inlineStr">
        <is>
          <t>N/A</t>
        </is>
      </c>
      <c r="J29" s="48" t="inlineStr">
        <is>
          <t>See Multi-Cloud Exceptions tab</t>
        </is>
      </c>
    </row>
  </sheetData>
  <mergeCells count="5">
    <mergeCell ref="A1:J1"/>
    <mergeCell ref="A14:J14"/>
    <mergeCell ref="A3:J3"/>
    <mergeCell ref="A24:J2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0" customWidth="1" style="18" min="1" max="1"/>
    <col width="26" customWidth="1" style="18" min="2" max="2"/>
    <col width="48" customWidth="1" style="18" min="3" max="3"/>
    <col width="28" customWidth="1" style="18" min="4" max="4"/>
    <col width="14" customWidth="1" style="18" min="5" max="5"/>
    <col width="26" customWidth="1" style="18" min="6" max="6"/>
    <col width="40" customWidth="1" style="18" min="7" max="7"/>
  </cols>
  <sheetData>
    <row r="1">
      <c r="A1" s="19" t="inlineStr">
        <is>
          <t>MULTI-CLOUD EXCEPTIONS -- Every enterprise engagement has workloads that cannot go to the primary cloud</t>
        </is>
      </c>
    </row>
    <row r="2">
      <c r="A2" s="20" t="inlineStr">
        <is>
          <t>Document ALL exceptions explicitly before the Phase 3 playback. Prevents post-recommendation disputes.</t>
        </is>
      </c>
    </row>
    <row r="3">
      <c r="A3" s="42" t="inlineStr">
        <is>
          <t>App ID</t>
        </is>
      </c>
      <c r="B3" s="42" t="inlineStr">
        <is>
          <t>Application Name</t>
        </is>
      </c>
      <c r="C3" s="42" t="inlineStr">
        <is>
          <t>Why It Cannot Go to Primary Cloud</t>
        </is>
      </c>
      <c r="D3" s="42" t="inlineStr">
        <is>
          <t>Recommended Alternative</t>
        </is>
      </c>
      <c r="E3" s="42" t="inlineStr">
        <is>
          <t>Complexity</t>
        </is>
      </c>
      <c r="F3" s="42" t="inlineStr">
        <is>
          <t>Commercial Impact</t>
        </is>
      </c>
      <c r="G3" s="42" t="inlineStr">
        <is>
          <t>Action Required</t>
        </is>
      </c>
    </row>
    <row r="4">
      <c r="A4" s="45" t="inlineStr">
        <is>
          <t>APP-XXX</t>
        </is>
      </c>
      <c r="B4" s="45" t="inlineStr">
        <is>
          <t>[App Name]</t>
        </is>
      </c>
      <c r="C4" s="45" t="inlineStr">
        <is>
          <t>Oracle RAC workload -- OCI significantly cheaper for Oracle ULA customers</t>
        </is>
      </c>
      <c r="D4" s="45" t="inlineStr">
        <is>
          <t>Oracle OCI (for Oracle DB tier)</t>
        </is>
      </c>
      <c r="E4" s="45" t="inlineStr">
        <is>
          <t>Medium</t>
        </is>
      </c>
      <c r="F4" s="45" t="inlineStr">
        <is>
          <t>OCI vs Azure: model at Part 2 design phase</t>
        </is>
      </c>
      <c r="G4" s="45" t="inlineStr">
        <is>
          <t>Model OCI cost; present as optimisation option in Part 2</t>
        </is>
      </c>
    </row>
    <row r="5">
      <c r="A5" s="48" t="inlineStr">
        <is>
          <t>APP-XXX</t>
        </is>
      </c>
      <c r="B5" s="48" t="inlineStr">
        <is>
          <t>[App Name]</t>
        </is>
      </c>
      <c r="C5" s="48" t="inlineStr">
        <is>
          <t>Latency-sensitive -- must be &lt;5ms from on-prem payment gateway</t>
        </is>
      </c>
      <c r="D5" s="48" t="inlineStr">
        <is>
          <t>Retain on-premises</t>
        </is>
      </c>
      <c r="E5" s="48" t="inlineStr">
        <is>
          <t>N/A</t>
        </is>
      </c>
      <c r="F5" s="48" t="inlineStr">
        <is>
          <t>No cloud migration cost; on-prem running cost continues</t>
        </is>
      </c>
      <c r="G5" s="48" t="inlineStr">
        <is>
          <t>Include in Part 2 network design; review if DC exit changes topology</t>
        </is>
      </c>
    </row>
    <row r="6">
      <c r="A6" s="45" t="inlineStr">
        <is>
          <t>APP-XXX</t>
        </is>
      </c>
      <c r="B6" s="45" t="inlineStr">
        <is>
          <t>[App Name]</t>
        </is>
      </c>
      <c r="C6" s="45" t="inlineStr">
        <is>
          <t>SaaS vendor data locked in AWS S3; extraction not commercially viable</t>
        </is>
      </c>
      <c r="D6" s="45" t="inlineStr">
        <is>
          <t>Retain in vendor SaaS; integrate via API from landing zone</t>
        </is>
      </c>
      <c r="E6" s="45" t="inlineStr">
        <is>
          <t>Low</t>
        </is>
      </c>
      <c r="F6" s="45" t="inlineStr">
        <is>
          <t>Integration cost at Part 2</t>
        </is>
      </c>
      <c r="G6" s="45" t="inlineStr">
        <is>
          <t>Scope API integration in Part 2 landing zone workstream</t>
        </is>
      </c>
    </row>
    <row r="7">
      <c r="A7" s="48" t="inlineStr">
        <is>
          <t>APP-XXX</t>
        </is>
      </c>
      <c r="B7" s="48" t="inlineStr">
        <is>
          <t>[App Name]</t>
        </is>
      </c>
      <c r="C7" s="48" t="inlineStr">
        <is>
          <t>Oracle Forms -- no cloud-native equivalent; requires specialist IaaS rehost</t>
        </is>
      </c>
      <c r="D7" s="48" t="inlineStr">
        <is>
          <t>Rehost on primary cloud OR retain (assess Oracle practice)</t>
        </is>
      </c>
      <c r="E7" s="48" t="inlineStr">
        <is>
          <t>High</t>
        </is>
      </c>
      <c r="F7" s="48" t="inlineStr">
        <is>
          <t>Oracle practice engagement required -- cost TBD</t>
        </is>
      </c>
      <c r="G7" s="48" t="inlineStr">
        <is>
          <t>Escalate to Oracle Practice Lead; include in Phase 3 risk register</t>
        </is>
      </c>
    </row>
    <row r="9">
      <c r="A9" s="19" t="inlineStr">
        <is>
          <t>COMMON EXCEPTION CHECKLIST -- Review at Phase 3 start</t>
        </is>
      </c>
    </row>
    <row r="10">
      <c r="A10" s="42" t="inlineStr">
        <is>
          <t>Exception Type</t>
        </is>
      </c>
      <c r="B10" s="42" t="inlineStr">
        <is>
          <t>Example</t>
        </is>
      </c>
      <c r="C10" s="42" t="inlineStr">
        <is>
          <t>Action</t>
        </is>
      </c>
      <c r="D10" s="74" t="inlineStr"/>
      <c r="E10" s="74" t="inlineStr"/>
      <c r="F10" s="74" t="inlineStr"/>
      <c r="G10" s="74" t="inlineStr"/>
    </row>
    <row r="11">
      <c r="A11" s="44" t="inlineStr">
        <is>
          <t>Oracle on OCI</t>
        </is>
      </c>
      <c r="B11" s="45" t="inlineStr">
        <is>
          <t>Customer has Oracle workloads; OCI may be cheaper for Oracle ULA</t>
        </is>
      </c>
      <c r="C11" s="46" t="inlineStr">
        <is>
          <t>Model OCI cost; present as cost optimisation option in Part 2</t>
        </is>
      </c>
      <c r="D11" s="45" t="inlineStr"/>
      <c r="E11" s="45" t="inlineStr"/>
      <c r="F11" s="45" t="inlineStr"/>
      <c r="G11" s="45" t="inlineStr"/>
    </row>
    <row r="12">
      <c r="A12" s="21" t="inlineStr">
        <is>
          <t>Latency-sensitive to on-prem</t>
        </is>
      </c>
      <c r="B12" s="48" t="inlineStr">
        <is>
          <t>App must stay &lt;5ms from a specific on-prem system</t>
        </is>
      </c>
      <c r="C12" s="49" t="inlineStr">
        <is>
          <t>Retain on-prem; include in Part 2 network design</t>
        </is>
      </c>
      <c r="D12" s="48" t="inlineStr"/>
      <c r="E12" s="48" t="inlineStr"/>
      <c r="F12" s="48" t="inlineStr"/>
      <c r="G12" s="48" t="inlineStr"/>
    </row>
    <row r="13">
      <c r="A13" s="44" t="inlineStr">
        <is>
          <t>Regulatory -- data residency</t>
        </is>
      </c>
      <c r="B13" s="45" t="inlineStr">
        <is>
          <t>Specific data must remain in-country; primary cloud lacks required region</t>
        </is>
      </c>
      <c r="C13" s="46" t="inlineStr">
        <is>
          <t>Check all three clouds for compliant regions</t>
        </is>
      </c>
      <c r="D13" s="45" t="inlineStr"/>
      <c r="E13" s="45" t="inlineStr"/>
      <c r="F13" s="45" t="inlineStr"/>
      <c r="G13" s="45" t="inlineStr"/>
    </row>
    <row r="14">
      <c r="A14" s="21" t="inlineStr">
        <is>
          <t>SaaS vendor lock-in</t>
        </is>
      </c>
      <c r="B14" s="48" t="inlineStr">
        <is>
          <t>Vendor data in their own cloud; cannot extract</t>
        </is>
      </c>
      <c r="C14" s="49" t="inlineStr">
        <is>
          <t>Retain; integrate via API from primary cloud landing zone</t>
        </is>
      </c>
      <c r="D14" s="48" t="inlineStr"/>
      <c r="E14" s="48" t="inlineStr"/>
      <c r="F14" s="48" t="inlineStr"/>
      <c r="G14" s="48" t="inlineStr"/>
    </row>
    <row r="15">
      <c r="A15" s="44" t="inlineStr">
        <is>
          <t>Oracle Forms / legacy</t>
        </is>
      </c>
      <c r="B15" s="45" t="inlineStr">
        <is>
          <t>No cloud-native equivalent; IaaS rehost minimum</t>
        </is>
      </c>
      <c r="C15" s="46" t="inlineStr">
        <is>
          <t>Rehost on primary cloud if technically possible; else Retain</t>
        </is>
      </c>
      <c r="D15" s="45" t="inlineStr"/>
      <c r="E15" s="45" t="inlineStr"/>
      <c r="F15" s="45" t="inlineStr"/>
      <c r="G15" s="45" t="inlineStr"/>
    </row>
  </sheetData>
  <mergeCells count="3">
    <mergeCell ref="A2:G2"/>
    <mergeCell ref="A1:G1"/>
    <mergeCell ref="A9:G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2" customWidth="1" style="18" min="1" max="1"/>
    <col width="10" customWidth="1" style="18" min="2" max="2"/>
    <col width="12" customWidth="1" style="18" min="3" max="3"/>
    <col width="12" customWidth="1" style="18" min="4" max="4"/>
    <col width="12" customWidth="1" style="18" min="5" max="5"/>
    <col width="58" customWidth="1" style="18" min="6" max="6"/>
  </cols>
  <sheetData>
    <row r="1">
      <c r="A1" s="102" t="inlineStr">
        <is>
          <t>WORKED EXAMPLE -- Reference only. Do not edit. Replace with your own scoring in the Azure/AWS/GCP Scoring tabs.</t>
        </is>
      </c>
    </row>
    <row r="2">
      <c r="A2" s="20" t="inlineStr">
        <is>
          <t>Source: Reference Engagement -- Media Sector UK (anonymised). Weights and evidence are illustrative.</t>
        </is>
      </c>
    </row>
    <row r="3">
      <c r="A3" s="42" t="inlineStr">
        <is>
          <t>Criterion</t>
        </is>
      </c>
      <c r="B3" s="42" t="inlineStr">
        <is>
          <t>Weight</t>
        </is>
      </c>
      <c r="C3" s="42" t="inlineStr">
        <is>
          <t>Azure Score</t>
        </is>
      </c>
      <c r="D3" s="42" t="inlineStr">
        <is>
          <t>AWS Score</t>
        </is>
      </c>
      <c r="E3" s="42" t="inlineStr">
        <is>
          <t>GCP Score</t>
        </is>
      </c>
      <c r="F3" s="42" t="inlineStr">
        <is>
          <t>Evidence (anonymised)</t>
        </is>
      </c>
    </row>
    <row r="4">
      <c r="A4" s="44" t="inlineStr">
        <is>
          <t>Total Cost of Ownership (3yr)</t>
        </is>
      </c>
      <c r="B4" s="43" t="inlineStr">
        <is>
          <t>30%</t>
        </is>
      </c>
      <c r="C4" s="43" t="n">
        <v>8.5</v>
      </c>
      <c r="D4" s="43" t="n">
        <v>7.2</v>
      </c>
      <c r="E4" s="43" t="n">
        <v>7.8</v>
      </c>
      <c r="F4" s="46" t="inlineStr">
        <is>
          <t>Azure optimised (3yr RI + AHB): ~39% saving vs on-prem | AWS: ~30% | GCP: ~34% -- see TCO tab</t>
        </is>
      </c>
    </row>
    <row r="5">
      <c r="A5" s="21" t="inlineStr">
        <is>
          <t>Licensing Advantage</t>
        </is>
      </c>
      <c r="B5" s="47" t="inlineStr">
        <is>
          <t>20%</t>
        </is>
      </c>
      <c r="C5" s="47" t="n">
        <v>9</v>
      </c>
      <c r="D5" s="47" t="n">
        <v>6.5</v>
      </c>
      <c r="E5" s="47" t="n">
        <v>5</v>
      </c>
      <c r="F5" s="49" t="inlineStr">
        <is>
          <t>1,200+ Windows Server + 340+ SQL Server AHB-eligible; no AWS or GCP equivalent programme</t>
        </is>
      </c>
    </row>
    <row r="6">
      <c r="A6" s="44" t="inlineStr">
        <is>
          <t>Technical Fit</t>
        </is>
      </c>
      <c r="B6" s="43" t="inlineStr">
        <is>
          <t>15%</t>
        </is>
      </c>
      <c r="C6" s="43" t="n">
        <v>8</v>
      </c>
      <c r="D6" s="43" t="n">
        <v>7.5</v>
      </c>
      <c r="E6" s="43" t="n">
        <v>7.5</v>
      </c>
      <c r="F6" s="46" t="inlineStr">
        <is>
          <t>All 3 clouds support workload types; Azure strongest for .NET/Windows stack (85% of estate)</t>
        </is>
      </c>
    </row>
    <row r="7">
      <c r="A7" s="21" t="inlineStr">
        <is>
          <t>Regulatory &amp; Compliance</t>
        </is>
      </c>
      <c r="B7" s="47" t="inlineStr">
        <is>
          <t>15%</t>
        </is>
      </c>
      <c r="C7" s="47" t="n">
        <v>8.5</v>
      </c>
      <c r="D7" s="47" t="n">
        <v>8</v>
      </c>
      <c r="E7" s="47" t="n">
        <v>7.5</v>
      </c>
      <c r="F7" s="49" t="inlineStr">
        <is>
          <t>All 3 hold UK data residency; Azure FCA alignment strongest for regulated media operations</t>
        </is>
      </c>
    </row>
    <row r="8">
      <c r="A8" s="44" t="inlineStr">
        <is>
          <t>Partner Commercial (AMM/MAP/PSO)</t>
        </is>
      </c>
      <c r="B8" s="43" t="inlineStr">
        <is>
          <t>10%</t>
        </is>
      </c>
      <c r="C8" s="43" t="n">
        <v>8.5</v>
      </c>
      <c r="D8" s="43" t="n">
        <v>7</v>
      </c>
      <c r="E8" s="43" t="n">
        <v>6</v>
      </c>
      <c r="F8" s="46" t="inlineStr">
        <is>
          <t>AMM eligibility confirmed: estimated 800K-1.2M funded services | MAP partial | GCP PSO eligible</t>
        </is>
      </c>
    </row>
    <row r="9">
      <c r="A9" s="21" t="inlineStr">
        <is>
          <t>Strategic Alignment</t>
        </is>
      </c>
      <c r="B9" s="47" t="inlineStr">
        <is>
          <t>10%</t>
        </is>
      </c>
      <c r="C9" s="47" t="n">
        <v>8</v>
      </c>
      <c r="D9" s="47" t="n">
        <v>6.5</v>
      </c>
      <c r="E9" s="47" t="n">
        <v>6</v>
      </c>
      <c r="F9" s="49" t="inlineStr">
        <is>
          <t>Existing Microsoft EA + Unified Support; no equivalent AWS/GCP enterprise agreement</t>
        </is>
      </c>
    </row>
    <row r="10">
      <c r="A10" s="51" t="inlineStr">
        <is>
          <t>WEIGHTED TOTAL</t>
        </is>
      </c>
      <c r="B10" s="50" t="inlineStr"/>
      <c r="C10" s="103" t="n">
        <v>8.6</v>
      </c>
      <c r="D10" s="80" t="n">
        <v>7.1</v>
      </c>
      <c r="E10" s="95" t="n">
        <v>6.9</v>
      </c>
      <c r="F10" s="104" t="inlineStr">
        <is>
          <t>Calculated: Score x Weight for each criterion</t>
        </is>
      </c>
    </row>
    <row r="11">
      <c r="A11" s="70" t="inlineStr">
        <is>
          <t>RANK</t>
        </is>
      </c>
      <c r="B11" s="71" t="inlineStr"/>
      <c r="C11" s="105" t="inlineStr">
        <is>
          <t>1st (Primary)</t>
        </is>
      </c>
      <c r="D11" s="106" t="inlineStr">
        <is>
          <t>2nd (Secondary)</t>
        </is>
      </c>
      <c r="E11" s="107" t="inlineStr">
        <is>
          <t>3rd</t>
        </is>
      </c>
      <c r="F11" s="71" t="inlineStr"/>
    </row>
    <row r="13">
      <c r="A13" s="59" t="inlineStr">
        <is>
          <t>RECOMMENDATION (Reference)</t>
        </is>
      </c>
    </row>
    <row r="14">
      <c r="A14" s="21" t="inlineStr">
        <is>
          <t>Primary Cloud</t>
        </is>
      </c>
      <c r="B14" s="48" t="inlineStr">
        <is>
          <t>Microsoft Azure (UK South primary / UK West DR)</t>
        </is>
      </c>
    </row>
    <row r="15">
      <c r="A15" s="44" t="inlineStr">
        <is>
          <t>Rationale 1</t>
        </is>
      </c>
      <c r="B15" s="45" t="inlineStr">
        <is>
          <t>Highest 3yr TCO saving: ~39% vs on-prem (Azure RI + AHB) vs 30% AWS, 34% GCP</t>
        </is>
      </c>
    </row>
    <row r="16">
      <c r="A16" s="21" t="inlineStr">
        <is>
          <t>Rationale 2</t>
        </is>
      </c>
      <c r="B16" s="48" t="inlineStr">
        <is>
          <t>AHB advantage: 1,200+ Windows + 340+ SQL licences eligible; estimated Xm/yr saving</t>
        </is>
      </c>
    </row>
    <row r="17">
      <c r="A17" s="44" t="inlineStr">
        <is>
          <t>Rationale 3</t>
        </is>
      </c>
      <c r="B17" s="45" t="inlineStr">
        <is>
          <t>Azure UK South holds FCA, ISO 27001, SOC 2 Type II -- required for regulated media</t>
        </is>
      </c>
    </row>
    <row r="18">
      <c r="A18" s="21" t="inlineStr">
        <is>
          <t>Rationale 4</t>
        </is>
      </c>
      <c r="B18" s="48" t="inlineStr">
        <is>
          <t>AMM eligibility confirmed: 800K-1.2M funded services available</t>
        </is>
      </c>
    </row>
    <row r="19">
      <c r="A19" s="44" t="inlineStr">
        <is>
          <t>Rationale 5</t>
        </is>
      </c>
      <c r="B19" s="45" t="inlineStr">
        <is>
          <t>Existing Microsoft EA + Unified Support -- commercial continuity for customer</t>
        </is>
      </c>
    </row>
    <row r="20">
      <c r="A20" s="21" t="inlineStr">
        <is>
          <t>Secondary</t>
        </is>
      </c>
      <c r="B20" s="48" t="inlineStr">
        <is>
          <t>AWS London (eu-west-2) for DR and batch processing workloads</t>
        </is>
      </c>
    </row>
    <row r="21">
      <c r="A21" s="44" t="inlineStr">
        <is>
          <t>Multi-Cloud</t>
        </is>
      </c>
      <c r="B21" s="45" t="inlineStr">
        <is>
          <t>4 workload exceptions -- see Multi-Cloud Exceptions tab</t>
        </is>
      </c>
    </row>
  </sheetData>
  <mergeCells count="11">
    <mergeCell ref="B21:F21"/>
    <mergeCell ref="A2:F2"/>
    <mergeCell ref="A13:F13"/>
    <mergeCell ref="B16:F16"/>
    <mergeCell ref="B15:F15"/>
    <mergeCell ref="B20:F20"/>
    <mergeCell ref="A1:F1"/>
    <mergeCell ref="B19:F19"/>
    <mergeCell ref="B14:F14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2026-04-25T12:28:28Z</dcterms:created>
  <dcterms:modified xmlns:dcterms="http://purl.org/dc/terms/" xmlns:xsi="http://www.w3.org/2001/XMLSchema-instance" xsi:type="dcterms:W3CDTF">2026-06-03T06:25:42Z</dcterms:modified>
  <cp:revision>0</cp:revision>
</cp:coreProperties>
</file>