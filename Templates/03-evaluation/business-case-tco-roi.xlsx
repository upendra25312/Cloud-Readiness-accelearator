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1" activeTab="2" autoFilterDateGrouping="1"/>
  </bookViews>
  <sheets>
    <sheet xmlns:r="http://schemas.openxmlformats.org/officeDocument/2006/relationships" name="Instructions" sheetId="1" state="visible" r:id="rId1"/>
    <sheet xmlns:r="http://schemas.openxmlformats.org/officeDocument/2006/relationships" name="Executive Dashboard" sheetId="2" state="visible" r:id="rId2"/>
    <sheet xmlns:r="http://schemas.openxmlformats.org/officeDocument/2006/relationships" name="Business Case" sheetId="3" state="visible" r:id="rId3"/>
    <sheet xmlns:r="http://schemas.openxmlformats.org/officeDocument/2006/relationships" name="Multi-Cloud Comparison" sheetId="4" state="visible" r:id="rId4"/>
    <sheet xmlns:r="http://schemas.openxmlformats.org/officeDocument/2006/relationships" name="Cloud Provider Data" sheetId="5" state="visible" r:id="rId5"/>
    <sheet xmlns:r="http://schemas.openxmlformats.org/officeDocument/2006/relationships" name="Licensing-Overlay" sheetId="6" state="visible" r:id="rId6"/>
    <sheet xmlns:r="http://schemas.openxmlformats.org/officeDocument/2006/relationships" name="OnPrem-StatusQuo" sheetId="7" state="visible" r:id="rId7"/>
    <sheet xmlns:r="http://schemas.openxmlformats.org/officeDocument/2006/relationships" name="Year1-DualRunning" sheetId="8" state="visible" r:id="rId8"/>
    <sheet xmlns:r="http://schemas.openxmlformats.org/officeDocument/2006/relationships" name="Partner-Credits" sheetId="9" state="visible" r:id="rId9"/>
    <sheet xmlns:r="http://schemas.openxmlformats.org/officeDocument/2006/relationships" name="Pricing Validation" sheetId="10" state="visible" r:id="rId10"/>
  </sheets>
  <definedNames/>
  <calcPr calcId="191029" fullCalcOnLoad="1" iterateDelta="0.0001"/>
</workbook>
</file>

<file path=xl/styles.xml><?xml version="1.0" encoding="utf-8"?>
<styleSheet xmlns="http://schemas.openxmlformats.org/spreadsheetml/2006/main">
  <numFmts count="5">
    <numFmt numFmtId="164" formatCode="0.0%"/>
    <numFmt numFmtId="165" formatCode="0.0"/>
    <numFmt numFmtId="166" formatCode="&quot;₹&quot;#,##0"/>
    <numFmt numFmtId="167" formatCode="[$$-409]#,##0"/>
    <numFmt numFmtId="168" formatCode="#,##0.0;\(#,##0.0\);\-"/>
  </numFmts>
  <fonts count="45">
    <font>
      <name val="Calibri"/>
      <charset val="1"/>
      <family val="2"/>
      <color theme="1"/>
      <sz val="11"/>
    </font>
    <font>
      <name val="Calibri"/>
      <charset val="1"/>
      <family val="2"/>
      <b val="1"/>
      <color theme="1"/>
      <sz val="11"/>
    </font>
    <font>
      <name val="Calibri"/>
      <charset val="1"/>
      <family val="2"/>
      <b val="1"/>
      <color rgb="FFFFFFFF"/>
      <sz val="16"/>
    </font>
    <font>
      <name val="Calibri"/>
      <charset val="1"/>
      <family val="2"/>
      <i val="1"/>
      <color theme="1"/>
      <sz val="11"/>
    </font>
    <font>
      <name val="Calibri"/>
      <charset val="1"/>
      <family val="2"/>
      <b val="1"/>
      <color rgb="FFFFFFFF"/>
      <sz val="11"/>
    </font>
    <font>
      <name val="Calibri"/>
      <charset val="1"/>
      <family val="2"/>
      <b val="1"/>
      <color theme="1"/>
      <sz val="14"/>
    </font>
    <font>
      <name val="Calibri"/>
      <charset val="1"/>
      <family val="2"/>
      <b val="1"/>
      <color rgb="FFFFFFFF"/>
      <sz val="14"/>
    </font>
    <font>
      <name val="Calibri"/>
      <charset val="1"/>
      <family val="2"/>
      <b val="1"/>
      <color rgb="FFFFFFFF"/>
      <sz val="18"/>
    </font>
    <font>
      <name val="Calibri"/>
      <charset val="1"/>
      <family val="2"/>
      <b val="1"/>
      <i val="1"/>
      <color rgb="FFFFFFFF"/>
      <sz val="12"/>
    </font>
    <font>
      <name val="Segoe UI"/>
      <color rgb="FF000000"/>
      <sz val="11"/>
    </font>
    <font>
      <name val="Segoe UI"/>
      <b val="1"/>
      <color rgb="FFFFFFFF"/>
      <sz val="13"/>
    </font>
    <font>
      <name val="Segoe UI"/>
      <b val="1"/>
      <color rgb="FF1B4F72"/>
      <sz val="11"/>
    </font>
    <font>
      <name val="Segoe UI"/>
      <b val="1"/>
      <color rgb="FFFFFFFF"/>
      <sz val="10"/>
    </font>
    <font>
      <name val="Segoe UI"/>
      <b val="1"/>
      <color rgb="FF1B4F72"/>
      <sz val="10"/>
    </font>
    <font>
      <name val="Segoe UI"/>
      <b val="1"/>
      <color rgb="FFFFFFFF"/>
      <sz val="11"/>
    </font>
    <font>
      <name val="Segoe UI"/>
      <b val="1"/>
      <color rgb="FFFFFFFF"/>
      <sz val="12"/>
    </font>
    <font>
      <name val="Segoe UI"/>
      <color rgb="FF1E8449"/>
      <sz val="10"/>
    </font>
    <font>
      <name val="Segoe UI"/>
      <b val="1"/>
      <color rgb="FFFFFFFF"/>
      <sz val="14"/>
    </font>
    <font>
      <name val="Segoe UI"/>
      <b val="1"/>
      <color rgb="FFF7DC6F"/>
      <sz val="10"/>
    </font>
    <font>
      <name val="Segoe UI"/>
      <b val="1"/>
      <color rgb="FFFFFFFF"/>
      <sz val="16"/>
    </font>
    <font>
      <name val="Segoe UI"/>
      <i val="1"/>
      <color rgb="FFD4E6F1"/>
      <sz val="11"/>
    </font>
    <font>
      <name val="Segoe UI"/>
      <color rgb="FF2C3E50"/>
      <sz val="10"/>
    </font>
    <font>
      <name val="Segoe UI"/>
      <color rgb="FF1B4F72"/>
      <sz val="11"/>
    </font>
    <font>
      <name val="Segoe UI"/>
      <color rgb="FF922B21"/>
      <sz val="10"/>
    </font>
    <font>
      <name val="Segoe UI"/>
      <b val="1"/>
      <color rgb="FF2C3E50"/>
      <sz val="10"/>
    </font>
    <font>
      <name val="Segoe UI"/>
      <i val="1"/>
      <color rgb="FFD4E6F1"/>
      <sz val="9"/>
    </font>
    <font>
      <name val="Segoe UI"/>
      <b val="1"/>
      <color rgb="FF1B4F72"/>
      <sz val="12"/>
    </font>
    <font>
      <name val="Calibri"/>
      <b val="1"/>
      <color rgb="00E31C3D"/>
      <sz val="16"/>
    </font>
    <font>
      <name val="Calibri"/>
      <i val="1"/>
      <color rgb="00666666"/>
      <sz val="11"/>
    </font>
    <font>
      <name val="Calibri"/>
      <b val="1"/>
      <sz val="10"/>
    </font>
    <font>
      <name val="Calibri"/>
      <b val="1"/>
      <color rgb="00FFFFFF"/>
      <sz val="10"/>
    </font>
    <font>
      <name val="Calibri"/>
      <sz val="10"/>
    </font>
    <font>
      <name val="Calibri"/>
      <sz val="9"/>
    </font>
    <font>
      <name val="Calibri"/>
      <i val="1"/>
      <color rgb="00999999"/>
      <sz val="8"/>
    </font>
    <font>
      <name val="Calibri"/>
      <b val="1"/>
      <color rgb="00FFFFFF"/>
      <sz val="11"/>
    </font>
    <font>
      <name val="Calibri"/>
      <b val="1"/>
      <color rgb="00000000"/>
      <sz val="10"/>
    </font>
    <font>
      <name val="Calibri"/>
      <b val="1"/>
      <i val="1"/>
      <sz val="10"/>
    </font>
    <font>
      <name val="Calibri"/>
      <b val="1"/>
      <sz val="12"/>
    </font>
    <font>
      <name val="Calibri"/>
      <b val="1"/>
      <sz val="11"/>
    </font>
    <font>
      <name val="Calibri"/>
      <b val="1"/>
      <color rgb="00FFFFFF"/>
      <sz val="13"/>
    </font>
    <font>
      <name val="Calibri"/>
      <i val="1"/>
      <color rgb="00000000"/>
      <sz val="9"/>
    </font>
    <font>
      <name val="Calibri"/>
      <b val="1"/>
      <color rgb="00E31C3D"/>
      <sz val="9"/>
    </font>
    <font>
      <name val="Calibri"/>
      <color rgb="00000000"/>
      <sz val="10"/>
    </font>
    <font>
      <name val="Calibri"/>
      <color rgb="00000000"/>
      <sz val="9"/>
    </font>
    <font>
      <name val="Calibri"/>
      <b val="1"/>
      <color rgb="00000000"/>
      <sz val="9"/>
    </font>
  </fonts>
  <fills count="73">
    <fill>
      <patternFill/>
    </fill>
    <fill>
      <patternFill patternType="gray125"/>
    </fill>
    <fill>
      <patternFill patternType="solid">
        <fgColor rgb="FF1F4E79"/>
        <bgColor indexed="64"/>
      </patternFill>
    </fill>
    <fill>
      <patternFill patternType="solid">
        <fgColor rgb="FF2E75B6"/>
        <bgColor indexed="64"/>
      </patternFill>
    </fill>
    <fill>
      <patternFill patternType="solid">
        <fgColor rgb="FFD6DCE5"/>
        <bgColor indexed="64"/>
      </patternFill>
    </fill>
    <fill>
      <patternFill patternType="solid">
        <fgColor rgb="FFE2EFDA"/>
        <bgColor indexed="64"/>
      </patternFill>
    </fill>
    <fill>
      <patternFill patternType="solid">
        <fgColor rgb="FFFFC000"/>
        <bgColor indexed="64"/>
      </patternFill>
    </fill>
    <fill>
      <patternFill patternType="solid">
        <fgColor rgb="FF70AD47"/>
        <bgColor indexed="64"/>
      </patternFill>
    </fill>
    <fill>
      <patternFill patternType="solid">
        <fgColor rgb="FF5B9BD5"/>
        <bgColor indexed="64"/>
      </patternFill>
    </fill>
    <fill>
      <patternFill patternType="solid">
        <fgColor rgb="FFFF9900"/>
        <bgColor indexed="64"/>
      </patternFill>
    </fill>
    <fill>
      <patternFill patternType="solid">
        <fgColor rgb="FFFFF2CC"/>
        <bgColor indexed="64"/>
      </patternFill>
    </fill>
    <fill>
      <patternFill patternType="solid">
        <fgColor rgb="FF0078D4"/>
        <bgColor indexed="64"/>
      </patternFill>
    </fill>
    <fill>
      <patternFill patternType="solid">
        <fgColor rgb="FFDEEBF7"/>
        <bgColor indexed="64"/>
      </patternFill>
    </fill>
    <fill>
      <patternFill patternType="solid">
        <fgColor rgb="FF4285F4"/>
        <bgColor indexed="64"/>
      </patternFill>
    </fill>
    <fill>
      <patternFill patternType="solid">
        <fgColor rgb="FFC6EFCE"/>
        <bgColor indexed="64"/>
      </patternFill>
    </fill>
    <fill>
      <patternFill patternType="solid">
        <fgColor rgb="FFC00000"/>
        <bgColor indexed="64"/>
      </patternFill>
    </fill>
    <fill>
      <patternFill patternType="solid">
        <fgColor rgb="FFFDEADA"/>
        <bgColor indexed="64"/>
      </patternFill>
    </fill>
    <fill>
      <patternFill patternType="solid">
        <fgColor rgb="FFFFE699"/>
        <bgColor indexed="64"/>
      </patternFill>
    </fill>
    <fill>
      <patternFill patternType="solid">
        <fgColor rgb="FFBDD7EE"/>
        <bgColor indexed="64"/>
      </patternFill>
    </fill>
    <fill>
      <patternFill patternType="solid">
        <fgColor rgb="FFC6E0B4"/>
        <bgColor indexed="64"/>
      </patternFill>
    </fill>
    <fill>
      <patternFill patternType="solid">
        <fgColor rgb="FF7030A0"/>
        <bgColor indexed="64"/>
      </patternFill>
    </fill>
    <fill>
      <patternFill patternType="solid">
        <fgColor rgb="FFE2D4F0"/>
        <bgColor indexed="64"/>
      </patternFill>
    </fill>
    <fill>
      <patternFill patternType="solid">
        <fgColor rgb="FF203864"/>
        <bgColor indexed="64"/>
      </patternFill>
    </fill>
    <fill>
      <patternFill patternType="solid">
        <fgColor rgb="FFD6DCE4"/>
        <bgColor indexed="64"/>
      </patternFill>
    </fill>
    <fill>
      <patternFill patternType="solid">
        <fgColor rgb="FF385723"/>
        <bgColor indexed="64"/>
      </patternFill>
    </fill>
    <fill>
      <patternFill patternType="solid">
        <fgColor rgb="FF833C0C"/>
        <bgColor indexed="64"/>
      </patternFill>
    </fill>
    <fill>
      <patternFill patternType="solid">
        <fgColor rgb="FFF4B183"/>
        <bgColor indexed="64"/>
      </patternFill>
    </fill>
    <fill>
      <patternFill patternType="solid">
        <fgColor rgb="FF9BC2E6"/>
        <bgColor indexed="64"/>
      </patternFill>
    </fill>
    <fill>
      <patternFill patternType="solid">
        <fgColor rgb="FF548235"/>
        <bgColor indexed="64"/>
      </patternFill>
    </fill>
    <fill>
      <patternFill patternType="solid">
        <fgColor rgb="FFD9E1F2"/>
        <bgColor indexed="64"/>
      </patternFill>
    </fill>
    <fill>
      <patternFill patternType="solid">
        <fgColor rgb="FFFCE4D6"/>
        <bgColor indexed="64"/>
      </patternFill>
    </fill>
    <fill>
      <patternFill patternType="solid">
        <fgColor rgb="FFA9D08E"/>
        <bgColor indexed="64"/>
      </patternFill>
    </fill>
    <fill>
      <patternFill patternType="solid">
        <fgColor rgb="FFE2D1F0"/>
        <bgColor indexed="64"/>
      </patternFill>
    </fill>
    <fill>
      <patternFill patternType="solid">
        <fgColor rgb="FF9966CC"/>
        <bgColor indexed="64"/>
      </patternFill>
    </fill>
    <fill>
      <patternFill patternType="solid">
        <fgColor rgb="FFF4CCCC"/>
        <bgColor indexed="64"/>
      </patternFill>
    </fill>
    <fill>
      <patternFill patternType="solid">
        <fgColor rgb="FF375623"/>
        <bgColor indexed="64"/>
      </patternFill>
    </fill>
    <fill>
      <patternFill patternType="solid">
        <fgColor rgb="FF4472C4"/>
        <bgColor indexed="64"/>
      </patternFill>
    </fill>
    <fill>
      <patternFill patternType="solid">
        <fgColor rgb="FFB4C6E7"/>
        <bgColor indexed="64"/>
      </patternFill>
    </fill>
    <fill>
      <patternFill patternType="solid">
        <fgColor rgb="FF333333"/>
        <bgColor indexed="64"/>
      </patternFill>
    </fill>
    <fill>
      <patternFill patternType="solid">
        <fgColor rgb="FF0F2540"/>
        <bgColor indexed="64"/>
      </patternFill>
    </fill>
    <fill>
      <patternFill patternType="solid">
        <fgColor rgb="FF1B4F72"/>
        <bgColor indexed="64"/>
      </patternFill>
    </fill>
    <fill>
      <patternFill patternType="solid">
        <fgColor rgb="FF2E86AB"/>
        <bgColor indexed="64"/>
      </patternFill>
    </fill>
    <fill>
      <patternFill patternType="solid">
        <fgColor rgb="FFD4E6F1"/>
        <bgColor indexed="64"/>
      </patternFill>
    </fill>
    <fill>
      <patternFill patternType="solid">
        <fgColor rgb="FF34495E"/>
        <bgColor indexed="64"/>
      </patternFill>
    </fill>
    <fill>
      <patternFill patternType="solid">
        <fgColor rgb="FFEBF5FB"/>
        <bgColor indexed="64"/>
      </patternFill>
    </fill>
    <fill>
      <patternFill patternType="solid">
        <fgColor rgb="FFF7DC6F"/>
        <bgColor indexed="64"/>
      </patternFill>
    </fill>
    <fill>
      <patternFill patternType="solid">
        <fgColor rgb="FFE8F8F5"/>
        <bgColor indexed="64"/>
      </patternFill>
    </fill>
    <fill>
      <patternFill patternType="solid">
        <fgColor rgb="FF27AE60"/>
        <bgColor indexed="64"/>
      </patternFill>
    </fill>
    <fill>
      <patternFill patternType="solid">
        <fgColor rgb="FFD5F5E3"/>
        <bgColor indexed="64"/>
      </patternFill>
    </fill>
    <fill>
      <patternFill patternType="solid">
        <fgColor rgb="FFE74C3C"/>
        <bgColor indexed="64"/>
      </patternFill>
    </fill>
    <fill>
      <patternFill patternType="solid">
        <fgColor rgb="FFFDEDEC"/>
        <bgColor indexed="64"/>
      </patternFill>
    </fill>
    <fill>
      <patternFill patternType="solid">
        <fgColor rgb="FFFADBD8"/>
        <bgColor indexed="64"/>
      </patternFill>
    </fill>
    <fill>
      <patternFill patternType="solid">
        <fgColor rgb="FF8E44AD"/>
        <bgColor indexed="64"/>
      </patternFill>
    </fill>
    <fill>
      <patternFill patternType="solid">
        <fgColor rgb="FFFFFFFF"/>
        <bgColor indexed="64"/>
      </patternFill>
    </fill>
    <fill>
      <patternFill patternType="solid">
        <fgColor rgb="FF1E8449"/>
        <bgColor indexed="64"/>
      </patternFill>
    </fill>
    <fill>
      <patternFill patternType="solid">
        <fgColor rgb="FF922B21"/>
        <bgColor indexed="64"/>
      </patternFill>
    </fill>
    <fill>
      <patternFill patternType="solid">
        <fgColor rgb="FFF8F9FA"/>
        <bgColor indexed="64"/>
      </patternFill>
    </fill>
    <fill>
      <patternFill patternType="solid">
        <fgColor rgb="FFC0392B"/>
        <bgColor indexed="64"/>
      </patternFill>
    </fill>
    <fill>
      <patternFill patternType="solid">
        <fgColor rgb="001A1F36"/>
      </patternFill>
    </fill>
    <fill>
      <patternFill patternType="solid">
        <fgColor rgb="000078D4"/>
      </patternFill>
    </fill>
    <fill>
      <patternFill patternType="solid">
        <fgColor rgb="00E31C3D"/>
      </patternFill>
    </fill>
    <fill>
      <patternFill patternType="solid">
        <fgColor rgb="00F2F2F2"/>
      </patternFill>
    </fill>
    <fill>
      <patternFill patternType="solid">
        <fgColor rgb="00FFF0E0"/>
      </patternFill>
    </fill>
    <fill>
      <patternFill patternType="solid">
        <fgColor rgb="00FFF3CD"/>
      </patternFill>
    </fill>
    <fill>
      <patternFill patternType="solid">
        <fgColor rgb="00D4EDDA"/>
      </patternFill>
    </fill>
    <fill>
      <patternFill patternType="solid">
        <fgColor rgb="001A1A1A"/>
      </patternFill>
    </fill>
    <fill>
      <patternFill patternType="solid">
        <fgColor rgb="00FFEB9C"/>
      </patternFill>
    </fill>
    <fill>
      <patternFill patternType="solid">
        <fgColor rgb="00FFC7CE"/>
      </patternFill>
    </fill>
    <fill>
      <patternFill patternType="solid">
        <fgColor rgb="00FFFFFF"/>
      </patternFill>
    </fill>
    <fill>
      <patternFill patternType="solid">
        <fgColor rgb="00C6EFCE"/>
      </patternFill>
    </fill>
    <fill>
      <patternFill patternType="solid">
        <fgColor rgb="00FF9900"/>
      </patternFill>
    </fill>
    <fill>
      <patternFill patternType="solid">
        <fgColor rgb="004285F4"/>
      </patternFill>
    </fill>
    <fill>
      <patternFill patternType="solid">
        <fgColor rgb="00595959"/>
      </patternFill>
    </fill>
  </fills>
  <borders count="41">
    <border>
      <left/>
      <right/>
      <top/>
      <bottom/>
      <diagonal/>
    </border>
    <border>
      <left/>
      <right/>
      <top/>
      <bottom style="thick">
        <color rgb="FFF7DC6F"/>
      </bottom>
      <diagonal/>
    </border>
    <border>
      <left style="thin">
        <color rgb="FF1B4F72"/>
      </left>
      <right style="thin">
        <color rgb="FFD5DBDB"/>
      </right>
      <top style="medium">
        <color rgb="FFF7DC6F"/>
      </top>
      <bottom style="thin">
        <color rgb="FF1B4F72"/>
      </bottom>
      <diagonal/>
    </border>
    <border>
      <left style="thin">
        <color rgb="FFD5DBDB"/>
      </left>
      <right style="thin">
        <color rgb="FFD5DBDB"/>
      </right>
      <top style="medium">
        <color rgb="FFF7DC6F"/>
      </top>
      <bottom style="thin">
        <color rgb="FF1B4F72"/>
      </bottom>
      <diagonal/>
    </border>
    <border>
      <left style="thin">
        <color rgb="FFD5DBDB"/>
      </left>
      <right style="thin">
        <color rgb="FF1B4F72"/>
      </right>
      <top style="medium">
        <color rgb="FFF7DC6F"/>
      </top>
      <bottom style="thin">
        <color rgb="FF1B4F72"/>
      </bottom>
      <diagonal/>
    </border>
    <border>
      <left/>
      <right/>
      <top style="medium">
        <color rgb="FFF7DC6F"/>
      </top>
      <bottom/>
      <diagonal/>
    </border>
    <border>
      <left style="thin">
        <color rgb="FFD5D8DC"/>
      </left>
      <right style="thin">
        <color rgb="FFD5D8DC"/>
      </right>
      <top style="thin">
        <color rgb="FFD5D8DC"/>
      </top>
      <bottom style="thin">
        <color rgb="FFD5D8DC"/>
      </bottom>
      <diagonal/>
    </border>
    <border>
      <left style="thin">
        <color rgb="FFD5D8DC"/>
      </left>
      <right style="thin">
        <color rgb="FFD5D8DC"/>
      </right>
      <top style="thin">
        <color rgb="FF2C3E50"/>
      </top>
      <bottom style="thin">
        <color rgb="FFD5D8DC"/>
      </bottom>
      <diagonal/>
    </border>
    <border>
      <left style="thin">
        <color rgb="FFD5D8DC"/>
      </left>
      <right style="thin">
        <color rgb="FFD5D8DC"/>
      </right>
      <top style="thin">
        <color rgb="FFD5D8DC"/>
      </top>
      <bottom style="thin">
        <color rgb="FF2C3E50"/>
      </bottom>
      <diagonal/>
    </border>
    <border>
      <left style="thin">
        <color rgb="FF2C3E50"/>
      </left>
      <right style="thin">
        <color rgb="FFD5D8DC"/>
      </right>
      <top style="thin">
        <color rgb="FF2C3E50"/>
      </top>
      <bottom style="thin">
        <color rgb="FFD5D8DC"/>
      </bottom>
      <diagonal/>
    </border>
    <border>
      <left style="thin">
        <color rgb="FF2C3E50"/>
      </left>
      <right style="thin">
        <color rgb="FFD5D8DC"/>
      </right>
      <top style="thin">
        <color rgb="FFD5D8DC"/>
      </top>
      <bottom style="thin">
        <color rgb="FFD5D8DC"/>
      </bottom>
      <diagonal/>
    </border>
    <border>
      <left style="thin">
        <color rgb="FF2C3E50"/>
      </left>
      <right style="thin">
        <color rgb="FFD5D8DC"/>
      </right>
      <top style="thin">
        <color rgb="FFD5D8DC"/>
      </top>
      <bottom style="thin">
        <color rgb="FF2C3E50"/>
      </bottom>
      <diagonal/>
    </border>
    <border>
      <left style="thin">
        <color rgb="FFD5D8DC"/>
      </left>
      <right style="thin">
        <color rgb="FF2C3E50"/>
      </right>
      <top style="thin">
        <color rgb="FF2C3E50"/>
      </top>
      <bottom style="thin">
        <color rgb="FFD5D8DC"/>
      </bottom>
      <diagonal/>
    </border>
    <border>
      <left style="thin">
        <color rgb="FFD5D8DC"/>
      </left>
      <right style="thin">
        <color rgb="FF2C3E50"/>
      </right>
      <top style="thin">
        <color rgb="FFD5D8DC"/>
      </top>
      <bottom style="thin">
        <color rgb="FFD5D8DC"/>
      </bottom>
      <diagonal/>
    </border>
    <border>
      <left style="thin">
        <color rgb="FFD5D8DC"/>
      </left>
      <right style="thin">
        <color rgb="FF2C3E50"/>
      </right>
      <top style="thin">
        <color rgb="FFD5D8DC"/>
      </top>
      <bottom style="thin">
        <color rgb="FF2C3E50"/>
      </bottom>
      <diagonal/>
    </border>
    <border>
      <left style="thick">
        <color rgb="FF0F2540"/>
      </left>
      <right/>
      <top style="thick">
        <color rgb="FF0F2540"/>
      </top>
      <bottom style="medium">
        <color rgb="FFF7DC6F"/>
      </bottom>
      <diagonal/>
    </border>
    <border>
      <left/>
      <right/>
      <top style="thick">
        <color rgb="FF0F2540"/>
      </top>
      <bottom style="medium">
        <color rgb="FFF7DC6F"/>
      </bottom>
      <diagonal/>
    </border>
    <border>
      <left/>
      <right style="thick">
        <color rgb="FF0F2540"/>
      </right>
      <top style="thick">
        <color rgb="FF0F2540"/>
      </top>
      <bottom style="medium">
        <color rgb="FFF7DC6F"/>
      </bottom>
      <diagonal/>
    </border>
    <border>
      <left style="thin">
        <color rgb="FF2C3E50"/>
      </left>
      <right style="thin">
        <color rgb="FFD5D8DC"/>
      </right>
      <top/>
      <bottom style="thin">
        <color rgb="FFD5D8DC"/>
      </bottom>
      <diagonal/>
    </border>
    <border>
      <left style="thin">
        <color rgb="FFD5D8DC"/>
      </left>
      <right style="thin">
        <color rgb="FFD5D8DC"/>
      </right>
      <top/>
      <bottom style="thin">
        <color rgb="FFD5D8DC"/>
      </bottom>
      <diagonal/>
    </border>
    <border>
      <left style="thin">
        <color rgb="FFD5D8DC"/>
      </left>
      <right style="thin">
        <color rgb="FF2C3E50"/>
      </right>
      <top/>
      <bottom style="thin">
        <color rgb="FFD5D8DC"/>
      </bottom>
      <diagonal/>
    </border>
    <border>
      <left style="thick">
        <color rgb="FF0F2540"/>
      </left>
      <right/>
      <top style="thick">
        <color rgb="FF0F2540"/>
      </top>
      <bottom style="medium">
        <color rgb="FF2C3E50"/>
      </bottom>
      <diagonal/>
    </border>
    <border>
      <left/>
      <right/>
      <top style="thick">
        <color rgb="FF0F2540"/>
      </top>
      <bottom style="medium">
        <color rgb="FF2C3E50"/>
      </bottom>
      <diagonal/>
    </border>
    <border>
      <left/>
      <right style="thick">
        <color rgb="FF0F2540"/>
      </right>
      <top style="thick">
        <color rgb="FF0F2540"/>
      </top>
      <bottom style="medium">
        <color rgb="FF2C3E50"/>
      </bottom>
      <diagonal/>
    </border>
    <border>
      <left style="thick">
        <color rgb="FFF7DC6F"/>
      </left>
      <right/>
      <top/>
      <bottom style="thick">
        <color rgb="FFF7DC6F"/>
      </bottom>
      <diagonal/>
    </border>
    <border>
      <left style="thick">
        <color rgb="FFF7DC6F"/>
      </left>
      <right/>
      <top/>
      <bottom/>
      <diagonal/>
    </border>
    <border>
      <left/>
      <right style="thick">
        <color rgb="FFF7DC6F"/>
      </right>
      <top/>
      <bottom/>
      <diagonal/>
    </border>
    <border>
      <left style="thick">
        <color rgb="FFF7DC6F"/>
      </left>
      <right/>
      <top style="thick">
        <color rgb="FFF7DC6F"/>
      </top>
      <bottom/>
      <diagonal/>
    </border>
    <border>
      <left/>
      <right/>
      <top style="thick">
        <color rgb="FFF7DC6F"/>
      </top>
      <bottom/>
      <diagonal/>
    </border>
    <border>
      <left/>
      <right style="thick">
        <color rgb="FFF7DC6F"/>
      </right>
      <top style="thick">
        <color rgb="FFF7DC6F"/>
      </top>
      <bottom/>
      <diagonal/>
    </border>
    <border>
      <left style="thick">
        <color rgb="FFF7DC6F"/>
      </left>
      <right style="thick">
        <color rgb="FFF7DC6F"/>
      </right>
      <top style="thick">
        <color rgb="FFF7DC6F"/>
      </top>
      <bottom/>
      <diagonal/>
    </border>
    <border>
      <left style="thick">
        <color rgb="FF0F2540"/>
      </left>
      <right style="thick">
        <color rgb="FF0F2540"/>
      </right>
      <top style="thick">
        <color rgb="FF0F2540"/>
      </top>
      <bottom style="medium">
        <color rgb="FF2C3E50"/>
      </bottom>
      <diagonal/>
    </border>
    <border>
      <left/>
      <right/>
      <top style="thick">
        <color rgb="FF0F2540"/>
      </top>
      <bottom/>
      <diagonal/>
    </border>
    <border>
      <left/>
      <right style="thick">
        <color rgb="FF0F2540"/>
      </right>
      <top style="thick">
        <color rgb="FF0F2540"/>
      </top>
      <bottom/>
      <diagonal/>
    </border>
    <border>
      <left style="thick">
        <color rgb="FF0F2540"/>
      </left>
      <right style="thick">
        <color rgb="FF0F2540"/>
      </right>
      <top style="thick">
        <color rgb="FF0F2540"/>
      </top>
      <bottom style="medium">
        <color rgb="FFF7DC6F"/>
      </bottom>
      <diagonal/>
    </border>
    <border>
      <left style="thin"/>
      <right style="thin"/>
      <top style="thin"/>
      <bottom style="thin"/>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06">
    <xf numFmtId="0" fontId="0" fillId="0" borderId="0" pivotButton="0" quotePrefix="0" xfId="0"/>
    <xf numFmtId="9" fontId="0" fillId="0" borderId="0" pivotButton="0" quotePrefix="0" xfId="0"/>
    <xf numFmtId="164" fontId="0" fillId="0" borderId="0" pivotButton="0" quotePrefix="0" xfId="0"/>
    <xf numFmtId="165" fontId="0" fillId="0" borderId="0" pivotButton="0" quotePrefix="0" xfId="0"/>
    <xf numFmtId="165" fontId="1" fillId="27" borderId="0" pivotButton="0" quotePrefix="0" xfId="0"/>
    <xf numFmtId="165" fontId="4" fillId="7" borderId="0" pivotButton="0" quotePrefix="0" xfId="0"/>
    <xf numFmtId="165" fontId="4" fillId="33" borderId="0" pivotButton="0" quotePrefix="0" xfId="0"/>
    <xf numFmtId="165" fontId="4" fillId="15" borderId="0" pivotButton="0" quotePrefix="0" xfId="0"/>
    <xf numFmtId="165" fontId="4" fillId="2" borderId="0" pivotButton="0" quotePrefix="0" xfId="0"/>
    <xf numFmtId="0" fontId="0" fillId="0" borderId="0" applyAlignment="1" pivotButton="0" quotePrefix="0" xfId="0">
      <alignment horizontal="center"/>
    </xf>
    <xf numFmtId="9" fontId="0" fillId="0" borderId="0" applyAlignment="1" pivotButton="0" quotePrefix="0" xfId="0">
      <alignment horizontal="center"/>
    </xf>
    <xf numFmtId="9" fontId="4" fillId="7" borderId="0" applyAlignment="1" pivotButton="0" quotePrefix="0" xfId="0">
      <alignment horizontal="center"/>
    </xf>
    <xf numFmtId="9" fontId="1" fillId="27" borderId="0" applyAlignment="1" pivotButton="0" quotePrefix="0" xfId="0">
      <alignment horizontal="center"/>
    </xf>
    <xf numFmtId="9" fontId="1" fillId="31" borderId="0" applyAlignment="1" pivotButton="0" quotePrefix="0" xfId="0">
      <alignment horizontal="center"/>
    </xf>
    <xf numFmtId="9" fontId="4" fillId="33" borderId="0" applyAlignment="1" pivotButton="0" quotePrefix="0" xfId="0">
      <alignment horizontal="center"/>
    </xf>
    <xf numFmtId="9" fontId="4" fillId="2" borderId="0" applyAlignment="1" pivotButton="0" quotePrefix="0" xfId="0">
      <alignment horizontal="center"/>
    </xf>
    <xf numFmtId="165" fontId="0" fillId="0" borderId="0" applyAlignment="1" pivotButton="0" quotePrefix="0" xfId="0">
      <alignment horizontal="center"/>
    </xf>
    <xf numFmtId="165" fontId="1" fillId="0" borderId="0" applyAlignment="1" pivotButton="0" quotePrefix="0" xfId="0">
      <alignment horizontal="center"/>
    </xf>
    <xf numFmtId="0" fontId="7" fillId="2" borderId="0" applyAlignment="1" pivotButton="0" quotePrefix="0" xfId="0">
      <alignment horizontal="center"/>
    </xf>
    <xf numFmtId="0" fontId="0" fillId="0" borderId="0" pivotButton="0" quotePrefix="0" xfId="0"/>
    <xf numFmtId="0" fontId="3" fillId="0" borderId="0" applyAlignment="1" pivotButton="0" quotePrefix="0" xfId="0">
      <alignment horizontal="center"/>
    </xf>
    <xf numFmtId="0" fontId="0" fillId="0" borderId="0" pivotButton="0" quotePrefix="0" xfId="0"/>
    <xf numFmtId="0" fontId="4" fillId="3" borderId="0" pivotButton="0" quotePrefix="0" xfId="0"/>
    <xf numFmtId="0" fontId="4" fillId="8" borderId="0" pivotButton="0" quotePrefix="0" xfId="0"/>
    <xf numFmtId="0" fontId="1" fillId="4" borderId="0" pivotButton="0" quotePrefix="0" xfId="0"/>
    <xf numFmtId="166" fontId="0" fillId="0" borderId="0" pivotButton="0" quotePrefix="0" xfId="0"/>
    <xf numFmtId="0" fontId="1" fillId="14" borderId="0" pivotButton="0" quotePrefix="0" xfId="0"/>
    <xf numFmtId="0" fontId="4" fillId="15" borderId="0" pivotButton="0" quotePrefix="0" xfId="0"/>
    <xf numFmtId="0" fontId="1" fillId="16" borderId="0" pivotButton="0" quotePrefix="0" xfId="0"/>
    <xf numFmtId="0" fontId="4" fillId="7" borderId="0" pivotButton="0" quotePrefix="0" xfId="0"/>
    <xf numFmtId="0" fontId="1" fillId="5" borderId="0" pivotButton="0" quotePrefix="0" xfId="0"/>
    <xf numFmtId="0" fontId="0" fillId="53" borderId="0" pivotButton="0" quotePrefix="0" xfId="0"/>
    <xf numFmtId="0" fontId="9" fillId="53" borderId="0" pivotButton="0" quotePrefix="0" xfId="0"/>
    <xf numFmtId="0" fontId="11" fillId="42" borderId="0" applyAlignment="1" pivotButton="0" quotePrefix="0" xfId="0">
      <alignment horizontal="left" vertical="center" indent="1"/>
    </xf>
    <xf numFmtId="0" fontId="9" fillId="53" borderId="0" applyAlignment="1" pivotButton="0" quotePrefix="0" xfId="0">
      <alignment horizontal="left"/>
    </xf>
    <xf numFmtId="0" fontId="9" fillId="53" borderId="0" applyAlignment="1" pivotButton="0" quotePrefix="0" xfId="0">
      <alignment horizontal="center"/>
    </xf>
    <xf numFmtId="0" fontId="11" fillId="42" borderId="0" applyAlignment="1" pivotButton="0" quotePrefix="0" xfId="0">
      <alignment horizontal="center" vertical="center" indent="1"/>
    </xf>
    <xf numFmtId="0" fontId="2" fillId="2"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6" fillId="2" borderId="0" pivotButton="0" quotePrefix="0" xfId="0"/>
    <xf numFmtId="0" fontId="1" fillId="6" borderId="0" applyAlignment="1" pivotButton="0" quotePrefix="0" xfId="0">
      <alignment horizontal="center"/>
    </xf>
    <xf numFmtId="0" fontId="1" fillId="6" borderId="0" pivotButton="0" quotePrefix="0" xfId="0"/>
    <xf numFmtId="0" fontId="4" fillId="7" borderId="0" applyAlignment="1" pivotButton="0" quotePrefix="0" xfId="0">
      <alignment horizontal="center"/>
    </xf>
    <xf numFmtId="0" fontId="4" fillId="7" borderId="0" pivotButton="0" quotePrefix="0" xfId="0"/>
    <xf numFmtId="0" fontId="3" fillId="0" borderId="0" applyAlignment="1" pivotButton="0" quotePrefix="0" xfId="0">
      <alignment horizontal="center"/>
    </xf>
    <xf numFmtId="0" fontId="3" fillId="0" borderId="0" pivotButton="0" quotePrefix="0" xfId="0"/>
    <xf numFmtId="0" fontId="8" fillId="2" borderId="0" pivotButton="0" quotePrefix="0" xfId="0"/>
    <xf numFmtId="0" fontId="3" fillId="23" borderId="0" pivotButton="0" quotePrefix="0" xfId="0"/>
    <xf numFmtId="0" fontId="1" fillId="18" borderId="0" applyAlignment="1" pivotButton="0" quotePrefix="0" xfId="0">
      <alignment horizontal="center"/>
    </xf>
    <xf numFmtId="0" fontId="1" fillId="18" borderId="0" pivotButton="0" quotePrefix="0" xfId="0"/>
    <xf numFmtId="0" fontId="1" fillId="27" borderId="0" applyAlignment="1" pivotButton="0" quotePrefix="0" xfId="0">
      <alignment horizontal="center"/>
    </xf>
    <xf numFmtId="0" fontId="1" fillId="27" borderId="0" pivotButton="0" quotePrefix="0" xfId="0"/>
    <xf numFmtId="0" fontId="4" fillId="28" borderId="0" pivotButton="0" quotePrefix="0" xfId="0"/>
    <xf numFmtId="0" fontId="1" fillId="19" borderId="0" applyAlignment="1" pivotButton="0" quotePrefix="0" xfId="0">
      <alignment horizontal="center"/>
    </xf>
    <xf numFmtId="0" fontId="1" fillId="19" borderId="0" pivotButton="0" quotePrefix="0" xfId="0"/>
    <xf numFmtId="0" fontId="1" fillId="31" borderId="0" applyAlignment="1" pivotButton="0" quotePrefix="0" xfId="0">
      <alignment horizontal="center"/>
    </xf>
    <xf numFmtId="166" fontId="1" fillId="31" borderId="0" pivotButton="0" quotePrefix="0" xfId="0"/>
    <xf numFmtId="0" fontId="1" fillId="31" borderId="0" pivotButton="0" quotePrefix="0" xfId="0"/>
    <xf numFmtId="0" fontId="4" fillId="20" borderId="0" pivotButton="0" quotePrefix="0" xfId="0"/>
    <xf numFmtId="0" fontId="1" fillId="32" borderId="0" applyAlignment="1" pivotButton="0" quotePrefix="0" xfId="0">
      <alignment horizontal="center"/>
    </xf>
    <xf numFmtId="0" fontId="1" fillId="32" borderId="0" pivotButton="0" quotePrefix="0" xfId="0"/>
    <xf numFmtId="0" fontId="4" fillId="33" borderId="0" applyAlignment="1" pivotButton="0" quotePrefix="0" xfId="0">
      <alignment horizontal="center"/>
    </xf>
    <xf numFmtId="0" fontId="4" fillId="33" borderId="0" pivotButton="0" quotePrefix="0" xfId="0"/>
    <xf numFmtId="0" fontId="1" fillId="34" borderId="0" applyAlignment="1" pivotButton="0" quotePrefix="0" xfId="0">
      <alignment horizontal="center"/>
    </xf>
    <xf numFmtId="0" fontId="1" fillId="34" borderId="0" pivotButton="0" quotePrefix="0" xfId="0"/>
    <xf numFmtId="0" fontId="4" fillId="15" borderId="0" applyAlignment="1" pivotButton="0" quotePrefix="0" xfId="0">
      <alignment horizontal="center"/>
    </xf>
    <xf numFmtId="0" fontId="4" fillId="15" borderId="0" pivotButton="0" quotePrefix="0" xfId="0"/>
    <xf numFmtId="0" fontId="4" fillId="2" borderId="0" pivotButton="0" quotePrefix="0" xfId="0"/>
    <xf numFmtId="0" fontId="4" fillId="2" borderId="0" applyAlignment="1" pivotButton="0" quotePrefix="0" xfId="0">
      <alignment horizontal="center"/>
    </xf>
    <xf numFmtId="0" fontId="4" fillId="2" borderId="0" pivotButton="0" quotePrefix="0" xfId="0"/>
    <xf numFmtId="0" fontId="4" fillId="35" borderId="0" pivotButton="0" quotePrefix="0" xfId="0"/>
    <xf numFmtId="0" fontId="1" fillId="0" borderId="0" applyAlignment="1" pivotButton="0" quotePrefix="0" xfId="0">
      <alignment horizontal="center"/>
    </xf>
    <xf numFmtId="0" fontId="4" fillId="36" borderId="0" pivotButton="0" quotePrefix="0" xfId="0"/>
    <xf numFmtId="0" fontId="1" fillId="37" borderId="0" applyAlignment="1" pivotButton="0" quotePrefix="0" xfId="0">
      <alignment horizontal="center"/>
    </xf>
    <xf numFmtId="0" fontId="1" fillId="37" borderId="0" pivotButton="0" quotePrefix="0" xfId="0"/>
    <xf numFmtId="0" fontId="1" fillId="6" borderId="0" pivotButton="0" quotePrefix="0" xfId="0"/>
    <xf numFmtId="0" fontId="1" fillId="17" borderId="0" applyAlignment="1" pivotButton="0" quotePrefix="0" xfId="0">
      <alignment horizontal="center"/>
    </xf>
    <xf numFmtId="0" fontId="1" fillId="17" borderId="0" pivotButton="0" quotePrefix="0" xfId="0"/>
    <xf numFmtId="0" fontId="0" fillId="0" borderId="0" applyAlignment="1" pivotButton="0" quotePrefix="0" xfId="0">
      <alignment horizontal="left"/>
    </xf>
    <xf numFmtId="0" fontId="3" fillId="30" borderId="0" pivotButton="0" quotePrefix="0" xfId="0"/>
    <xf numFmtId="0" fontId="3" fillId="5" borderId="0" pivotButton="0" quotePrefix="0" xfId="0"/>
    <xf numFmtId="0" fontId="4" fillId="38" borderId="0" pivotButton="0" quotePrefix="0" xfId="0"/>
    <xf numFmtId="0" fontId="5" fillId="0" borderId="0" pivotButton="0" quotePrefix="0" xfId="0"/>
    <xf numFmtId="0" fontId="4" fillId="9" borderId="0" pivotButton="0" quotePrefix="0" xfId="0"/>
    <xf numFmtId="0" fontId="1" fillId="10" borderId="0" pivotButton="0" quotePrefix="0" xfId="0"/>
    <xf numFmtId="0" fontId="4" fillId="11" borderId="0" pivotButton="0" quotePrefix="0" xfId="0"/>
    <xf numFmtId="0" fontId="1" fillId="12" borderId="0" pivotButton="0" quotePrefix="0" xfId="0"/>
    <xf numFmtId="0" fontId="4" fillId="13" borderId="0" pivotButton="0" quotePrefix="0" xfId="0"/>
    <xf numFmtId="0" fontId="1" fillId="21" borderId="0" pivotButton="0" quotePrefix="0" xfId="0"/>
    <xf numFmtId="0" fontId="0" fillId="10" borderId="0" pivotButton="0" quotePrefix="0" xfId="0"/>
    <xf numFmtId="0" fontId="0" fillId="12" borderId="0" pivotButton="0" quotePrefix="0" xfId="0"/>
    <xf numFmtId="0" fontId="0" fillId="5" borderId="0" pivotButton="0" quotePrefix="0" xfId="0"/>
    <xf numFmtId="0" fontId="4" fillId="22" borderId="0" pivotButton="0" quotePrefix="0" xfId="0"/>
    <xf numFmtId="0" fontId="1" fillId="23" borderId="0" pivotButton="0" quotePrefix="0" xfId="0"/>
    <xf numFmtId="0" fontId="4" fillId="24" borderId="0" pivotButton="0" quotePrefix="0" xfId="0"/>
    <xf numFmtId="0" fontId="4" fillId="25" borderId="0" pivotButton="0" quotePrefix="0" xfId="0"/>
    <xf numFmtId="0" fontId="1" fillId="26" borderId="0" pivotButton="0" quotePrefix="0" xfId="0"/>
    <xf numFmtId="0" fontId="1" fillId="29" borderId="0" pivotButton="0" quotePrefix="0" xfId="0"/>
    <xf numFmtId="0" fontId="1" fillId="30" borderId="0" pivotButton="0" quotePrefix="0" xfId="0"/>
    <xf numFmtId="167" fontId="0" fillId="0" borderId="0" pivotButton="0" quotePrefix="0" xfId="0"/>
    <xf numFmtId="167" fontId="1" fillId="14" borderId="0" pivotButton="0" quotePrefix="0" xfId="0"/>
    <xf numFmtId="167" fontId="1" fillId="5" borderId="0" pivotButton="0" quotePrefix="0" xfId="0"/>
    <xf numFmtId="167" fontId="1" fillId="6" borderId="0" pivotButton="0" quotePrefix="0" xfId="0"/>
    <xf numFmtId="167" fontId="4" fillId="7" borderId="0" pivotButton="0" quotePrefix="0" xfId="0"/>
    <xf numFmtId="167" fontId="1" fillId="17" borderId="0" pivotButton="0" quotePrefix="0" xfId="0"/>
    <xf numFmtId="167" fontId="1" fillId="18" borderId="0" pivotButton="0" quotePrefix="0" xfId="0"/>
    <xf numFmtId="167" fontId="1" fillId="19" borderId="0" pivotButton="0" quotePrefix="0" xfId="0"/>
    <xf numFmtId="167" fontId="19" fillId="41" borderId="1" applyAlignment="1" pivotButton="0" quotePrefix="0" xfId="0">
      <alignment horizontal="center" vertical="center"/>
    </xf>
    <xf numFmtId="0" fontId="19" fillId="39" borderId="0" applyAlignment="1" pivotButton="0" quotePrefix="0" xfId="0">
      <alignment horizontal="center" vertical="center" indent="1"/>
    </xf>
    <xf numFmtId="0" fontId="20" fillId="43" borderId="0" applyAlignment="1" pivotButton="0" quotePrefix="0" xfId="0">
      <alignment horizontal="center" vertical="center" indent="1"/>
    </xf>
    <xf numFmtId="0" fontId="15" fillId="40" borderId="2" applyAlignment="1" pivotButton="0" quotePrefix="0" xfId="0">
      <alignment horizontal="left" vertical="center" wrapText="1"/>
    </xf>
    <xf numFmtId="167" fontId="15" fillId="40" borderId="3" applyAlignment="1" pivotButton="0" quotePrefix="0" xfId="0">
      <alignment horizontal="right" vertical="center" wrapText="1"/>
    </xf>
    <xf numFmtId="0" fontId="15" fillId="40" borderId="3" applyAlignment="1" pivotButton="0" quotePrefix="0" xfId="0">
      <alignment horizontal="center" vertical="center" wrapText="1"/>
    </xf>
    <xf numFmtId="0" fontId="15" fillId="40" borderId="4" applyAlignment="1" pivotButton="0" quotePrefix="0" xfId="0">
      <alignment horizontal="center" vertical="center" wrapText="1"/>
    </xf>
    <xf numFmtId="0" fontId="25" fillId="39" borderId="5" applyAlignment="1" pivotButton="0" quotePrefix="0" xfId="0">
      <alignment horizontal="center" vertical="center"/>
    </xf>
    <xf numFmtId="167" fontId="21" fillId="53" borderId="6" applyAlignment="1" pivotButton="0" quotePrefix="0" xfId="0">
      <alignment horizontal="right" vertical="center" wrapText="1"/>
    </xf>
    <xf numFmtId="0" fontId="21" fillId="53" borderId="6" applyAlignment="1" pivotButton="0" quotePrefix="0" xfId="0">
      <alignment horizontal="center" vertical="center" wrapText="1"/>
    </xf>
    <xf numFmtId="167" fontId="21" fillId="56" borderId="6" applyAlignment="1" pivotButton="0" quotePrefix="0" xfId="0">
      <alignment horizontal="right" vertical="center" wrapText="1"/>
    </xf>
    <xf numFmtId="0" fontId="21" fillId="56" borderId="6" applyAlignment="1" pivotButton="0" quotePrefix="0" xfId="0">
      <alignment horizontal="center" vertical="center" wrapText="1"/>
    </xf>
    <xf numFmtId="0" fontId="12" fillId="43" borderId="7" applyAlignment="1" pivotButton="0" quotePrefix="0" xfId="0">
      <alignment horizontal="center" vertical="center" wrapText="1"/>
    </xf>
    <xf numFmtId="167" fontId="13" fillId="45" borderId="8" applyAlignment="1" pivotButton="0" quotePrefix="0" xfId="0">
      <alignment horizontal="right" vertical="center" wrapText="1"/>
    </xf>
    <xf numFmtId="0" fontId="13" fillId="45" borderId="8" applyAlignment="1" pivotButton="0" quotePrefix="0" xfId="0">
      <alignment horizontal="center" vertical="center" wrapText="1"/>
    </xf>
    <xf numFmtId="0" fontId="21" fillId="53" borderId="10" applyAlignment="1" pivotButton="0" quotePrefix="0" xfId="0">
      <alignment horizontal="left" vertical="center" wrapText="1"/>
    </xf>
    <xf numFmtId="0" fontId="21" fillId="56" borderId="10" applyAlignment="1" pivotButton="0" quotePrefix="0" xfId="0">
      <alignment horizontal="left" vertical="center" wrapText="1"/>
    </xf>
    <xf numFmtId="0" fontId="13" fillId="45" borderId="11" applyAlignment="1" pivotButton="0" quotePrefix="0" xfId="0">
      <alignment horizontal="left" vertical="center" wrapText="1"/>
    </xf>
    <xf numFmtId="0" fontId="12" fillId="43" borderId="12" applyAlignment="1" pivotButton="0" quotePrefix="0" xfId="0">
      <alignment horizontal="center" vertical="center" wrapText="1"/>
    </xf>
    <xf numFmtId="0" fontId="21" fillId="53" borderId="13" applyAlignment="1" pivotButton="0" quotePrefix="0" xfId="0">
      <alignment horizontal="center" vertical="center" wrapText="1"/>
    </xf>
    <xf numFmtId="0" fontId="21" fillId="56" borderId="13" applyAlignment="1" pivotButton="0" quotePrefix="0" xfId="0">
      <alignment horizontal="center" vertical="center" wrapText="1"/>
    </xf>
    <xf numFmtId="0" fontId="13" fillId="45" borderId="14" applyAlignment="1" pivotButton="0" quotePrefix="0" xfId="0">
      <alignment horizontal="center" vertical="center" wrapText="1"/>
    </xf>
    <xf numFmtId="167" fontId="21" fillId="53" borderId="6" applyAlignment="1" pivotButton="0" quotePrefix="0" xfId="0">
      <alignment horizontal="center" vertical="center" wrapText="1"/>
    </xf>
    <xf numFmtId="167" fontId="21" fillId="56" borderId="6" applyAlignment="1" pivotButton="0" quotePrefix="0" xfId="0">
      <alignment horizontal="center" vertical="center" wrapText="1"/>
    </xf>
    <xf numFmtId="167" fontId="13" fillId="45" borderId="8" applyAlignment="1" pivotButton="0" quotePrefix="0" xfId="0">
      <alignment horizontal="center" vertical="center" wrapText="1"/>
    </xf>
    <xf numFmtId="167" fontId="15" fillId="40" borderId="8" applyAlignment="1" pivotButton="0" quotePrefix="0" xfId="0">
      <alignment horizontal="right" vertical="center" wrapText="1"/>
    </xf>
    <xf numFmtId="0" fontId="15" fillId="40" borderId="8" applyAlignment="1" pivotButton="0" quotePrefix="0" xfId="0">
      <alignment horizontal="center" vertical="center" wrapText="1"/>
    </xf>
    <xf numFmtId="0" fontId="15" fillId="40" borderId="11" applyAlignment="1" pivotButton="0" quotePrefix="0" xfId="0">
      <alignment horizontal="left" vertical="center" wrapText="1"/>
    </xf>
    <xf numFmtId="0" fontId="15" fillId="40" borderId="14" applyAlignment="1" pivotButton="0" quotePrefix="0" xfId="0">
      <alignment horizontal="center" vertical="center" wrapText="1"/>
    </xf>
    <xf numFmtId="167" fontId="16" fillId="46" borderId="6" applyAlignment="1" pivotButton="0" quotePrefix="0" xfId="0">
      <alignment horizontal="right" vertical="center" wrapText="1"/>
    </xf>
    <xf numFmtId="167" fontId="14" fillId="54" borderId="6" applyAlignment="1" pivotButton="0" quotePrefix="0" xfId="0">
      <alignment horizontal="right" vertical="center" wrapText="1"/>
    </xf>
    <xf numFmtId="167" fontId="14" fillId="49" borderId="6" applyAlignment="1" pivotButton="0" quotePrefix="0" xfId="0">
      <alignment horizontal="right" vertical="center" wrapText="1"/>
    </xf>
    <xf numFmtId="167" fontId="23" fillId="50" borderId="6" applyAlignment="1" pivotButton="0" quotePrefix="0" xfId="0">
      <alignment horizontal="right" vertical="center" wrapText="1"/>
    </xf>
    <xf numFmtId="164" fontId="15" fillId="52" borderId="6" applyAlignment="1" pivotButton="0" quotePrefix="0" xfId="0">
      <alignment horizontal="right" vertical="center" wrapText="1"/>
    </xf>
    <xf numFmtId="0" fontId="14" fillId="47" borderId="10" applyAlignment="1" pivotButton="0" quotePrefix="0" xfId="0">
      <alignment horizontal="left" vertical="center" wrapText="1"/>
    </xf>
    <xf numFmtId="0" fontId="16" fillId="46" borderId="10" applyAlignment="1" pivotButton="0" quotePrefix="0" xfId="0">
      <alignment horizontal="left" vertical="center" wrapText="1"/>
    </xf>
    <xf numFmtId="0" fontId="14" fillId="54" borderId="10" applyAlignment="1" pivotButton="0" quotePrefix="0" xfId="0">
      <alignment horizontal="left" vertical="center" wrapText="1"/>
    </xf>
    <xf numFmtId="0" fontId="14" fillId="49" borderId="10" applyAlignment="1" pivotButton="0" quotePrefix="0" xfId="0">
      <alignment horizontal="left" vertical="center" wrapText="1"/>
    </xf>
    <xf numFmtId="0" fontId="23" fillId="50" borderId="10" applyAlignment="1" pivotButton="0" quotePrefix="0" xfId="0">
      <alignment horizontal="left" vertical="center" wrapText="1"/>
    </xf>
    <xf numFmtId="0" fontId="15" fillId="52" borderId="10" applyAlignment="1" pivotButton="0" quotePrefix="0" xfId="0">
      <alignment horizontal="left" vertical="center" wrapText="1"/>
    </xf>
    <xf numFmtId="0" fontId="11" fillId="45" borderId="6" applyAlignment="1" pivotButton="0" quotePrefix="0" xfId="0">
      <alignment horizontal="center" vertical="center" wrapText="1"/>
    </xf>
    <xf numFmtId="0" fontId="21" fillId="56" borderId="11" applyAlignment="1" pivotButton="0" quotePrefix="0" xfId="0">
      <alignment horizontal="left" vertical="center" wrapText="1"/>
    </xf>
    <xf numFmtId="0" fontId="10" fillId="41" borderId="15" applyAlignment="1" pivotButton="0" quotePrefix="0" xfId="0">
      <alignment horizontal="left" vertical="center" indent="1"/>
    </xf>
    <xf numFmtId="0" fontId="10" fillId="41" borderId="16" applyAlignment="1" pivotButton="0" quotePrefix="0" xfId="0">
      <alignment horizontal="left" vertical="center" indent="1"/>
    </xf>
    <xf numFmtId="0" fontId="10" fillId="41" borderId="17" applyAlignment="1" pivotButton="0" quotePrefix="0" xfId="0">
      <alignment horizontal="left" vertical="center" indent="1"/>
    </xf>
    <xf numFmtId="0" fontId="12" fillId="43" borderId="18" applyAlignment="1" pivotButton="0" quotePrefix="0" xfId="0">
      <alignment horizontal="center" vertical="center" wrapText="1"/>
    </xf>
    <xf numFmtId="0" fontId="12" fillId="43" borderId="19" applyAlignment="1" pivotButton="0" quotePrefix="0" xfId="0">
      <alignment horizontal="center" vertical="center" wrapText="1"/>
    </xf>
    <xf numFmtId="0" fontId="12" fillId="43" borderId="20" applyAlignment="1" pivotButton="0" quotePrefix="0" xfId="0">
      <alignment horizontal="center" vertical="center" wrapText="1"/>
    </xf>
    <xf numFmtId="0" fontId="10" fillId="41" borderId="21" applyAlignment="1" pivotButton="0" quotePrefix="0" xfId="0">
      <alignment horizontal="left" vertical="center" indent="1"/>
    </xf>
    <xf numFmtId="0" fontId="18" fillId="40" borderId="0" applyAlignment="1" pivotButton="0" quotePrefix="0" xfId="0">
      <alignment horizontal="center" vertical="center"/>
    </xf>
    <xf numFmtId="0" fontId="18" fillId="40" borderId="25" applyAlignment="1" pivotButton="0" quotePrefix="0" xfId="0">
      <alignment horizontal="center" vertical="center"/>
    </xf>
    <xf numFmtId="167" fontId="19" fillId="41" borderId="24" applyAlignment="1" pivotButton="0" quotePrefix="0" xfId="0">
      <alignment horizontal="center" vertical="center"/>
    </xf>
    <xf numFmtId="0" fontId="18" fillId="40" borderId="26" applyAlignment="1" pivotButton="0" quotePrefix="0" xfId="0">
      <alignment horizontal="center" vertical="center"/>
    </xf>
    <xf numFmtId="0" fontId="17" fillId="39" borderId="27" applyAlignment="1" pivotButton="0" quotePrefix="0" xfId="0">
      <alignment horizontal="center" vertical="center"/>
    </xf>
    <xf numFmtId="0" fontId="17" fillId="39" borderId="28" applyAlignment="1" pivotButton="0" quotePrefix="0" xfId="0">
      <alignment horizontal="center" vertical="center"/>
    </xf>
    <xf numFmtId="0" fontId="17" fillId="39" borderId="29" applyAlignment="1" pivotButton="0" quotePrefix="0" xfId="0">
      <alignment horizontal="center" vertical="center"/>
    </xf>
    <xf numFmtId="0" fontId="12" fillId="43" borderId="9" applyAlignment="1" pivotButton="0" quotePrefix="0" xfId="0">
      <alignment horizontal="left" vertical="center" wrapText="1"/>
    </xf>
    <xf numFmtId="0" fontId="12" fillId="43" borderId="18" applyAlignment="1" pivotButton="0" quotePrefix="0" xfId="0">
      <alignment horizontal="left" vertical="center" wrapText="1"/>
    </xf>
    <xf numFmtId="0" fontId="11" fillId="45" borderId="10" applyAlignment="1" pivotButton="0" quotePrefix="0" xfId="0">
      <alignment horizontal="left" vertical="center" wrapText="1"/>
    </xf>
    <xf numFmtId="0" fontId="25" fillId="39" borderId="5" applyAlignment="1" pivotButton="0" quotePrefix="0" xfId="0">
      <alignment horizontal="left" vertical="center"/>
    </xf>
    <xf numFmtId="168" fontId="21" fillId="53" borderId="6" applyAlignment="1" pivotButton="0" quotePrefix="0" xfId="0">
      <alignment horizontal="center" vertical="center" wrapText="1"/>
    </xf>
    <xf numFmtId="168" fontId="21" fillId="56" borderId="6" applyAlignment="1" pivotButton="0" quotePrefix="0" xfId="0">
      <alignment horizontal="center" vertical="center" wrapText="1"/>
    </xf>
    <xf numFmtId="0" fontId="10" fillId="41" borderId="22" applyAlignment="1" pivotButton="0" quotePrefix="0" xfId="0">
      <alignment horizontal="center" vertical="center" indent="1"/>
    </xf>
    <xf numFmtId="0" fontId="10" fillId="41" borderId="23" applyAlignment="1" pivotButton="0" quotePrefix="0" xfId="0">
      <alignment horizontal="center" vertical="center" indent="1"/>
    </xf>
    <xf numFmtId="0" fontId="14" fillId="47" borderId="6" applyAlignment="1" pivotButton="0" quotePrefix="0" xfId="0">
      <alignment horizontal="center" vertical="center" wrapText="1"/>
    </xf>
    <xf numFmtId="0" fontId="14" fillId="47" borderId="13" applyAlignment="1" pivotButton="0" quotePrefix="0" xfId="0">
      <alignment horizontal="center" vertical="center" wrapText="1"/>
    </xf>
    <xf numFmtId="0" fontId="16" fillId="46" borderId="6" applyAlignment="1" pivotButton="0" quotePrefix="0" xfId="0">
      <alignment horizontal="center" vertical="center" wrapText="1"/>
    </xf>
    <xf numFmtId="0" fontId="16" fillId="46" borderId="13" applyAlignment="1" pivotButton="0" quotePrefix="0" xfId="0">
      <alignment horizontal="center" vertical="center" wrapText="1"/>
    </xf>
    <xf numFmtId="0" fontId="16" fillId="48" borderId="6" applyAlignment="1" pivotButton="0" quotePrefix="0" xfId="0">
      <alignment horizontal="center" vertical="center" wrapText="1"/>
    </xf>
    <xf numFmtId="0" fontId="16" fillId="48" borderId="13" applyAlignment="1" pivotButton="0" quotePrefix="0" xfId="0">
      <alignment horizontal="center" vertical="center" wrapText="1"/>
    </xf>
    <xf numFmtId="0" fontId="16" fillId="46" borderId="6" applyAlignment="1" pivotButton="0" quotePrefix="0" xfId="0">
      <alignment horizontal="center" vertical="top" wrapText="1"/>
    </xf>
    <xf numFmtId="0" fontId="14" fillId="54" borderId="6" applyAlignment="1" pivotButton="0" quotePrefix="0" xfId="0">
      <alignment horizontal="center" vertical="center" wrapText="1"/>
    </xf>
    <xf numFmtId="0" fontId="14" fillId="54" borderId="13" applyAlignment="1" pivotButton="0" quotePrefix="0" xfId="0">
      <alignment horizontal="center" vertical="center" wrapText="1"/>
    </xf>
    <xf numFmtId="0" fontId="14" fillId="49" borderId="6" applyAlignment="1" pivotButton="0" quotePrefix="0" xfId="0">
      <alignment horizontal="center" vertical="center" wrapText="1"/>
    </xf>
    <xf numFmtId="0" fontId="14" fillId="49" borderId="13" applyAlignment="1" pivotButton="0" quotePrefix="0" xfId="0">
      <alignment horizontal="center" vertical="center" wrapText="1"/>
    </xf>
    <xf numFmtId="0" fontId="23" fillId="50" borderId="6" applyAlignment="1" pivotButton="0" quotePrefix="0" xfId="0">
      <alignment horizontal="center" vertical="center" wrapText="1"/>
    </xf>
    <xf numFmtId="0" fontId="23" fillId="50" borderId="13" applyAlignment="1" pivotButton="0" quotePrefix="0" xfId="0">
      <alignment horizontal="center" vertical="center" wrapText="1"/>
    </xf>
    <xf numFmtId="0" fontId="23" fillId="51" borderId="6" applyAlignment="1" pivotButton="0" quotePrefix="0" xfId="0">
      <alignment horizontal="center" vertical="center" wrapText="1"/>
    </xf>
    <xf numFmtId="0" fontId="23" fillId="51" borderId="13" applyAlignment="1" pivotButton="0" quotePrefix="0" xfId="0">
      <alignment horizontal="center" vertical="center" wrapText="1"/>
    </xf>
    <xf numFmtId="0" fontId="14" fillId="55" borderId="6" applyAlignment="1" pivotButton="0" quotePrefix="0" xfId="0">
      <alignment horizontal="center" vertical="center" wrapText="1"/>
    </xf>
    <xf numFmtId="0" fontId="14" fillId="55" borderId="13" applyAlignment="1" pivotButton="0" quotePrefix="0" xfId="0">
      <alignment horizontal="center" vertical="center" wrapText="1"/>
    </xf>
    <xf numFmtId="0" fontId="15" fillId="52" borderId="6" applyAlignment="1" pivotButton="0" quotePrefix="0" xfId="0">
      <alignment horizontal="center" vertical="center" wrapText="1"/>
    </xf>
    <xf numFmtId="0" fontId="15" fillId="52" borderId="13" applyAlignment="1" pivotButton="0" quotePrefix="0" xfId="0">
      <alignment horizontal="center" vertical="center" wrapText="1"/>
    </xf>
    <xf numFmtId="0" fontId="11" fillId="45" borderId="13" applyAlignment="1" pivotButton="0" quotePrefix="0" xfId="0">
      <alignment horizontal="center" vertical="center" wrapText="1"/>
    </xf>
    <xf numFmtId="0" fontId="21" fillId="56" borderId="8" applyAlignment="1" pivotButton="0" quotePrefix="0" xfId="0">
      <alignment horizontal="center" vertical="center" wrapText="1"/>
    </xf>
    <xf numFmtId="0" fontId="21" fillId="56" borderId="14" applyAlignment="1" pivotButton="0" quotePrefix="0" xfId="0">
      <alignment horizontal="center" vertical="center" wrapText="1"/>
    </xf>
    <xf numFmtId="167" fontId="24" fillId="53" borderId="6" applyAlignment="1" pivotButton="0" quotePrefix="0" xfId="0">
      <alignment horizontal="right" vertical="center" wrapText="1"/>
    </xf>
    <xf numFmtId="167" fontId="24" fillId="56" borderId="6" applyAlignment="1" pivotButton="0" quotePrefix="0" xfId="0">
      <alignment horizontal="right" vertical="center" wrapText="1"/>
    </xf>
    <xf numFmtId="164" fontId="21" fillId="53" borderId="6" applyAlignment="1" pivotButton="0" quotePrefix="0" xfId="0">
      <alignment horizontal="center" vertical="center" wrapText="1"/>
    </xf>
    <xf numFmtId="0" fontId="22" fillId="44" borderId="10" applyAlignment="1" pivotButton="0" quotePrefix="0" xfId="0">
      <alignment horizontal="left" vertical="center" wrapText="1"/>
    </xf>
    <xf numFmtId="167" fontId="22" fillId="44" borderId="6" applyAlignment="1" pivotButton="0" quotePrefix="0" xfId="0">
      <alignment horizontal="right" vertical="center" wrapText="1"/>
    </xf>
    <xf numFmtId="0" fontId="22" fillId="53" borderId="10" applyAlignment="1" pivotButton="0" quotePrefix="0" xfId="0">
      <alignment horizontal="left" vertical="center" wrapText="1"/>
    </xf>
    <xf numFmtId="167" fontId="22" fillId="53" borderId="6" applyAlignment="1" pivotButton="0" quotePrefix="0" xfId="0">
      <alignment horizontal="right" vertical="center" wrapText="1"/>
    </xf>
    <xf numFmtId="0" fontId="12" fillId="57" borderId="10" applyAlignment="1" pivotButton="0" quotePrefix="0" xfId="0">
      <alignment horizontal="left" vertical="center" wrapText="1"/>
    </xf>
    <xf numFmtId="167" fontId="12" fillId="57" borderId="6" applyAlignment="1" pivotButton="0" quotePrefix="0" xfId="0">
      <alignment horizontal="right" vertical="center" wrapText="1"/>
    </xf>
    <xf numFmtId="0" fontId="12" fillId="57" borderId="6" applyAlignment="1" pivotButton="0" quotePrefix="0" xfId="0">
      <alignment horizontal="center" vertical="center" wrapText="1"/>
    </xf>
    <xf numFmtId="0" fontId="26" fillId="45" borderId="10" applyAlignment="1" pivotButton="0" quotePrefix="0" xfId="0">
      <alignment horizontal="left" vertical="center" wrapText="1"/>
    </xf>
    <xf numFmtId="167" fontId="26" fillId="45" borderId="6" applyAlignment="1" pivotButton="0" quotePrefix="0" xfId="0">
      <alignment horizontal="center" vertical="center" wrapText="1"/>
    </xf>
    <xf numFmtId="0" fontId="26" fillId="45" borderId="6" applyAlignment="1" pivotButton="0" quotePrefix="0" xfId="0">
      <alignment horizontal="center" vertical="top" wrapText="1"/>
    </xf>
    <xf numFmtId="0" fontId="27" fillId="0" borderId="0" applyAlignment="1" pivotButton="0" quotePrefix="0" xfId="0">
      <alignment horizontal="left" vertical="top" wrapText="1"/>
    </xf>
    <xf numFmtId="0" fontId="28" fillId="0" borderId="0" pivotButton="0" quotePrefix="0" xfId="0"/>
    <xf numFmtId="0" fontId="30" fillId="58" borderId="0" applyAlignment="1" pivotButton="0" quotePrefix="0" xfId="0">
      <alignment horizontal="left" vertical="top" wrapText="1"/>
    </xf>
    <xf numFmtId="0" fontId="31" fillId="0" borderId="0" applyAlignment="1" pivotButton="0" quotePrefix="0" xfId="0">
      <alignment vertical="top" wrapText="1"/>
    </xf>
    <xf numFmtId="0" fontId="31" fillId="0" borderId="0" applyAlignment="1" pivotButton="0" quotePrefix="0" xfId="0">
      <alignment horizontal="left" vertical="top" wrapText="1"/>
    </xf>
    <xf numFmtId="0" fontId="33" fillId="0" borderId="0" pivotButton="0" quotePrefix="0" xfId="0"/>
    <xf numFmtId="167" fontId="0" fillId="0" borderId="0" pivotButton="0" quotePrefix="0" xfId="0"/>
    <xf numFmtId="164" fontId="0" fillId="0" borderId="0" pivotButton="0" quotePrefix="0" xfId="0"/>
    <xf numFmtId="167" fontId="1" fillId="14" borderId="0" pivotButton="0" quotePrefix="0" xfId="0"/>
    <xf numFmtId="0" fontId="17" fillId="39" borderId="30" applyAlignment="1" pivotButton="0" quotePrefix="0" xfId="0">
      <alignment horizontal="center" vertical="center"/>
    </xf>
    <xf numFmtId="0" fontId="0" fillId="0" borderId="28" pivotButton="0" quotePrefix="0" xfId="0"/>
    <xf numFmtId="0" fontId="0" fillId="0" borderId="29" pivotButton="0" quotePrefix="0" xfId="0"/>
    <xf numFmtId="167" fontId="19" fillId="41" borderId="24" applyAlignment="1" pivotButton="0" quotePrefix="0" xfId="0">
      <alignment horizontal="center" vertical="center"/>
    </xf>
    <xf numFmtId="167" fontId="19" fillId="41" borderId="1" applyAlignment="1" pivotButton="0" quotePrefix="0" xfId="0">
      <alignment horizontal="center" vertical="center"/>
    </xf>
    <xf numFmtId="0" fontId="10" fillId="41" borderId="34" applyAlignment="1" pivotButton="0" quotePrefix="0" xfId="0">
      <alignment horizontal="left" vertical="center" indent="1"/>
    </xf>
    <xf numFmtId="0" fontId="0" fillId="0" borderId="16" pivotButton="0" quotePrefix="0" xfId="0"/>
    <xf numFmtId="0" fontId="0" fillId="0" borderId="17" pivotButton="0" quotePrefix="0" xfId="0"/>
    <xf numFmtId="167" fontId="21" fillId="53" borderId="6" applyAlignment="1" pivotButton="0" quotePrefix="0" xfId="0">
      <alignment horizontal="right" vertical="center" wrapText="1"/>
    </xf>
    <xf numFmtId="167" fontId="21" fillId="56" borderId="6" applyAlignment="1" pivotButton="0" quotePrefix="0" xfId="0">
      <alignment horizontal="right" vertical="center" wrapText="1"/>
    </xf>
    <xf numFmtId="167" fontId="13" fillId="45" borderId="8" applyAlignment="1" pivotButton="0" quotePrefix="0" xfId="0">
      <alignment horizontal="right" vertical="center" wrapText="1"/>
    </xf>
    <xf numFmtId="168" fontId="21" fillId="53" borderId="6" applyAlignment="1" pivotButton="0" quotePrefix="0" xfId="0">
      <alignment horizontal="center" vertical="center" wrapText="1"/>
    </xf>
    <xf numFmtId="167" fontId="21" fillId="53" borderId="6" applyAlignment="1" pivotButton="0" quotePrefix="0" xfId="0">
      <alignment horizontal="center" vertical="center" wrapText="1"/>
    </xf>
    <xf numFmtId="168" fontId="21" fillId="56" borderId="6" applyAlignment="1" pivotButton="0" quotePrefix="0" xfId="0">
      <alignment horizontal="center" vertical="center" wrapText="1"/>
    </xf>
    <xf numFmtId="167" fontId="21" fillId="56" borderId="6" applyAlignment="1" pivotButton="0" quotePrefix="0" xfId="0">
      <alignment horizontal="center" vertical="center" wrapText="1"/>
    </xf>
    <xf numFmtId="167" fontId="13" fillId="45" borderId="8" applyAlignment="1" pivotButton="0" quotePrefix="0" xfId="0">
      <alignment horizontal="center" vertical="center" wrapText="1"/>
    </xf>
    <xf numFmtId="167" fontId="15" fillId="40" borderId="3" applyAlignment="1" pivotButton="0" quotePrefix="0" xfId="0">
      <alignment horizontal="right" vertical="center" wrapText="1"/>
    </xf>
    <xf numFmtId="0" fontId="10" fillId="41" borderId="31" applyAlignment="1" pivotButton="0" quotePrefix="0" xfId="0">
      <alignment horizontal="left" vertical="center" indent="1"/>
    </xf>
    <xf numFmtId="0" fontId="0" fillId="0" borderId="22" pivotButton="0" quotePrefix="0" xfId="0"/>
    <xf numFmtId="0" fontId="0" fillId="0" borderId="23" pivotButton="0" quotePrefix="0" xfId="0"/>
    <xf numFmtId="167" fontId="15" fillId="40" borderId="8" applyAlignment="1" pivotButton="0" quotePrefix="0" xfId="0">
      <alignment horizontal="right" vertical="center" wrapText="1"/>
    </xf>
    <xf numFmtId="167" fontId="22" fillId="44" borderId="6" applyAlignment="1" pivotButton="0" quotePrefix="0" xfId="0">
      <alignment horizontal="right" vertical="center" wrapText="1"/>
    </xf>
    <xf numFmtId="167" fontId="22" fillId="53" borderId="6" applyAlignment="1" pivotButton="0" quotePrefix="0" xfId="0">
      <alignment horizontal="right" vertical="center" wrapText="1"/>
    </xf>
    <xf numFmtId="167" fontId="16" fillId="46" borderId="6" applyAlignment="1" pivotButton="0" quotePrefix="0" xfId="0">
      <alignment horizontal="right" vertical="center" wrapText="1"/>
    </xf>
    <xf numFmtId="167" fontId="14" fillId="54" borderId="6" applyAlignment="1" pivotButton="0" quotePrefix="0" xfId="0">
      <alignment horizontal="right" vertical="center" wrapText="1"/>
    </xf>
    <xf numFmtId="167" fontId="14" fillId="49" borderId="6" applyAlignment="1" pivotButton="0" quotePrefix="0" xfId="0">
      <alignment horizontal="right" vertical="center" wrapText="1"/>
    </xf>
    <xf numFmtId="167" fontId="23" fillId="50" borderId="6" applyAlignment="1" pivotButton="0" quotePrefix="0" xfId="0">
      <alignment horizontal="right" vertical="center" wrapText="1"/>
    </xf>
    <xf numFmtId="167" fontId="12" fillId="57" borderId="6" applyAlignment="1" pivotButton="0" quotePrefix="0" xfId="0">
      <alignment horizontal="right" vertical="center" wrapText="1"/>
    </xf>
    <xf numFmtId="164" fontId="15" fillId="52" borderId="6" applyAlignment="1" pivotButton="0" quotePrefix="0" xfId="0">
      <alignment horizontal="right" vertical="center" wrapText="1"/>
    </xf>
    <xf numFmtId="167" fontId="26" fillId="45" borderId="6" applyAlignment="1" pivotButton="0" quotePrefix="0" xfId="0">
      <alignment horizontal="center" vertical="center" wrapText="1"/>
    </xf>
    <xf numFmtId="167" fontId="24" fillId="53" borderId="6" applyAlignment="1" pivotButton="0" quotePrefix="0" xfId="0">
      <alignment horizontal="right" vertical="center" wrapText="1"/>
    </xf>
    <xf numFmtId="167" fontId="24" fillId="56" borderId="6" applyAlignment="1" pivotButton="0" quotePrefix="0" xfId="0">
      <alignment horizontal="right" vertical="center" wrapText="1"/>
    </xf>
    <xf numFmtId="164" fontId="21" fillId="53" borderId="6" applyAlignment="1" pivotButton="0" quotePrefix="0" xfId="0">
      <alignment horizontal="center" vertical="center" wrapText="1"/>
    </xf>
    <xf numFmtId="0" fontId="0" fillId="0" borderId="5" pivotButton="0" quotePrefix="0" xfId="0"/>
    <xf numFmtId="167" fontId="1" fillId="5" borderId="0" pivotButton="0" quotePrefix="0" xfId="0"/>
    <xf numFmtId="167" fontId="1" fillId="6" borderId="0" pivotButton="0" quotePrefix="0" xfId="0"/>
    <xf numFmtId="167" fontId="4" fillId="7" borderId="0" pivotButton="0" quotePrefix="0" xfId="0"/>
    <xf numFmtId="165" fontId="0" fillId="0" borderId="0" pivotButton="0" quotePrefix="0" xfId="0"/>
    <xf numFmtId="165" fontId="1" fillId="27" borderId="0" pivotButton="0" quotePrefix="0" xfId="0"/>
    <xf numFmtId="166" fontId="0" fillId="0" borderId="0" pivotButton="0" quotePrefix="0" xfId="0"/>
    <xf numFmtId="166" fontId="1" fillId="31" borderId="0" pivotButton="0" quotePrefix="0" xfId="0"/>
    <xf numFmtId="165" fontId="4" fillId="7" borderId="0" pivotButton="0" quotePrefix="0" xfId="0"/>
    <xf numFmtId="165" fontId="4" fillId="33" borderId="0" pivotButton="0" quotePrefix="0" xfId="0"/>
    <xf numFmtId="165" fontId="4" fillId="15" borderId="0" pivotButton="0" quotePrefix="0" xfId="0"/>
    <xf numFmtId="165" fontId="4" fillId="2" borderId="0" pivotButton="0" quotePrefix="0" xfId="0"/>
    <xf numFmtId="165" fontId="0" fillId="0" borderId="0" applyAlignment="1" pivotButton="0" quotePrefix="0" xfId="0">
      <alignment horizontal="center"/>
    </xf>
    <xf numFmtId="165" fontId="1" fillId="0" borderId="0" applyAlignment="1" pivotButton="0" quotePrefix="0" xfId="0">
      <alignment horizontal="center"/>
    </xf>
    <xf numFmtId="167" fontId="1" fillId="17" borderId="0" pivotButton="0" quotePrefix="0" xfId="0"/>
    <xf numFmtId="167" fontId="1" fillId="18" borderId="0" pivotButton="0" quotePrefix="0" xfId="0"/>
    <xf numFmtId="167" fontId="1" fillId="19" borderId="0" pivotButton="0" quotePrefix="0" xfId="0"/>
    <xf numFmtId="0" fontId="34" fillId="58" borderId="0" applyAlignment="1" pivotButton="0" quotePrefix="0" xfId="0">
      <alignment horizontal="left" vertical="top" wrapText="1"/>
    </xf>
    <xf numFmtId="0" fontId="34" fillId="59" borderId="0" applyAlignment="1" pivotButton="0" quotePrefix="0" xfId="0">
      <alignment horizontal="left" vertical="top" wrapText="1"/>
    </xf>
    <xf numFmtId="0" fontId="30" fillId="60" borderId="35" applyAlignment="1" pivotButton="0" quotePrefix="0" xfId="0">
      <alignment horizontal="center" vertical="center" wrapText="1"/>
    </xf>
    <xf numFmtId="0" fontId="31" fillId="61" borderId="35" applyAlignment="1" pivotButton="0" quotePrefix="0" xfId="0">
      <alignment vertical="top" wrapText="1"/>
    </xf>
    <xf numFmtId="0" fontId="31" fillId="0" borderId="35" applyAlignment="1" pivotButton="0" quotePrefix="0" xfId="0">
      <alignment vertical="top" wrapText="1"/>
    </xf>
    <xf numFmtId="0" fontId="31" fillId="0" borderId="35" pivotButton="0" quotePrefix="0" xfId="0"/>
    <xf numFmtId="0" fontId="31" fillId="61" borderId="35" pivotButton="0" quotePrefix="0" xfId="0"/>
    <xf numFmtId="0" fontId="35" fillId="62" borderId="0" applyAlignment="1" pivotButton="0" quotePrefix="0" xfId="0">
      <alignment horizontal="left" vertical="top" wrapText="1"/>
    </xf>
    <xf numFmtId="0" fontId="34" fillId="60" borderId="0" applyAlignment="1" pivotButton="0" quotePrefix="0" xfId="0">
      <alignment horizontal="left" vertical="top" wrapText="1"/>
    </xf>
    <xf numFmtId="0" fontId="34" fillId="58" borderId="0" pivotButton="0" quotePrefix="0" xfId="0"/>
    <xf numFmtId="0" fontId="29" fillId="63" borderId="0" pivotButton="0" quotePrefix="0" xfId="0"/>
    <xf numFmtId="0" fontId="36" fillId="63" borderId="0" applyAlignment="1" pivotButton="0" quotePrefix="0" xfId="0">
      <alignment vertical="top" wrapText="1"/>
    </xf>
    <xf numFmtId="0" fontId="34" fillId="60" borderId="0" pivotButton="0" quotePrefix="0" xfId="0"/>
    <xf numFmtId="0" fontId="37" fillId="63" borderId="35" applyAlignment="1" pivotButton="0" quotePrefix="0" xfId="0">
      <alignment horizontal="center" vertical="center" wrapText="1"/>
    </xf>
    <xf numFmtId="0" fontId="29" fillId="63" borderId="0" applyAlignment="1" pivotButton="0" quotePrefix="0" xfId="0">
      <alignment vertical="top" wrapText="1"/>
    </xf>
    <xf numFmtId="0" fontId="38" fillId="64" borderId="35" applyAlignment="1" pivotButton="0" quotePrefix="0" xfId="0">
      <alignment horizontal="center" vertical="center" wrapText="1"/>
    </xf>
    <xf numFmtId="0" fontId="29" fillId="64" borderId="35" applyAlignment="1" pivotButton="0" quotePrefix="0" xfId="0">
      <alignment vertical="top" wrapText="1"/>
    </xf>
    <xf numFmtId="0" fontId="39" fillId="65" borderId="0" applyAlignment="1" pivotButton="0" quotePrefix="0" xfId="0">
      <alignment horizontal="left" vertical="center" wrapText="1"/>
    </xf>
    <xf numFmtId="0" fontId="40" fillId="66" borderId="0" applyAlignment="1" pivotButton="0" quotePrefix="0" xfId="0">
      <alignment horizontal="left" vertical="center" wrapText="1"/>
    </xf>
    <xf numFmtId="0" fontId="41" fillId="67" borderId="0" applyAlignment="1" pivotButton="0" quotePrefix="0" xfId="0">
      <alignment horizontal="left" vertical="center" wrapText="1"/>
    </xf>
    <xf numFmtId="0" fontId="30" fillId="65" borderId="36" applyAlignment="1" pivotButton="0" quotePrefix="0" xfId="0">
      <alignment horizontal="center" vertical="center" wrapText="1"/>
    </xf>
    <xf numFmtId="0" fontId="34" fillId="59" borderId="36" applyAlignment="1" pivotButton="0" quotePrefix="0" xfId="0">
      <alignment horizontal="left" vertical="center" wrapText="1"/>
    </xf>
    <xf numFmtId="0" fontId="0" fillId="0" borderId="39" pivotButton="0" quotePrefix="0" xfId="0"/>
    <xf numFmtId="0" fontId="0" fillId="0" borderId="40" pivotButton="0" quotePrefix="0" xfId="0"/>
    <xf numFmtId="0" fontId="35" fillId="61" borderId="36" applyAlignment="1" pivotButton="0" quotePrefix="0" xfId="0">
      <alignment horizontal="left" vertical="center" wrapText="1"/>
    </xf>
    <xf numFmtId="0" fontId="42" fillId="68" borderId="36" applyAlignment="1" pivotButton="0" quotePrefix="0" xfId="0">
      <alignment horizontal="center" vertical="center" wrapText="1"/>
    </xf>
    <xf numFmtId="0" fontId="42" fillId="68" borderId="36" applyAlignment="1" pivotButton="0" quotePrefix="0" xfId="0">
      <alignment horizontal="left" vertical="center" wrapText="1"/>
    </xf>
    <xf numFmtId="0" fontId="35" fillId="68" borderId="36" applyAlignment="1" pivotButton="0" quotePrefix="0" xfId="0">
      <alignment horizontal="center" vertical="center" wrapText="1"/>
    </xf>
    <xf numFmtId="0" fontId="42" fillId="69" borderId="36" applyAlignment="1" pivotButton="0" quotePrefix="0" xfId="0">
      <alignment horizontal="center" vertical="center" wrapText="1"/>
    </xf>
    <xf numFmtId="0" fontId="43" fillId="68" borderId="36" applyAlignment="1" pivotButton="0" quotePrefix="0" xfId="0">
      <alignment horizontal="left" vertical="center" wrapText="1"/>
    </xf>
    <xf numFmtId="0" fontId="40" fillId="68" borderId="36" applyAlignment="1" pivotButton="0" quotePrefix="0" xfId="0">
      <alignment horizontal="left" vertical="center" wrapText="1"/>
    </xf>
    <xf numFmtId="0" fontId="44" fillId="66" borderId="0" applyAlignment="1" pivotButton="0" quotePrefix="0" xfId="0">
      <alignment horizontal="left" vertical="center" wrapText="1"/>
    </xf>
    <xf numFmtId="0" fontId="34" fillId="70" borderId="36" applyAlignment="1" pivotButton="0" quotePrefix="0" xfId="0">
      <alignment horizontal="left" vertical="center" wrapText="1"/>
    </xf>
    <xf numFmtId="0" fontId="34" fillId="71" borderId="36" applyAlignment="1" pivotButton="0" quotePrefix="0" xfId="0">
      <alignment horizontal="left" vertical="center" wrapText="1"/>
    </xf>
    <xf numFmtId="0" fontId="34" fillId="60" borderId="36" applyAlignment="1" pivotButton="0" quotePrefix="0" xfId="0">
      <alignment horizontal="left" vertical="center" wrapText="1"/>
    </xf>
    <xf numFmtId="0" fontId="42" fillId="66" borderId="36" applyAlignment="1" pivotButton="0" quotePrefix="0" xfId="0">
      <alignment horizontal="center" vertical="center" wrapText="1"/>
    </xf>
    <xf numFmtId="0" fontId="34" fillId="72" borderId="36" applyAlignment="1" pivotButton="0" quotePrefix="0" xfId="0">
      <alignment horizontal="left" vertical="center" wrapText="1"/>
    </xf>
  </cellXfs>
  <cellStyles count="1">
    <cellStyle name="Normal" xfId="0" builtinId="0"/>
  </cellStyles>
  <dxfs count="4">
    <dxf>
      <font>
        <color rgb="FFFFFFFF"/>
      </font>
      <fill>
        <patternFill patternType="solid">
          <fgColor indexed="64"/>
          <bgColor rgb="FFE74C3C"/>
        </patternFill>
      </fill>
    </dxf>
    <dxf>
      <font>
        <color rgb="FFFFFFFF"/>
      </font>
      <fill>
        <patternFill patternType="solid">
          <fgColor indexed="64"/>
          <bgColor rgb="FF27AE60"/>
        </patternFill>
      </fill>
    </dxf>
    <dxf>
      <font>
        <color rgb="FFFFFFFF"/>
      </font>
      <fill>
        <patternFill patternType="solid">
          <fgColor indexed="64"/>
          <bgColor rgb="FFE74C3C"/>
        </patternFill>
      </fill>
    </dxf>
    <dxf>
      <font>
        <color rgb="FFFFFFFF"/>
      </font>
      <fill>
        <patternFill patternType="solid">
          <fgColor indexed="64"/>
          <bgColor rgb="FF27AE6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5" customWidth="1" style="21" min="1" max="1"/>
    <col width="70" customWidth="1" style="21" min="2" max="2"/>
  </cols>
  <sheetData>
    <row r="1" ht="28" customHeight="1" s="21">
      <c r="A1" s="210" t="inlineStr">
        <is>
          <t>Instructions — business-case-tco-roi.xlsx</t>
        </is>
      </c>
    </row>
    <row r="2">
      <c r="A2" s="211" t="inlineStr">
        <is>
          <t>Read this before opening any other tab</t>
        </is>
      </c>
    </row>
    <row r="4" ht="18" customHeight="1" s="21">
      <c r="A4" s="212" t="inlineStr">
        <is>
          <t>PURPOSE</t>
        </is>
      </c>
    </row>
    <row r="5" ht="180" customHeight="1" s="21">
      <c r="A5" s="213" t="inlineStr">
        <is>
          <t xml:space="preserve">  The master TCO business case workbook. Consolidates all 7 cost layers from the individual cloud evaluation templates into a single board-ready financial comparison. This is the document that goes to the customer's CFO and board. Every figure must trace back to a named tab.</t>
        </is>
      </c>
    </row>
    <row r="7" ht="18" customHeight="1" s="21">
      <c r="A7" s="212" t="inlineStr">
        <is>
          <t>WHO FILLS THIS IN</t>
        </is>
      </c>
    </row>
    <row r="8" ht="148" customHeight="1" s="21">
      <c r="A8" s="213" t="inlineStr">
        <is>
          <t xml:space="preserve">  Lead Architect (owns the model). Platform Architect (AWS/Azure/GCP) populates the cloud-specific inputs. Alliance Manager confirms Partner Credits (Layer g) before finalising. Delivery Manager reviews before Phase 3 playback.</t>
        </is>
      </c>
    </row>
    <row r="10" ht="18" customHeight="1" s="21">
      <c r="A10" s="212" t="inlineStr">
        <is>
          <t>WHEN TO USE</t>
        </is>
      </c>
    </row>
    <row r="11" ht="184" customHeight="1" s="21">
      <c r="A11" s="213" t="inlineStr">
        <is>
          <t xml:space="preserve">  Phase 3 Weeks 13–14. All individual cloud evaluation templates (azure-evaluation.xlsx, aws-evaluation.xlsx, gcp-evaluation.xlsx) must be complete before populating this workbook. Do NOT build this workbook in parallel with individual templates — validate each cloud model first.</t>
        </is>
      </c>
    </row>
    <row r="13" ht="18" customHeight="1" s="21">
      <c r="A13" s="212" t="inlineStr">
        <is>
          <t>WHAT 'GOOD DATA' LOOKS LIKE</t>
        </is>
      </c>
    </row>
    <row r="14" ht="15" customHeight="1" s="21">
      <c r="A14" s="214" t="inlineStr">
        <is>
          <t xml:space="preserve">  • All 7 cost layers present — no missing tabs</t>
        </is>
      </c>
    </row>
    <row r="15" ht="15" customHeight="1" s="21">
      <c r="A15" s="214" t="inlineStr">
        <is>
          <t xml:space="preserve">  • Every figure traces to a source (cloud evaluation template tab and row)</t>
        </is>
      </c>
    </row>
    <row r="16" ht="15" customHeight="1" s="21">
      <c r="A16" s="214" t="inlineStr">
        <is>
          <t xml:space="preserve">  • Pricing source date visible in header — not more than 90 days old</t>
        </is>
      </c>
    </row>
    <row r="17" ht="15" customHeight="1" s="21">
      <c r="A17" s="214" t="inlineStr">
        <is>
          <t xml:space="preserve">  • AHB eligibility confirmed before including AHB scenario in board presentation</t>
        </is>
      </c>
    </row>
    <row r="18" ht="15" customHeight="1" s="21">
      <c r="A18" s="214" t="inlineStr">
        <is>
          <t xml:space="preserve">  • Partner Credits (Layer g) confirmed by Alliance Manager before presenting</t>
        </is>
      </c>
    </row>
    <row r="19" ht="15" customHeight="1" s="21">
      <c r="A19" s="214" t="inlineStr">
        <is>
          <t xml:space="preserve">  • Year 1 dual-running model shows the peak cost year honestly — no smoothing</t>
        </is>
      </c>
    </row>
    <row r="21" ht="18" customHeight="1" s="21">
      <c r="A21" s="212" t="inlineStr">
        <is>
          <t>COMMON MISTAKES TO AVOID</t>
        </is>
      </c>
    </row>
    <row r="22" ht="15" customHeight="1" s="21">
      <c r="A22" s="214" t="inlineStr">
        <is>
          <t xml:space="preserve">  • Presenting only layers (a) and (b) — these are not the full picture</t>
        </is>
      </c>
    </row>
    <row r="23" ht="15" customHeight="1" s="21">
      <c r="A23" s="214" t="inlineStr">
        <is>
          <t xml:space="preserve">  • Including AHB saving without confirming Software Assurance status with customer</t>
        </is>
      </c>
    </row>
    <row r="24" ht="15" customHeight="1" s="21">
      <c r="A24" s="214" t="inlineStr">
        <is>
          <t xml:space="preserve">  • Showing 'cloud is cheaper' before modelling on-prem status quo (layer e) properly</t>
        </is>
      </c>
    </row>
    <row r="25" ht="15" customHeight="1" s="21">
      <c r="A25" s="214" t="inlineStr">
        <is>
          <t xml:space="preserve">  • Not including Year 1 dual-running — customers are always surprised by Year 1 cost</t>
        </is>
      </c>
    </row>
    <row r="26" ht="15" customHeight="1" s="21">
      <c r="A26" s="214" t="inlineStr">
        <is>
          <t xml:space="preserve">  • Presenting partner credits (layer g) as confirmed before Alliance Manager signs off</t>
        </is>
      </c>
    </row>
    <row r="28">
      <c r="A28" s="215" t="inlineStr">
        <is>
          <t>CRA Framework v2.0  |  Rackspace Cloud Solutions Architecture  |  business-case-tco-roi.xlsx</t>
        </is>
      </c>
    </row>
  </sheetData>
  <mergeCells count="22">
    <mergeCell ref="A24:B24"/>
    <mergeCell ref="A15:B15"/>
    <mergeCell ref="A11:B11"/>
    <mergeCell ref="A1:B1"/>
    <mergeCell ref="A16:B16"/>
    <mergeCell ref="A7:B7"/>
    <mergeCell ref="A25:B25"/>
    <mergeCell ref="A18:B18"/>
    <mergeCell ref="A26:B26"/>
    <mergeCell ref="A21:B21"/>
    <mergeCell ref="A2:B2"/>
    <mergeCell ref="A5:B5"/>
    <mergeCell ref="A14:B14"/>
    <mergeCell ref="A23:B23"/>
    <mergeCell ref="A17:B17"/>
    <mergeCell ref="A8:B8"/>
    <mergeCell ref="A22:B22"/>
    <mergeCell ref="A4:B4"/>
    <mergeCell ref="A19:B19"/>
    <mergeCell ref="A10:B10"/>
    <mergeCell ref="A28:B28"/>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
  <sheetViews>
    <sheetView workbookViewId="0">
      <selection activeCell="A1" sqref="A1:K1"/>
    </sheetView>
  </sheetViews>
  <sheetFormatPr baseColWidth="8" defaultRowHeight="14.5"/>
  <cols>
    <col width="29.08984375" customWidth="1" style="21" min="1" max="1"/>
    <col width="25.453125" customWidth="1" style="21" min="2" max="3"/>
    <col width="36.36328125" customWidth="1" style="21" min="4" max="4"/>
    <col width="27.26953125" customWidth="1" style="21" min="6" max="6"/>
    <col width="36.36328125" customWidth="1" style="21" min="7" max="7"/>
    <col width="27.26953125" customWidth="1" style="21" min="8" max="8"/>
  </cols>
  <sheetData>
    <row r="1" ht="23.5" customHeight="1" s="21">
      <c r="A1" s="18" t="inlineStr">
        <is>
          <t>CLOUD BUSINESS CASE - EXECUTIVE DASHBOARD</t>
        </is>
      </c>
    </row>
    <row r="2">
      <c r="A2" s="48" t="inlineStr">
        <is>
          <t>Cloud-Agnostic Business Case Summary | Multi-Cloud Comparison</t>
        </is>
      </c>
    </row>
    <row r="4">
      <c r="A4" s="22" t="inlineStr">
        <is>
          <t>KEY FINANCIAL METRICS</t>
        </is>
      </c>
      <c r="F4" s="23" t="inlineStr">
        <is>
          <t>DOCUMENT INFORMATION</t>
        </is>
      </c>
    </row>
    <row r="5">
      <c r="A5" s="24" t="inlineStr">
        <is>
          <t>Metric</t>
        </is>
      </c>
      <c r="B5" s="24" t="inlineStr">
        <is>
          <t>Value</t>
        </is>
      </c>
      <c r="C5" s="24" t="inlineStr">
        <is>
          <t>Status</t>
        </is>
      </c>
      <c r="D5" s="24" t="inlineStr">
        <is>
          <t>Notes</t>
        </is>
      </c>
      <c r="F5" s="24" t="inlineStr">
        <is>
          <t>Field</t>
        </is>
      </c>
      <c r="G5" s="24" t="inlineStr">
        <is>
          <t>Value</t>
        </is>
      </c>
      <c r="H5" s="24" t="n"/>
    </row>
    <row r="6">
      <c r="A6" t="inlineStr">
        <is>
          <t>Current Annual IT Cost</t>
        </is>
      </c>
      <c r="B6" s="216" t="n">
        <v>0</v>
      </c>
      <c r="D6" t="inlineStr">
        <is>
          <t>From Business Case!C40</t>
        </is>
      </c>
      <c r="F6" t="inlineStr">
        <is>
          <t>Organization</t>
        </is>
      </c>
    </row>
    <row r="7">
      <c r="A7" t="inlineStr">
        <is>
          <t>Recommended Cloud Annual Cost</t>
        </is>
      </c>
      <c r="B7" s="216" t="n"/>
      <c r="D7" t="inlineStr">
        <is>
          <t>Selected provider cost</t>
        </is>
      </c>
      <c r="F7" t="inlineStr">
        <is>
          <t>Project Name</t>
        </is>
      </c>
    </row>
    <row r="8">
      <c r="A8" t="inlineStr">
        <is>
          <t>Annual Savings</t>
        </is>
      </c>
      <c r="B8" s="216" t="n">
        <v>0</v>
      </c>
      <c r="F8" t="inlineStr">
        <is>
          <t>Document Version</t>
        </is>
      </c>
      <c r="G8" t="n">
        <v>2</v>
      </c>
    </row>
    <row r="9">
      <c r="A9" t="inlineStr">
        <is>
          <t>3-Year TCO Savings</t>
        </is>
      </c>
      <c r="B9" s="216">
        <f>'Business Case'!F62</f>
        <v/>
      </c>
      <c r="F9" t="inlineStr">
        <is>
          <t>Created Date</t>
        </is>
      </c>
    </row>
    <row r="10">
      <c r="A10" t="inlineStr">
        <is>
          <t>3-Year Net Savings</t>
        </is>
      </c>
      <c r="B10" s="216" t="n">
        <v>0</v>
      </c>
      <c r="D10" t="inlineStr">
        <is>
          <t>From Business Case Section 4</t>
        </is>
      </c>
      <c r="F10" t="inlineStr">
        <is>
          <t>Last Updated</t>
        </is>
      </c>
    </row>
    <row r="11">
      <c r="A11" t="inlineStr">
        <is>
          <t>Annual Savings</t>
        </is>
      </c>
      <c r="B11" s="216">
        <f>'Business Case'!B75</f>
        <v/>
      </c>
      <c r="D11" t="inlineStr">
        <is>
          <t>Current minus Cloud Annual Cost</t>
        </is>
      </c>
      <c r="F11" t="inlineStr">
        <is>
          <t>Author</t>
        </is>
      </c>
    </row>
    <row r="12">
      <c r="A12" t="inlineStr">
        <is>
          <t>ROI %</t>
        </is>
      </c>
      <c r="B12" s="217">
        <f>'Business Case'!#REF!</f>
        <v/>
      </c>
      <c r="D12" t="inlineStr">
        <is>
          <t>From Business Case Section 4</t>
        </is>
      </c>
      <c r="F12" t="inlineStr">
        <is>
          <t>Status</t>
        </is>
      </c>
      <c r="H12" t="inlineStr">
        <is>
          <t>Draft / Review / Approved</t>
        </is>
      </c>
    </row>
    <row r="14">
      <c r="A14" s="22" t="inlineStr">
        <is>
          <t>CLOUD PROVIDER COMPARISON</t>
        </is>
      </c>
      <c r="F14" s="23" t="inlineStr">
        <is>
          <t>WORKBOOK NAVIGATION</t>
        </is>
      </c>
    </row>
    <row r="15">
      <c r="A15" s="24" t="inlineStr">
        <is>
          <t>Provider</t>
        </is>
      </c>
      <c r="B15" s="24" t="inlineStr">
        <is>
          <t>Annual Cost ($)</t>
        </is>
      </c>
      <c r="C15" s="24" t="inlineStr">
        <is>
          <t>Selection Score</t>
        </is>
      </c>
      <c r="D15" s="24" t="inlineStr">
        <is>
          <t>Recommendation</t>
        </is>
      </c>
      <c r="F15" s="24" t="inlineStr">
        <is>
          <t>Sheet Name</t>
        </is>
      </c>
      <c r="G15" s="24" t="inlineStr">
        <is>
          <t>Purpose</t>
        </is>
      </c>
      <c r="H15" s="24" t="n"/>
    </row>
    <row r="16">
      <c r="A16" t="inlineStr">
        <is>
          <t>AWS</t>
        </is>
      </c>
      <c r="B16" s="216" t="n">
        <v>0</v>
      </c>
      <c r="C16" t="n">
        <v>0</v>
      </c>
      <c r="D16" t="inlineStr">
        <is>
          <t>✓ Lowest Cost</t>
        </is>
      </c>
      <c r="F16" t="inlineStr">
        <is>
          <t>Business Case</t>
        </is>
      </c>
      <c r="G16" t="inlineStr">
        <is>
          <t>Full business case with TCO &amp; ROI</t>
        </is>
      </c>
    </row>
    <row r="17">
      <c r="A17" t="inlineStr">
        <is>
          <t>Azure</t>
        </is>
      </c>
      <c r="B17" s="216" t="n">
        <v>0</v>
      </c>
      <c r="C17" t="n">
        <v>0</v>
      </c>
      <c r="D17" t="inlineStr">
        <is>
          <t>✓ Lowest Cost</t>
        </is>
      </c>
      <c r="F17" t="inlineStr">
        <is>
          <t>Multi-Cloud Comparison</t>
        </is>
      </c>
      <c r="G17" t="inlineStr">
        <is>
          <t>Compare AWS, Azure, GCP costs</t>
        </is>
      </c>
    </row>
    <row r="18">
      <c r="A18" t="inlineStr">
        <is>
          <t>Google Cloud</t>
        </is>
      </c>
      <c r="B18" s="216" t="n">
        <v>0</v>
      </c>
      <c r="C18" t="n">
        <v>0</v>
      </c>
      <c r="D18" t="inlineStr">
        <is>
          <t>✓ Lowest Cost</t>
        </is>
      </c>
      <c r="F18" t="inlineStr">
        <is>
          <t>Cloud Provider Data</t>
        </is>
      </c>
      <c r="G18" t="inlineStr">
        <is>
          <t>Input pricing from calculators</t>
        </is>
      </c>
    </row>
    <row r="19">
      <c r="A19" s="26" t="inlineStr">
        <is>
          <t>-</t>
        </is>
      </c>
      <c r="B19" s="218" t="n">
        <v>0</v>
      </c>
      <c r="C19" s="26" t="n"/>
      <c r="D19" s="26" t="n"/>
      <c r="F19" t="inlineStr">
        <is>
          <t>Migration Strategy</t>
        </is>
      </c>
      <c r="G19" t="inlineStr">
        <is>
          <t>Workload placement decisions</t>
        </is>
      </c>
    </row>
    <row r="21">
      <c r="A21" s="70" t="inlineStr">
        <is>
          <t>RISK ASSESSMENT SUMMARY</t>
        </is>
      </c>
    </row>
    <row r="22">
      <c r="A22" s="28" t="inlineStr">
        <is>
          <t>Risk Category</t>
        </is>
      </c>
      <c r="B22" s="28" t="inlineStr">
        <is>
          <t>Impact (H/M/L)</t>
        </is>
      </c>
      <c r="C22" s="28" t="inlineStr">
        <is>
          <t>Probability (H/M/L)</t>
        </is>
      </c>
      <c r="D22" s="28" t="inlineStr">
        <is>
          <t>Mitigation Strategy</t>
        </is>
      </c>
    </row>
    <row r="23">
      <c r="A23" t="inlineStr">
        <is>
          <t>Cost Overrun</t>
        </is>
      </c>
    </row>
    <row r="24">
      <c r="A24" t="inlineStr">
        <is>
          <t>Timeline Delay</t>
        </is>
      </c>
    </row>
    <row r="25">
      <c r="A25" t="inlineStr">
        <is>
          <t>Technical Complexity</t>
        </is>
      </c>
    </row>
    <row r="26">
      <c r="A26" t="inlineStr">
        <is>
          <t>Vendor Lock-in</t>
        </is>
      </c>
    </row>
    <row r="27">
      <c r="A27" t="inlineStr">
        <is>
          <t>Skills Gap</t>
        </is>
      </c>
    </row>
    <row r="28">
      <c r="A28" t="inlineStr">
        <is>
          <t>Business Disruption</t>
        </is>
      </c>
    </row>
    <row r="30">
      <c r="A30" s="47" t="inlineStr">
        <is>
          <t>RECOMMENDATION &amp; DECISION</t>
        </is>
      </c>
    </row>
    <row r="31">
      <c r="A31" s="30" t="inlineStr">
        <is>
          <t>Decision Item</t>
        </is>
      </c>
      <c r="B31" s="30" t="inlineStr">
        <is>
          <t>Value/Selection</t>
        </is>
      </c>
      <c r="C31" s="30" t="inlineStr">
        <is>
          <t>Rationale</t>
        </is>
      </c>
      <c r="D31" s="30" t="n"/>
    </row>
    <row r="32">
      <c r="A32" t="inlineStr">
        <is>
          <t>Primary Cloud Provider</t>
        </is>
      </c>
    </row>
    <row r="33">
      <c r="A33" t="inlineStr">
        <is>
          <t>Recommendation</t>
        </is>
      </c>
      <c r="B33" s="216" t="n">
        <v>0</v>
      </c>
      <c r="D33" t="inlineStr">
        <is>
          <t>Proceed / Defer / More Analysis</t>
        </is>
      </c>
    </row>
    <row r="34">
      <c r="A34" t="inlineStr">
        <is>
          <t>Investment Required</t>
        </is>
      </c>
      <c r="B34" s="216" t="n"/>
    </row>
    <row r="35">
      <c r="A35" t="inlineStr">
        <is>
          <t>Expected Start Date</t>
        </is>
      </c>
    </row>
    <row r="36">
      <c r="A36" t="inlineStr">
        <is>
          <t>Go-Live Target</t>
        </is>
      </c>
    </row>
    <row r="37">
      <c r="A37" t="inlineStr">
        <is>
          <t>Sponsor Approval</t>
        </is>
      </c>
    </row>
    <row r="38">
      <c r="A38" t="inlineStr">
        <is>
          <t>Approved Date</t>
        </is>
      </c>
    </row>
    <row r="40">
      <c r="A40" s="23" t="inlineStr">
        <is>
          <t>STAKEHOLDER SIGN-OFF</t>
        </is>
      </c>
    </row>
    <row r="41">
      <c r="A41" s="24" t="inlineStr">
        <is>
          <t>Role</t>
        </is>
      </c>
      <c r="B41" s="24" t="inlineStr">
        <is>
          <t>Name</t>
        </is>
      </c>
      <c r="C41" s="24" t="inlineStr">
        <is>
          <t>Signature/Approval</t>
        </is>
      </c>
      <c r="D41" s="24" t="inlineStr">
        <is>
          <t>Date</t>
        </is>
      </c>
    </row>
    <row r="42">
      <c r="A42" t="inlineStr">
        <is>
          <t>Executive Sponsor</t>
        </is>
      </c>
    </row>
    <row r="43">
      <c r="A43" t="inlineStr">
        <is>
          <t>Finance Director / CFO</t>
        </is>
      </c>
    </row>
    <row r="44">
      <c r="A44" t="inlineStr">
        <is>
          <t>CIO / CTO</t>
        </is>
      </c>
    </row>
    <row r="45">
      <c r="A45" t="inlineStr">
        <is>
          <t>Cloud Architect Lead</t>
        </is>
      </c>
    </row>
    <row r="46">
      <c r="A46" t="inlineStr">
        <is>
          <t>Project Manager</t>
        </is>
      </c>
    </row>
    <row r="47">
      <c r="A47" t="inlineStr">
        <is>
          <t>Security Officer</t>
        </is>
      </c>
    </row>
  </sheetData>
  <mergeCells count="9">
    <mergeCell ref="A40:D40"/>
    <mergeCell ref="F14:H14"/>
    <mergeCell ref="A4:D4"/>
    <mergeCell ref="A2:H2"/>
    <mergeCell ref="A21:D21"/>
    <mergeCell ref="A30:D30"/>
    <mergeCell ref="F4:H4"/>
    <mergeCell ref="A1:H1"/>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87"/>
  <sheetViews>
    <sheetView showGridLines="0" zoomScaleNormal="100" workbookViewId="0">
      <pane ySplit="3" topLeftCell="A4" activePane="bottomLeft" state="frozen"/>
      <selection pane="bottomLeft" activeCell="B74" sqref="B74"/>
    </sheetView>
  </sheetViews>
  <sheetFormatPr baseColWidth="8" defaultColWidth="8.6328125" defaultRowHeight="14.5"/>
  <cols>
    <col width="36.36328125" customWidth="1" style="21" min="1" max="1"/>
    <col width="27.26953125" customWidth="1" style="21" min="2" max="2"/>
    <col width="21.26953125" bestFit="1" customWidth="1" style="21" min="3" max="3"/>
    <col width="18.1796875" customWidth="1" style="21" min="4" max="5"/>
    <col width="27.26953125" customWidth="1" style="21" min="6" max="6"/>
  </cols>
  <sheetData>
    <row r="1" ht="35" customHeight="1" s="21" thickTop="1">
      <c r="A1" s="219" t="inlineStr">
        <is>
          <t>📊 EXECUTIVE SUMMARY — KEY PERFORMANCE INDICATORS</t>
        </is>
      </c>
      <c r="B1" s="220" t="n"/>
      <c r="C1" s="220" t="n"/>
      <c r="D1" s="220" t="n"/>
      <c r="E1" s="220" t="n"/>
      <c r="F1" s="221" t="n"/>
    </row>
    <row r="2" ht="22" customHeight="1" s="21">
      <c r="A2" s="161" t="inlineStr">
        <is>
          <t>Current Annual Cost</t>
        </is>
      </c>
      <c r="B2" s="160" t="inlineStr">
        <is>
          <t>Cloud Annual Cost</t>
        </is>
      </c>
      <c r="C2" s="160" t="inlineStr">
        <is>
          <t>Annual Savings</t>
        </is>
      </c>
      <c r="D2" s="160" t="n"/>
      <c r="E2" s="160" t="n"/>
      <c r="F2" s="163" t="n"/>
    </row>
    <row r="3" ht="40" customHeight="1" s="21" thickBot="1">
      <c r="A3" s="222">
        <f>C44</f>
        <v/>
      </c>
      <c r="B3" s="223">
        <f>C55</f>
        <v/>
      </c>
      <c r="C3" s="223">
        <f>A3-B3</f>
        <v/>
      </c>
    </row>
    <row r="4" ht="12" customHeight="1" s="21" thickTop="1">
      <c r="A4" s="31" t="n"/>
      <c r="B4" s="31" t="n"/>
      <c r="C4" s="31" t="n"/>
      <c r="D4" s="31" t="n"/>
      <c r="E4" s="31" t="n"/>
      <c r="F4" s="31" t="n"/>
    </row>
    <row r="5" ht="40" customHeight="1" s="21">
      <c r="A5" s="112" t="inlineStr">
        <is>
          <t>☁️  CLOUD BUSINESS CASE  |  MULTI-CLOUD STRATEGY ANALYSIS</t>
        </is>
      </c>
    </row>
    <row r="6" ht="25" customHeight="1" s="21">
      <c r="A6" s="113" t="inlineStr">
        <is>
          <t>Executive Business Case Template  •  AWS  |  Microsoft Azure  |  Google Cloud Platform  •  Version 2.0</t>
        </is>
      </c>
    </row>
    <row r="7" ht="12" customHeight="1" s="21" thickBot="1">
      <c r="A7" s="32" t="n"/>
      <c r="B7" s="32" t="n"/>
      <c r="C7" s="32" t="n"/>
      <c r="D7" s="32" t="n"/>
      <c r="E7" s="32" t="n"/>
      <c r="F7" s="32" t="n"/>
    </row>
    <row r="8" ht="30" customHeight="1" s="21" thickBot="1" thickTop="1">
      <c r="A8" s="224" t="inlineStr">
        <is>
          <t>💰 SECTION 1 — CURRENT-STATE COST CAPTURE</t>
        </is>
      </c>
      <c r="B8" s="225" t="n"/>
      <c r="C8" s="225" t="n"/>
      <c r="D8" s="225" t="n"/>
      <c r="E8" s="225" t="n"/>
      <c r="F8" s="226" t="n"/>
    </row>
    <row r="9" ht="22" customHeight="1" s="21">
      <c r="A9" s="33" t="inlineStr">
        <is>
          <t>Infrastructure Costs (Annual)</t>
        </is>
      </c>
    </row>
    <row r="10" ht="22" customHeight="1" s="21">
      <c r="A10" s="167" t="inlineStr">
        <is>
          <t>Category</t>
        </is>
      </c>
      <c r="B10" s="123" t="inlineStr">
        <is>
          <t>Description</t>
        </is>
      </c>
      <c r="C10" s="123" t="inlineStr">
        <is>
          <t>Annual Cost ($)</t>
        </is>
      </c>
      <c r="D10" s="123" t="inlineStr">
        <is>
          <t>FY</t>
        </is>
      </c>
      <c r="E10" s="123" t="inlineStr">
        <is>
          <t>Owner</t>
        </is>
      </c>
      <c r="F10" s="129" t="inlineStr">
        <is>
          <t>Notes</t>
        </is>
      </c>
    </row>
    <row r="11" ht="20" customHeight="1" s="21">
      <c r="A11" s="126" t="inlineStr">
        <is>
          <t>Compute (Servers)</t>
        </is>
      </c>
      <c r="B11" s="120" t="inlineStr">
        <is>
          <t>Physical/virtual servers</t>
        </is>
      </c>
      <c r="C11" s="227" t="n"/>
      <c r="D11" s="120" t="n"/>
      <c r="E11" s="120" t="n"/>
      <c r="F11" s="130" t="n"/>
    </row>
    <row r="12" ht="16" customHeight="1" s="21">
      <c r="A12" s="127" t="inlineStr">
        <is>
          <t>Storage</t>
        </is>
      </c>
      <c r="B12" s="122" t="inlineStr">
        <is>
          <t>SAN / NAS / DAS</t>
        </is>
      </c>
      <c r="C12" s="228" t="n"/>
      <c r="D12" s="122" t="n"/>
      <c r="E12" s="122" t="n"/>
      <c r="F12" s="131" t="n"/>
    </row>
    <row r="13" ht="32" customHeight="1" s="21">
      <c r="A13" s="126" t="inlineStr">
        <is>
          <t>Networking</t>
        </is>
      </c>
      <c r="B13" s="120" t="inlineStr">
        <is>
          <t>Switches, firewalls, load balancers</t>
        </is>
      </c>
      <c r="C13" s="227" t="n"/>
      <c r="D13" s="120" t="n"/>
      <c r="E13" s="120" t="n"/>
      <c r="F13" s="130" t="n"/>
    </row>
    <row r="14" ht="20" customHeight="1" s="21">
      <c r="A14" s="127" t="inlineStr">
        <is>
          <t>Data Center</t>
        </is>
      </c>
      <c r="B14" s="122" t="inlineStr">
        <is>
          <t>Power, cooling, space, facilities</t>
        </is>
      </c>
      <c r="C14" s="228" t="n"/>
      <c r="D14" s="122" t="n"/>
      <c r="E14" s="122" t="n"/>
      <c r="F14" s="131" t="n"/>
    </row>
    <row r="15" ht="20" customHeight="1" s="21">
      <c r="A15" s="126" t="inlineStr">
        <is>
          <t>Disaster Recovery</t>
        </is>
      </c>
      <c r="B15" s="120" t="inlineStr">
        <is>
          <t>DR infrastructure and services</t>
        </is>
      </c>
      <c r="C15" s="227" t="n"/>
      <c r="D15" s="120" t="n"/>
      <c r="E15" s="120" t="n"/>
      <c r="F15" s="130" t="n"/>
    </row>
    <row r="16" ht="22" customHeight="1" s="21">
      <c r="A16" s="128" t="inlineStr">
        <is>
          <t>Infrastructure Subtotal</t>
        </is>
      </c>
      <c r="B16" s="125" t="n"/>
      <c r="C16" s="229" t="n">
        <v>0</v>
      </c>
      <c r="D16" s="125" t="n"/>
      <c r="E16" s="125" t="n"/>
      <c r="F16" s="132" t="n"/>
    </row>
    <row r="17" ht="12" customHeight="1" s="21">
      <c r="A17" s="34" t="n"/>
      <c r="B17" s="35" t="n"/>
      <c r="C17" s="35" t="n"/>
      <c r="D17" s="35" t="n"/>
      <c r="E17" s="35" t="n"/>
      <c r="F17" s="35" t="n"/>
    </row>
    <row r="18" ht="22" customHeight="1" s="21">
      <c r="A18" s="33" t="inlineStr">
        <is>
          <t>Software &amp; Licensing Costs (Annual)</t>
        </is>
      </c>
    </row>
    <row r="19" ht="22" customHeight="1" s="21">
      <c r="A19" s="167" t="inlineStr">
        <is>
          <t>Category</t>
        </is>
      </c>
      <c r="B19" s="123" t="inlineStr">
        <is>
          <t>Description</t>
        </is>
      </c>
      <c r="C19" s="123" t="inlineStr">
        <is>
          <t>Annual Cost ($)</t>
        </is>
      </c>
      <c r="D19" s="123" t="inlineStr">
        <is>
          <t>Vendor</t>
        </is>
      </c>
      <c r="E19" s="123" t="inlineStr">
        <is>
          <t>Renewal</t>
        </is>
      </c>
      <c r="F19" s="129" t="inlineStr">
        <is>
          <t>Notes</t>
        </is>
      </c>
    </row>
    <row r="20" ht="32" customHeight="1" s="21">
      <c r="A20" s="126" t="inlineStr">
        <is>
          <t>Operating Systems</t>
        </is>
      </c>
      <c r="B20" s="120" t="inlineStr">
        <is>
          <t>Windows Server, Linux (RHEL, etc.)</t>
        </is>
      </c>
      <c r="C20" s="227" t="n"/>
      <c r="D20" s="120" t="n"/>
      <c r="E20" s="120" t="n"/>
      <c r="F20" s="130" t="n"/>
    </row>
    <row r="21" ht="22" customHeight="1" s="21">
      <c r="A21" s="127" t="inlineStr">
        <is>
          <t>Database Licenses</t>
        </is>
      </c>
      <c r="B21" s="122" t="inlineStr">
        <is>
          <t>Oracle, SQL Server, etc.</t>
        </is>
      </c>
      <c r="C21" s="228" t="n"/>
      <c r="D21" s="122" t="n"/>
      <c r="E21" s="122" t="n"/>
      <c r="F21" s="131" t="n"/>
    </row>
    <row r="22" ht="22" customHeight="1" s="21">
      <c r="A22" s="126" t="inlineStr">
        <is>
          <t>Middleware</t>
        </is>
      </c>
      <c r="B22" s="120" t="inlineStr">
        <is>
          <t>Application servers, integration</t>
        </is>
      </c>
      <c r="C22" s="227" t="n"/>
      <c r="D22" s="120" t="n"/>
      <c r="E22" s="120" t="n"/>
      <c r="F22" s="130" t="n"/>
    </row>
    <row r="23" ht="22" customHeight="1" s="21">
      <c r="A23" s="127" t="inlineStr">
        <is>
          <t>Monitoring Tools</t>
        </is>
      </c>
      <c r="B23" s="122" t="inlineStr">
        <is>
          <t>APM, infrastructure monitoring</t>
        </is>
      </c>
      <c r="C23" s="228" t="n"/>
      <c r="D23" s="122" t="n"/>
      <c r="E23" s="122" t="n"/>
      <c r="F23" s="131" t="n"/>
    </row>
    <row r="24" ht="22" customHeight="1" s="21">
      <c r="A24" s="126" t="inlineStr">
        <is>
          <t>Security Tools</t>
        </is>
      </c>
      <c r="B24" s="120" t="inlineStr">
        <is>
          <t>AV, SIEM, vulnerability scanning</t>
        </is>
      </c>
      <c r="C24" s="227" t="n"/>
      <c r="D24" s="120" t="n"/>
      <c r="E24" s="120" t="n"/>
      <c r="F24" s="130" t="n"/>
    </row>
    <row r="25" ht="22" customHeight="1" s="21">
      <c r="A25" s="127" t="inlineStr">
        <is>
          <t>Backup Software</t>
        </is>
      </c>
      <c r="B25" s="122" t="inlineStr">
        <is>
          <t>Backup and recovery tools</t>
        </is>
      </c>
      <c r="C25" s="228" t="n"/>
      <c r="D25" s="122" t="n"/>
      <c r="E25" s="122" t="n"/>
      <c r="F25" s="131" t="n"/>
    </row>
    <row r="26" ht="22" customHeight="1" s="21">
      <c r="A26" s="128" t="inlineStr">
        <is>
          <t>Licensing Subtotal</t>
        </is>
      </c>
      <c r="B26" s="125" t="n"/>
      <c r="C26" s="229" t="n">
        <v>0</v>
      </c>
      <c r="D26" s="125" t="n"/>
      <c r="E26" s="125" t="n"/>
      <c r="F26" s="132" t="n"/>
    </row>
    <row r="27" ht="12" customHeight="1" s="21">
      <c r="A27" s="34" t="n"/>
      <c r="B27" s="35" t="n"/>
      <c r="C27" s="35" t="n"/>
      <c r="D27" s="35" t="n"/>
      <c r="E27" s="35" t="n"/>
      <c r="F27" s="35" t="n"/>
    </row>
    <row r="28" ht="22" customHeight="1" s="21">
      <c r="A28" s="33" t="inlineStr">
        <is>
          <t>Personnel Costs (Annual)</t>
        </is>
      </c>
    </row>
    <row r="29" ht="22" customHeight="1" s="21">
      <c r="A29" s="167" t="inlineStr">
        <is>
          <t>Role</t>
        </is>
      </c>
      <c r="B29" s="123" t="inlineStr">
        <is>
          <t>FTE Count</t>
        </is>
      </c>
      <c r="C29" s="123" t="inlineStr">
        <is>
          <t>Avg Cost / FTE ($)</t>
        </is>
      </c>
      <c r="D29" s="123" t="inlineStr">
        <is>
          <t>Annual Cost ($)</t>
        </is>
      </c>
      <c r="E29" s="123" t="inlineStr">
        <is>
          <t>Location</t>
        </is>
      </c>
      <c r="F29" s="129" t="inlineStr">
        <is>
          <t>Notes</t>
        </is>
      </c>
    </row>
    <row r="30" ht="22" customHeight="1" s="21">
      <c r="A30" s="126" t="inlineStr">
        <is>
          <t>System Administrators</t>
        </is>
      </c>
      <c r="B30" s="230" t="n"/>
      <c r="C30" s="231" t="n"/>
      <c r="D30" s="227" t="n">
        <v>0</v>
      </c>
      <c r="E30" s="120" t="n"/>
      <c r="F30" s="130" t="n"/>
    </row>
    <row r="31" ht="22" customHeight="1" s="21">
      <c r="A31" s="127" t="inlineStr">
        <is>
          <t>Database Administrators</t>
        </is>
      </c>
      <c r="B31" s="232" t="n"/>
      <c r="C31" s="233" t="n"/>
      <c r="D31" s="228" t="n">
        <v>0</v>
      </c>
      <c r="E31" s="122" t="n"/>
      <c r="F31" s="131" t="n"/>
    </row>
    <row r="32" ht="22" customHeight="1" s="21">
      <c r="A32" s="126" t="inlineStr">
        <is>
          <t>Network Engineers</t>
        </is>
      </c>
      <c r="B32" s="230" t="n"/>
      <c r="C32" s="231" t="n"/>
      <c r="D32" s="227" t="n">
        <v>0</v>
      </c>
      <c r="E32" s="120" t="n"/>
      <c r="F32" s="130" t="n"/>
    </row>
    <row r="33" ht="22" customHeight="1" s="21">
      <c r="A33" s="127" t="inlineStr">
        <is>
          <t>Security Engineers</t>
        </is>
      </c>
      <c r="B33" s="232" t="n"/>
      <c r="C33" s="233" t="n"/>
      <c r="D33" s="228" t="n">
        <v>0</v>
      </c>
      <c r="E33" s="122" t="n"/>
      <c r="F33" s="131" t="n"/>
    </row>
    <row r="34" ht="22" customHeight="1" s="21">
      <c r="A34" s="128" t="inlineStr">
        <is>
          <t>Personnel Subtotal</t>
        </is>
      </c>
      <c r="B34" s="125" t="n"/>
      <c r="C34" s="234" t="n"/>
      <c r="D34" s="229" t="n">
        <v>0</v>
      </c>
      <c r="E34" s="125" t="n"/>
      <c r="F34" s="132" t="n"/>
    </row>
    <row r="35" ht="12" customHeight="1" s="21">
      <c r="A35" s="34" t="n"/>
      <c r="B35" s="35" t="n"/>
      <c r="C35" s="35" t="n"/>
      <c r="D35" s="35" t="n"/>
      <c r="E35" s="35" t="n"/>
      <c r="F35" s="35" t="n"/>
    </row>
    <row r="36" ht="22" customHeight="1" s="21">
      <c r="A36" s="33" t="inlineStr">
        <is>
          <t>Operational Costs (Annual)</t>
        </is>
      </c>
    </row>
    <row r="37" ht="22" customHeight="1" s="21">
      <c r="A37" s="167" t="inlineStr">
        <is>
          <t>Category</t>
        </is>
      </c>
      <c r="B37" s="123" t="inlineStr">
        <is>
          <t>Annual Cost ($)</t>
        </is>
      </c>
      <c r="C37" s="123" t="inlineStr">
        <is>
          <t>Vendor</t>
        </is>
      </c>
      <c r="D37" s="123" t="inlineStr">
        <is>
          <t>Frequency</t>
        </is>
      </c>
      <c r="E37" s="123" t="inlineStr">
        <is>
          <t>Owner</t>
        </is>
      </c>
      <c r="F37" s="129" t="inlineStr">
        <is>
          <t>Notes</t>
        </is>
      </c>
    </row>
    <row r="38" ht="22" customHeight="1" s="21">
      <c r="A38" s="126" t="inlineStr">
        <is>
          <t>Maintenance contracts</t>
        </is>
      </c>
      <c r="B38" s="227" t="n"/>
      <c r="C38" s="120" t="n"/>
      <c r="D38" s="120" t="n"/>
      <c r="E38" s="120" t="n"/>
      <c r="F38" s="130" t="n"/>
    </row>
    <row r="39" ht="22" customHeight="1" s="21">
      <c r="A39" s="127" t="inlineStr">
        <is>
          <t>Professional services</t>
        </is>
      </c>
      <c r="B39" s="228" t="n"/>
      <c r="C39" s="122" t="n"/>
      <c r="D39" s="122" t="n"/>
      <c r="E39" s="122" t="n"/>
      <c r="F39" s="131" t="n"/>
    </row>
    <row r="40" ht="22" customHeight="1" s="21">
      <c r="A40" s="126" t="inlineStr">
        <is>
          <t>Training</t>
        </is>
      </c>
      <c r="B40" s="227" t="n"/>
      <c r="C40" s="120" t="n"/>
      <c r="D40" s="120" t="n"/>
      <c r="E40" s="120" t="n"/>
      <c r="F40" s="130" t="n"/>
    </row>
    <row r="41" ht="22" customHeight="1" s="21">
      <c r="A41" s="127" t="inlineStr">
        <is>
          <t>Compliance / audit</t>
        </is>
      </c>
      <c r="B41" s="228" t="n"/>
      <c r="C41" s="122" t="n"/>
      <c r="D41" s="122" t="n"/>
      <c r="E41" s="122" t="n"/>
      <c r="F41" s="131" t="n"/>
    </row>
    <row r="42" ht="22" customHeight="1" s="21">
      <c r="A42" s="128" t="inlineStr">
        <is>
          <t>Operational Subtotal</t>
        </is>
      </c>
      <c r="B42" s="229" t="n">
        <v>0</v>
      </c>
      <c r="C42" s="125" t="n"/>
      <c r="D42" s="125" t="n"/>
      <c r="E42" s="125" t="n"/>
      <c r="F42" s="132" t="n"/>
    </row>
    <row r="43" ht="12" customHeight="1" s="21" thickBot="1">
      <c r="A43" s="34" t="n"/>
      <c r="B43" s="35" t="n"/>
      <c r="C43" s="35" t="n"/>
      <c r="D43" s="35" t="n"/>
      <c r="E43" s="35" t="n"/>
      <c r="F43" s="35" t="n"/>
    </row>
    <row r="44" ht="28" customHeight="1" s="21">
      <c r="A44" s="114" t="inlineStr">
        <is>
          <t>Total Current-State Annual Cost</t>
        </is>
      </c>
      <c r="B44" s="116" t="n"/>
      <c r="C44" s="235" t="n">
        <v>0</v>
      </c>
      <c r="D44" s="116" t="n"/>
      <c r="E44" s="116" t="n"/>
      <c r="F44" s="117" t="n"/>
    </row>
    <row r="45" ht="12" customHeight="1" s="21" thickBot="1">
      <c r="A45" s="34" t="n"/>
      <c r="B45" s="35" t="n"/>
      <c r="C45" s="35" t="n"/>
      <c r="D45" s="35" t="n"/>
      <c r="E45" s="35" t="n"/>
      <c r="F45" s="35" t="n"/>
    </row>
    <row r="46" ht="30" customHeight="1" s="21" thickBot="1" thickTop="1">
      <c r="A46" s="236" t="inlineStr">
        <is>
          <t>☁️ SECTION 2 — MULTI-CLOUD COST ESTIMATION (AWS / Azure / Google Cloud)</t>
        </is>
      </c>
      <c r="B46" s="237" t="n"/>
      <c r="C46" s="237" t="n"/>
      <c r="D46" s="237" t="n"/>
      <c r="E46" s="237" t="n"/>
      <c r="F46" s="238" t="n"/>
    </row>
    <row r="47" ht="22" customHeight="1" s="21">
      <c r="A47" s="168" t="inlineStr">
        <is>
          <t>Service Category</t>
        </is>
      </c>
      <c r="B47" s="157" t="inlineStr">
        <is>
          <t>Monthly Cost ($)</t>
        </is>
      </c>
      <c r="C47" s="157" t="inlineStr">
        <is>
          <t>Annual Cost ($)</t>
        </is>
      </c>
      <c r="D47" s="157" t="inlineStr">
        <is>
          <t>Cloud Provider</t>
        </is>
      </c>
      <c r="E47" s="157" t="inlineStr">
        <is>
          <t>Region</t>
        </is>
      </c>
      <c r="F47" s="158" t="inlineStr">
        <is>
          <t>Service Name / SKU</t>
        </is>
      </c>
    </row>
    <row r="48" ht="22" customHeight="1" s="21">
      <c r="A48" s="126" t="inlineStr">
        <is>
          <t>Compute (VMs/Containers)</t>
        </is>
      </c>
      <c r="B48" s="227" t="n"/>
      <c r="C48" s="227" t="n">
        <v>0</v>
      </c>
      <c r="D48" s="120" t="n"/>
      <c r="E48" s="120" t="n"/>
      <c r="F48" s="130" t="n"/>
    </row>
    <row r="49" ht="22" customHeight="1" s="21">
      <c r="A49" s="127" t="inlineStr">
        <is>
          <t>Database (Managed)</t>
        </is>
      </c>
      <c r="B49" s="228" t="n"/>
      <c r="C49" s="228" t="n">
        <v>0</v>
      </c>
      <c r="D49" s="122" t="n"/>
      <c r="E49" s="122" t="n"/>
      <c r="F49" s="131" t="n"/>
    </row>
    <row r="50" ht="22" customHeight="1" s="21">
      <c r="A50" s="126" t="inlineStr">
        <is>
          <t>Storage</t>
        </is>
      </c>
      <c r="B50" s="227" t="n"/>
      <c r="C50" s="227" t="n">
        <v>0</v>
      </c>
      <c r="D50" s="120" t="n"/>
      <c r="E50" s="120" t="n"/>
      <c r="F50" s="130" t="n"/>
    </row>
    <row r="51" ht="22" customHeight="1" s="21">
      <c r="A51" s="127" t="inlineStr">
        <is>
          <t>Networking/Data Transfer</t>
        </is>
      </c>
      <c r="B51" s="228" t="n"/>
      <c r="C51" s="228" t="n">
        <v>0</v>
      </c>
      <c r="D51" s="122" t="n"/>
      <c r="E51" s="122" t="n"/>
      <c r="F51" s="131" t="n"/>
    </row>
    <row r="52" ht="22" customHeight="1" s="21">
      <c r="A52" s="126" t="inlineStr">
        <is>
          <t>Security Services</t>
        </is>
      </c>
      <c r="B52" s="227" t="n"/>
      <c r="C52" s="227" t="n">
        <v>0</v>
      </c>
      <c r="D52" s="120" t="n"/>
      <c r="E52" s="120" t="n"/>
      <c r="F52" s="130" t="n"/>
    </row>
    <row r="53" ht="22" customHeight="1" s="21">
      <c r="A53" s="126" t="inlineStr">
        <is>
          <t>Support Plan</t>
        </is>
      </c>
      <c r="B53" s="227" t="n"/>
      <c r="C53" s="227" t="n">
        <v>0</v>
      </c>
      <c r="D53" s="120" t="n"/>
      <c r="E53" s="120" t="n"/>
      <c r="F53" s="130" t="n"/>
    </row>
    <row r="54" ht="22" customHeight="1" s="21">
      <c r="A54" s="127" t="inlineStr">
        <is>
          <t>Reserved/Committed Discounts</t>
        </is>
      </c>
      <c r="B54" s="228" t="n"/>
      <c r="C54" s="228" t="n">
        <v>0</v>
      </c>
      <c r="D54" s="122" t="n"/>
      <c r="E54" s="122" t="n"/>
      <c r="F54" s="131" t="n"/>
    </row>
    <row r="55" ht="28" customHeight="1" s="21">
      <c r="A55" s="138" t="inlineStr">
        <is>
          <t>Total Cloud Annual Cost</t>
        </is>
      </c>
      <c r="B55" s="239" t="n"/>
      <c r="C55" s="239" t="n">
        <v>0</v>
      </c>
      <c r="D55" s="137" t="n"/>
      <c r="E55" s="137" t="n"/>
      <c r="F55" s="139" t="n"/>
    </row>
    <row r="56" ht="12" customHeight="1" s="21" thickBot="1">
      <c r="A56" s="34" t="n"/>
      <c r="B56" s="35" t="n"/>
      <c r="C56" s="35" t="n"/>
      <c r="D56" s="35" t="n"/>
      <c r="E56" s="35" t="n"/>
      <c r="F56" s="35" t="n"/>
    </row>
    <row r="57" ht="30" customHeight="1" s="21" thickBot="1" thickTop="1">
      <c r="A57" s="236" t="inlineStr">
        <is>
          <t>📊 SECTION 3 — TCO CALCULATION (3 YEAR)</t>
        </is>
      </c>
      <c r="B57" s="237" t="n"/>
      <c r="C57" s="237" t="n"/>
      <c r="D57" s="237" t="n"/>
      <c r="E57" s="237" t="n"/>
      <c r="F57" s="238" t="n"/>
    </row>
    <row r="58" ht="22" customHeight="1" s="21">
      <c r="A58" s="156" t="inlineStr">
        <is>
          <t>Year</t>
        </is>
      </c>
      <c r="B58" s="157" t="inlineStr">
        <is>
          <t>Current State ($)</t>
        </is>
      </c>
      <c r="C58" s="157" t="inlineStr">
        <is>
          <t>Cloud State ($)</t>
        </is>
      </c>
    </row>
    <row r="59" ht="22" customHeight="1" s="21">
      <c r="A59" s="200" t="inlineStr">
        <is>
          <t>Year 1</t>
        </is>
      </c>
      <c r="B59" s="240">
        <f>C44</f>
        <v/>
      </c>
      <c r="C59" s="240">
        <f>C55</f>
        <v/>
      </c>
    </row>
    <row r="60" ht="22" customHeight="1" s="21">
      <c r="A60" s="202" t="inlineStr">
        <is>
          <t>Year 2</t>
        </is>
      </c>
      <c r="B60" s="241">
        <f>C44</f>
        <v/>
      </c>
      <c r="C60" s="241">
        <f>C55</f>
        <v/>
      </c>
    </row>
    <row r="61" ht="22" customHeight="1" s="21">
      <c r="A61" s="200" t="inlineStr">
        <is>
          <t>Year 3</t>
        </is>
      </c>
      <c r="B61" s="240">
        <f>C44</f>
        <v/>
      </c>
      <c r="C61" s="240">
        <f>C55</f>
        <v/>
      </c>
    </row>
    <row r="62" ht="28" customHeight="1" s="21">
      <c r="A62" s="138" t="inlineStr">
        <is>
          <t>Total</t>
        </is>
      </c>
      <c r="B62" s="239">
        <f>SUM(B59:B61)</f>
        <v/>
      </c>
      <c r="C62" s="239">
        <f>SUM(C59:C61)</f>
        <v/>
      </c>
    </row>
    <row r="63" ht="12" customHeight="1" s="21" thickBot="1">
      <c r="A63" s="34" t="n"/>
      <c r="B63" s="35" t="n"/>
      <c r="C63" s="35" t="n"/>
      <c r="D63" s="35" t="n"/>
      <c r="E63" s="35" t="n"/>
      <c r="F63" s="35" t="n"/>
    </row>
    <row r="64" ht="30" customHeight="1" s="21" thickBot="1" thickTop="1">
      <c r="A64" s="236" t="inlineStr">
        <is>
          <t>📈 SECTION 4 — ROI CALCULATION</t>
        </is>
      </c>
      <c r="B64" s="237" t="n"/>
      <c r="C64" s="237" t="n"/>
      <c r="D64" s="237" t="n"/>
      <c r="E64" s="237" t="n"/>
      <c r="F64" s="238" t="n"/>
    </row>
    <row r="65" ht="22" customHeight="1" s="21">
      <c r="A65" s="168" t="inlineStr">
        <is>
          <t>Component</t>
        </is>
      </c>
      <c r="B65" s="157" t="inlineStr">
        <is>
          <t>Value ($)</t>
        </is>
      </c>
      <c r="C65" s="157" t="inlineStr">
        <is>
          <t>Notes</t>
        </is>
      </c>
      <c r="D65" s="157" t="n"/>
      <c r="E65" s="157" t="n"/>
      <c r="F65" s="158" t="n"/>
    </row>
    <row r="66" ht="24" customHeight="1" s="21">
      <c r="A66" s="145" t="inlineStr">
        <is>
          <t>📗 BENEFITS</t>
        </is>
      </c>
      <c r="B66" s="175" t="n"/>
      <c r="C66" s="175" t="n"/>
      <c r="D66" s="175" t="n"/>
      <c r="E66" s="175" t="n"/>
      <c r="F66" s="176" t="n"/>
    </row>
    <row r="67" ht="32" customHeight="1" s="21">
      <c r="A67" s="146" t="inlineStr">
        <is>
          <t>Cost Savings (3-Year)</t>
        </is>
      </c>
      <c r="B67" s="242">
        <f>B62-C62</f>
        <v/>
      </c>
      <c r="C67" s="177" t="inlineStr">
        <is>
          <t>Current - Cloud costs (3 yrs)</t>
        </is>
      </c>
      <c r="D67" s="177" t="n"/>
      <c r="E67" s="177" t="n"/>
      <c r="F67" s="178" t="n"/>
    </row>
    <row r="68" ht="32" customHeight="1" s="21">
      <c r="A68" s="146" t="inlineStr">
        <is>
          <t>Revenue Benefits</t>
        </is>
      </c>
      <c r="B68" s="242" t="n"/>
      <c r="C68" s="181" t="inlineStr">
        <is>
          <t>Faster time-to-market, new capabilities</t>
        </is>
      </c>
      <c r="D68" s="179" t="n"/>
      <c r="E68" s="179" t="n"/>
      <c r="F68" s="180" t="n"/>
    </row>
    <row r="69" ht="32" customHeight="1" s="21">
      <c r="A69" s="146" t="inlineStr">
        <is>
          <t>Risk Mitigation Value</t>
        </is>
      </c>
      <c r="B69" s="242" t="n"/>
      <c r="C69" s="181" t="inlineStr">
        <is>
          <t>Reduced downtime, improved security</t>
        </is>
      </c>
      <c r="D69" s="177" t="n"/>
      <c r="E69" s="177" t="n"/>
      <c r="F69" s="178" t="n"/>
    </row>
    <row r="70" ht="24" customHeight="1" s="21">
      <c r="A70" s="147" t="inlineStr">
        <is>
          <t>Total Benefits</t>
        </is>
      </c>
      <c r="B70" s="243">
        <f>B67+B68+B69</f>
        <v/>
      </c>
      <c r="C70" s="182" t="n"/>
      <c r="D70" s="182" t="n"/>
      <c r="E70" s="182" t="n"/>
      <c r="F70" s="183" t="n"/>
    </row>
    <row r="71" ht="24" customHeight="1" s="21">
      <c r="A71" s="148" t="inlineStr">
        <is>
          <t>📕 COSTS</t>
        </is>
      </c>
      <c r="B71" s="244" t="n"/>
      <c r="C71" s="184" t="n"/>
      <c r="D71" s="184" t="n"/>
      <c r="E71" s="184" t="n"/>
      <c r="F71" s="185" t="n"/>
    </row>
    <row r="72" ht="32" customHeight="1" s="21">
      <c r="A72" s="149" t="inlineStr">
        <is>
          <t>Cloud Costs (3-Year)</t>
        </is>
      </c>
      <c r="B72" s="245">
        <f>D62</f>
        <v/>
      </c>
      <c r="C72" s="186" t="inlineStr">
        <is>
          <t>From Section 3 - Cloud State Total</t>
        </is>
      </c>
      <c r="D72" s="186" t="n"/>
      <c r="E72" s="186" t="n"/>
      <c r="F72" s="187" t="n"/>
    </row>
    <row r="73" ht="16" customHeight="1" s="21">
      <c r="A73" s="204" t="inlineStr">
        <is>
          <t>Total Costs</t>
        </is>
      </c>
      <c r="B73" s="246">
        <f>C62</f>
        <v/>
      </c>
      <c r="C73" s="206" t="n"/>
      <c r="D73" s="188" t="n"/>
      <c r="E73" s="188" t="n"/>
      <c r="F73" s="189" t="n"/>
    </row>
    <row r="74" ht="35" customHeight="1" s="21">
      <c r="A74" s="150" t="inlineStr">
        <is>
          <t>ROI %</t>
        </is>
      </c>
      <c r="B74" s="247">
        <f>B72+B73</f>
        <v/>
      </c>
      <c r="C74" s="192" t="inlineStr">
        <is>
          <t>(Benefits - Costs) / Costs × 100%</t>
        </is>
      </c>
      <c r="D74" s="190" t="n"/>
      <c r="E74" s="190" t="n"/>
      <c r="F74" s="191" t="n"/>
    </row>
    <row r="75" ht="35" customHeight="1" s="21">
      <c r="A75" s="207" t="inlineStr">
        <is>
          <t>3-Year Net Savings</t>
        </is>
      </c>
      <c r="B75" s="248">
        <f>IF(B74=0,0,(B70-B74)/B74*100)</f>
        <v/>
      </c>
      <c r="C75" s="209" t="inlineStr">
        <is>
          <t>Total Benefits minus Total Costs</t>
        </is>
      </c>
      <c r="D75" s="192" t="n"/>
      <c r="E75" s="192" t="n"/>
      <c r="F75" s="193" t="n"/>
    </row>
    <row r="76" ht="17" customHeight="1" s="21" thickBot="1">
      <c r="A76" s="34" t="n"/>
      <c r="B76" s="35" t="n"/>
      <c r="C76" s="35" t="n"/>
      <c r="D76" s="35" t="n"/>
      <c r="E76" s="35" t="n"/>
      <c r="F76" s="35" t="n"/>
    </row>
    <row r="77" ht="30" customHeight="1" s="21" thickBot="1" thickTop="1">
      <c r="A77" s="236" t="inlineStr">
        <is>
          <t>✅ SECTION 5 — BUSINESS CASE SUMMARY</t>
        </is>
      </c>
      <c r="B77" s="237" t="n"/>
      <c r="C77" s="237" t="n"/>
      <c r="D77" s="237" t="n"/>
      <c r="E77" s="237" t="n"/>
      <c r="F77" s="238" t="n"/>
    </row>
    <row r="78" ht="22" customHeight="1" s="21">
      <c r="A78" s="168" t="inlineStr">
        <is>
          <t>Metric</t>
        </is>
      </c>
      <c r="B78" s="157" t="inlineStr">
        <is>
          <t>Value</t>
        </is>
      </c>
      <c r="C78" s="157" t="inlineStr">
        <is>
          <t>Notes</t>
        </is>
      </c>
      <c r="D78" s="157" t="n"/>
      <c r="E78" s="157" t="n"/>
      <c r="F78" s="158" t="n"/>
    </row>
    <row r="79" ht="66" customHeight="1" s="21">
      <c r="A79" s="169" t="inlineStr">
        <is>
          <t>Recommendation</t>
        </is>
      </c>
      <c r="B79" s="151" t="n"/>
      <c r="C79" s="151" t="inlineStr">
        <is>
          <t>Proceed / Proceed with conditions / Defer / Do not proceed</t>
        </is>
      </c>
      <c r="D79" s="151" t="n"/>
      <c r="E79" s="151" t="n"/>
      <c r="F79" s="194" t="n"/>
    </row>
    <row r="80" ht="24" customHeight="1" s="21">
      <c r="A80" s="126" t="inlineStr">
        <is>
          <t>Current Annual Cost ($)</t>
        </is>
      </c>
      <c r="B80" s="249">
        <f>C44</f>
        <v/>
      </c>
      <c r="C80" s="120" t="n"/>
      <c r="D80" s="120" t="n"/>
      <c r="E80" s="120" t="n"/>
      <c r="F80" s="130" t="n"/>
    </row>
    <row r="81" ht="16" customHeight="1" s="21">
      <c r="A81" s="127" t="inlineStr">
        <is>
          <t>Cloud Annual Cost ($)</t>
        </is>
      </c>
      <c r="B81" s="250">
        <f>C55</f>
        <v/>
      </c>
      <c r="C81" s="122" t="n"/>
      <c r="D81" s="122" t="n"/>
      <c r="E81" s="122" t="n"/>
      <c r="F81" s="131" t="n"/>
    </row>
    <row r="82" ht="22" customHeight="1" s="21">
      <c r="A82" s="126" t="inlineStr">
        <is>
          <t>Annual Savings ($)</t>
        </is>
      </c>
      <c r="B82" s="249">
        <f>C44-C55</f>
        <v/>
      </c>
      <c r="C82" s="120" t="n"/>
      <c r="D82" s="120" t="n"/>
      <c r="E82" s="120" t="n"/>
      <c r="F82" s="130" t="n"/>
    </row>
    <row r="83" ht="22" customHeight="1" s="21">
      <c r="A83" s="127" t="inlineStr">
        <is>
          <t>3-Year Net Savings ($)</t>
        </is>
      </c>
      <c r="B83" s="233" t="n"/>
      <c r="C83" s="122" t="n"/>
      <c r="D83" s="122" t="n"/>
      <c r="E83" s="122" t="n"/>
      <c r="F83" s="131" t="n"/>
    </row>
    <row r="84" ht="22" customHeight="1" s="21">
      <c r="A84" s="126" t="inlineStr">
        <is>
          <t>ROI %</t>
        </is>
      </c>
      <c r="B84" s="251" t="n"/>
      <c r="C84" s="120" t="n"/>
      <c r="D84" s="120" t="n"/>
      <c r="E84" s="120" t="n"/>
      <c r="F84" s="130" t="n"/>
    </row>
    <row r="85" ht="22" customHeight="1" s="21">
      <c r="A85" s="152" t="inlineStr">
        <is>
          <t>Key Benefits</t>
        </is>
      </c>
      <c r="B85" s="195" t="n"/>
      <c r="C85" s="195" t="n"/>
      <c r="D85" s="195" t="n"/>
      <c r="E85" s="195" t="n"/>
      <c r="F85" s="196" t="n"/>
    </row>
    <row r="86" ht="12" customHeight="1" s="21" thickBot="1">
      <c r="A86" s="34" t="n"/>
      <c r="B86" s="35" t="n"/>
      <c r="C86" s="35" t="n"/>
      <c r="D86" s="35" t="n"/>
      <c r="E86" s="35" t="n"/>
      <c r="F86" s="35" t="n"/>
    </row>
    <row r="87" ht="25" customHeight="1" s="21">
      <c r="A87" s="170" t="inlineStr">
        <is>
          <t>Template Version 2.0 — Cloud-Agnostic Business Case Framework | AWS | Azure | Google Cloud</t>
        </is>
      </c>
      <c r="B87" s="252" t="n"/>
      <c r="C87" s="252" t="n"/>
      <c r="D87" s="252" t="n"/>
      <c r="E87" s="252" t="n"/>
      <c r="F87" s="252" t="n"/>
    </row>
    <row r="88" ht="28" customHeight="1" s="21"/>
    <row r="89" ht="22" customHeight="1" s="21"/>
    <row r="90" ht="22" customHeight="1" s="21"/>
    <row r="91" ht="8" customHeight="1" s="21"/>
    <row r="92" ht="32" customHeight="1" s="21"/>
    <row r="93" ht="24" customHeight="1" s="21"/>
    <row r="94" ht="22" customHeight="1" s="21"/>
    <row r="95" ht="22" customHeight="1" s="21"/>
    <row r="96" ht="22" customHeight="1" s="21"/>
    <row r="97" ht="22" customHeight="1" s="21"/>
    <row r="98" ht="22" customHeight="1" s="21"/>
    <row r="99" ht="8" customHeight="1" s="21"/>
    <row r="100" ht="32" customHeight="1" s="21"/>
    <row r="101" ht="24" customHeight="1" s="21"/>
    <row r="102" ht="22" customHeight="1" s="21"/>
    <row r="103" ht="22" customHeight="1" s="21"/>
    <row r="104" ht="22" customHeight="1" s="21"/>
    <row r="105" ht="22" customHeight="1" s="21"/>
    <row r="106" ht="22" customHeight="1" s="21"/>
    <row r="107" ht="22" customHeight="1" s="21"/>
    <row r="108" ht="22" customHeight="1" s="21"/>
    <row r="109" ht="8" customHeight="1" s="21"/>
    <row r="110" ht="32" customHeight="1" s="21"/>
    <row r="111" ht="24" customHeight="1" s="21"/>
    <row r="112" ht="28" customHeight="1" s="21"/>
    <row r="113" ht="22" customHeight="1" s="21"/>
    <row r="114" ht="22" customHeight="1" s="21"/>
    <row r="115" ht="22" customHeight="1" s="21"/>
    <row r="116" ht="22" customHeight="1" s="21"/>
    <row r="117" ht="22" customHeight="1" s="21"/>
    <row r="118" ht="22" customHeight="1" s="21"/>
    <row r="119" ht="22" customHeight="1" s="21"/>
    <row r="120" ht="8" customHeight="1" s="21"/>
    <row r="121" ht="25" customHeight="1" s="21"/>
  </sheetData>
  <mergeCells count="13">
    <mergeCell ref="A28:F28"/>
    <mergeCell ref="A46:F46"/>
    <mergeCell ref="A36:F36"/>
    <mergeCell ref="A1:F1"/>
    <mergeCell ref="A5:F5"/>
    <mergeCell ref="A9:F9"/>
    <mergeCell ref="A8:F8"/>
    <mergeCell ref="A6:F6"/>
    <mergeCell ref="A18:F18"/>
    <mergeCell ref="A87:F87"/>
    <mergeCell ref="A77:F77"/>
    <mergeCell ref="A64:F64"/>
    <mergeCell ref="A57:F57"/>
  </mergeCells>
  <conditionalFormatting sqref="B75">
    <cfRule type="cellIs" priority="1" operator="greaterThan" dxfId="1">
      <formula>0</formula>
    </cfRule>
    <cfRule type="cellIs" priority="2" operator="lessThan" dxfId="0">
      <formula>0</formula>
    </cfRule>
  </conditionalFormatting>
  <conditionalFormatting sqref="C3">
    <cfRule type="cellIs" priority="8" operator="greaterThan" dxfId="1">
      <formula>0</formula>
    </cfRule>
    <cfRule type="cellIs" priority="9" operator="lessThanOrEqual" dxfId="0">
      <formula>0</formula>
    </cfRule>
  </conditionalFormatting>
  <dataValidations count="2">
    <dataValidation sqref="B79" showDropDown="0" showInputMessage="0" showErrorMessage="0" allowBlank="1" type="list">
      <formula1>"Proceed,Proceed with Conditions,Defer,Do Not Proceed,Pending Analysis"</formula1>
    </dataValidation>
    <dataValidation sqref="D48:D54" showDropDown="0" showInputMessage="1" showErrorMessage="1" allowBlank="1" type="list">
      <formula1>"AWS,Azure,GCP,Multi-Cloud,TBD"</formula1>
    </dataValidation>
  </dataValidations>
  <printOptions horizontalCentered="1"/>
  <pageMargins left="0.006944444444444444" right="0.006944444444444444" top="0.006944444444444444" bottom="0.006944444444444444" header="0.511811023622047" footer="0.511811023622047"/>
  <pageSetup orientation="landscape" paperSize="9" horizontalDpi="300" verticalDpi="300"/>
</worksheet>
</file>

<file path=xl/worksheets/sheet4.xml><?xml version="1.0" encoding="utf-8"?>
<worksheet xmlns="http://schemas.openxmlformats.org/spreadsheetml/2006/main">
  <sheetPr>
    <outlinePr summaryBelow="1" summaryRight="1"/>
    <pageSetUpPr/>
  </sheetPr>
  <dimension ref="A1:M196"/>
  <sheetViews>
    <sheetView tabSelected="1" topLeftCell="B86" workbookViewId="0">
      <selection activeCell="C187" sqref="C187"/>
    </sheetView>
  </sheetViews>
  <sheetFormatPr baseColWidth="8" defaultRowHeight="14.5"/>
  <cols>
    <col width="76.453125" customWidth="1" style="40" min="1" max="1"/>
    <col width="57.36328125" bestFit="1" customWidth="1" style="40" min="2" max="2"/>
    <col width="34.08984375" bestFit="1" customWidth="1" style="21" min="3" max="3"/>
    <col width="25.453125" customWidth="1" style="21" min="4" max="4"/>
    <col width="18.1796875" customWidth="1" style="21" min="5" max="5"/>
    <col width="25.453125" customWidth="1" style="21" min="6" max="6"/>
    <col width="18.1796875" customWidth="1" style="21" min="7" max="7"/>
    <col width="20" customWidth="1" style="21" min="8" max="8"/>
    <col width="18.1796875" customWidth="1" style="21" min="9" max="9"/>
    <col width="23.6328125" customWidth="1" style="21" min="10" max="10"/>
    <col width="27.26953125" customWidth="1" style="21" min="11" max="11"/>
  </cols>
  <sheetData>
    <row r="1" ht="21" customHeight="1" s="21">
      <c r="A1" s="37" t="inlineStr">
        <is>
          <t>Multi-Cloud Cost Comparison Matrix</t>
        </is>
      </c>
      <c r="M1" s="38" t="inlineStr">
        <is>
          <t>Provider List</t>
        </is>
      </c>
    </row>
    <row r="2">
      <c r="A2" s="49" t="inlineStr">
        <is>
          <t>Compare pricing across AWS, Microsoft Azure, and Google Cloud Platform</t>
        </is>
      </c>
      <c r="M2" t="inlineStr">
        <is>
          <t>AWS</t>
        </is>
      </c>
    </row>
    <row r="3">
      <c r="A3" s="40" t="n"/>
      <c r="B3" s="40" t="n"/>
      <c r="M3" t="inlineStr">
        <is>
          <t>Azure</t>
        </is>
      </c>
    </row>
    <row r="4">
      <c r="A4" s="22" t="inlineStr">
        <is>
          <t>1. COMPUTE SERVICES</t>
        </is>
      </c>
      <c r="M4" t="inlineStr">
        <is>
          <t>GCP</t>
        </is>
      </c>
    </row>
    <row r="5">
      <c r="A5" s="41" t="inlineStr">
        <is>
          <t>Service Type</t>
        </is>
      </c>
      <c r="B5" s="41" t="inlineStr">
        <is>
          <t>AWS Service</t>
        </is>
      </c>
      <c r="C5" s="24" t="inlineStr">
        <is>
          <t>AWS Monthly ($)</t>
        </is>
      </c>
      <c r="D5" s="24" t="inlineStr">
        <is>
          <t>Azure Service</t>
        </is>
      </c>
      <c r="E5" s="24" t="inlineStr">
        <is>
          <t>Azure Monthly ($)</t>
        </is>
      </c>
      <c r="F5" s="24" t="inlineStr">
        <is>
          <t>GCP Service</t>
        </is>
      </c>
      <c r="G5" s="24" t="inlineStr">
        <is>
          <t>GCP Monthly ($)</t>
        </is>
      </c>
      <c r="H5" s="24" t="inlineStr">
        <is>
          <t>Selected Provider</t>
        </is>
      </c>
      <c r="I5" s="24" t="inlineStr">
        <is>
          <t>Selected Cost ($)</t>
        </is>
      </c>
      <c r="J5" s="24" t="inlineStr">
        <is>
          <t>Instance/SKU Details</t>
        </is>
      </c>
      <c r="K5" s="24" t="inlineStr">
        <is>
          <t>Notes</t>
        </is>
      </c>
    </row>
    <row r="6">
      <c r="A6" s="40" t="inlineStr">
        <is>
          <t>Virtual Machines</t>
        </is>
      </c>
      <c r="B6" s="40" t="inlineStr">
        <is>
          <t>EC2</t>
        </is>
      </c>
      <c r="C6" s="216" t="n"/>
      <c r="D6" t="inlineStr">
        <is>
          <t>Virtual Machines</t>
        </is>
      </c>
      <c r="E6" s="216" t="n"/>
      <c r="F6" t="inlineStr">
        <is>
          <t>Compute Engine</t>
        </is>
      </c>
      <c r="G6" s="216" t="n"/>
      <c r="I6" s="216" t="n"/>
    </row>
    <row r="7">
      <c r="A7" s="40" t="inlineStr">
        <is>
          <t>Containers (Managed)</t>
        </is>
      </c>
      <c r="B7" s="40" t="inlineStr">
        <is>
          <t>ECS/EKS</t>
        </is>
      </c>
      <c r="C7" s="216" t="n"/>
      <c r="D7" t="inlineStr">
        <is>
          <t>AKS</t>
        </is>
      </c>
      <c r="E7" s="216" t="n"/>
      <c r="F7" t="inlineStr">
        <is>
          <t>GKE</t>
        </is>
      </c>
      <c r="G7" s="216" t="n"/>
      <c r="I7" s="216" t="n"/>
    </row>
    <row r="8">
      <c r="A8" s="40" t="inlineStr">
        <is>
          <t>Serverless Compute</t>
        </is>
      </c>
      <c r="B8" s="40" t="inlineStr">
        <is>
          <t>Lambda</t>
        </is>
      </c>
      <c r="C8" s="216" t="n"/>
      <c r="D8" t="inlineStr">
        <is>
          <t>Azure Functions</t>
        </is>
      </c>
      <c r="E8" s="216" t="n"/>
      <c r="F8" t="inlineStr">
        <is>
          <t>Cloud Functions</t>
        </is>
      </c>
      <c r="G8" s="216" t="n"/>
      <c r="I8" s="216" t="n"/>
    </row>
    <row r="9">
      <c r="A9" s="40" t="inlineStr">
        <is>
          <t>Batch Processing</t>
        </is>
      </c>
      <c r="B9" s="40" t="inlineStr">
        <is>
          <t>AWS Batch</t>
        </is>
      </c>
      <c r="C9" s="216" t="n"/>
      <c r="D9" t="inlineStr">
        <is>
          <t>Azure Batch</t>
        </is>
      </c>
      <c r="E9" s="216" t="n"/>
      <c r="F9" t="inlineStr">
        <is>
          <t>Cloud Batch</t>
        </is>
      </c>
      <c r="G9" s="216" t="n"/>
      <c r="I9" s="216" t="n"/>
    </row>
    <row r="10">
      <c r="A10" s="40" t="inlineStr">
        <is>
          <t>Reserved/Committed</t>
        </is>
      </c>
      <c r="B10" s="40" t="inlineStr">
        <is>
          <t>Savings Plans</t>
        </is>
      </c>
      <c r="C10" s="216" t="n"/>
      <c r="D10" t="inlineStr">
        <is>
          <t>Reserved Instances</t>
        </is>
      </c>
      <c r="E10" s="216" t="n"/>
      <c r="F10" t="inlineStr">
        <is>
          <t>Committed Use</t>
        </is>
      </c>
      <c r="G10" s="216" t="n"/>
      <c r="I10" s="216" t="n"/>
    </row>
    <row r="11">
      <c r="A11" s="42" t="inlineStr">
        <is>
          <t>Compute Subtotal</t>
        </is>
      </c>
      <c r="B11" s="42" t="n"/>
      <c r="C11" s="253" t="n">
        <v>0</v>
      </c>
      <c r="D11" s="30" t="n"/>
      <c r="E11" s="253" t="n">
        <v>0</v>
      </c>
      <c r="F11" s="30" t="n"/>
      <c r="G11" s="253" t="n">
        <v>0</v>
      </c>
      <c r="H11" s="30" t="n"/>
      <c r="I11" s="253" t="n">
        <v>0</v>
      </c>
      <c r="J11" s="30" t="n"/>
      <c r="K11" s="30" t="n"/>
    </row>
    <row r="12">
      <c r="A12" s="40" t="n"/>
      <c r="B12" s="40" t="n"/>
    </row>
    <row r="13">
      <c r="A13" s="22" t="inlineStr">
        <is>
          <t>2. DATABASE SERVICES</t>
        </is>
      </c>
    </row>
    <row r="14">
      <c r="A14" s="41" t="inlineStr">
        <is>
          <t>Service Type</t>
        </is>
      </c>
      <c r="B14" s="41" t="inlineStr">
        <is>
          <t>AWS Service</t>
        </is>
      </c>
      <c r="C14" s="24" t="inlineStr">
        <is>
          <t>AWS Monthly ($)</t>
        </is>
      </c>
      <c r="D14" s="24" t="inlineStr">
        <is>
          <t>Azure Service</t>
        </is>
      </c>
      <c r="E14" s="24" t="inlineStr">
        <is>
          <t>Azure Monthly ($)</t>
        </is>
      </c>
      <c r="F14" s="24" t="inlineStr">
        <is>
          <t>GCP Service</t>
        </is>
      </c>
      <c r="G14" s="24" t="inlineStr">
        <is>
          <t>GCP Monthly ($)</t>
        </is>
      </c>
      <c r="H14" s="24" t="inlineStr">
        <is>
          <t>Selected Provider</t>
        </is>
      </c>
      <c r="I14" s="24" t="inlineStr">
        <is>
          <t>Selected Cost ($)</t>
        </is>
      </c>
      <c r="J14" s="24" t="inlineStr">
        <is>
          <t>Instance/SKU Details</t>
        </is>
      </c>
      <c r="K14" s="24" t="inlineStr">
        <is>
          <t>Notes</t>
        </is>
      </c>
    </row>
    <row r="15">
      <c r="A15" s="40" t="inlineStr">
        <is>
          <t>Relational DB (SQL)</t>
        </is>
      </c>
      <c r="B15" s="40" t="inlineStr">
        <is>
          <t>RDS</t>
        </is>
      </c>
      <c r="C15" s="216" t="n"/>
      <c r="D15" t="inlineStr">
        <is>
          <t>Azure SQL</t>
        </is>
      </c>
      <c r="E15" s="216" t="n"/>
      <c r="F15" t="inlineStr">
        <is>
          <t>Cloud SQL</t>
        </is>
      </c>
      <c r="G15" s="216" t="n"/>
      <c r="I15" s="216" t="n"/>
    </row>
    <row r="16">
      <c r="A16" s="40" t="inlineStr">
        <is>
          <t>NoSQL Database</t>
        </is>
      </c>
      <c r="B16" s="40" t="inlineStr">
        <is>
          <t>DynamoDB</t>
        </is>
      </c>
      <c r="C16" s="216" t="n"/>
      <c r="D16" t="inlineStr">
        <is>
          <t>Cosmos DB</t>
        </is>
      </c>
      <c r="E16" s="216" t="n"/>
      <c r="F16" t="inlineStr">
        <is>
          <t>Firestore/Bigtable</t>
        </is>
      </c>
      <c r="G16" s="216" t="n"/>
      <c r="I16" s="216" t="n"/>
    </row>
    <row r="17">
      <c r="A17" s="40" t="inlineStr">
        <is>
          <t>Data Warehouse</t>
        </is>
      </c>
      <c r="B17" s="40" t="inlineStr">
        <is>
          <t>Redshift</t>
        </is>
      </c>
      <c r="C17" s="216" t="n"/>
      <c r="D17" t="inlineStr">
        <is>
          <t>Synapse Analytics</t>
        </is>
      </c>
      <c r="E17" s="216" t="n"/>
      <c r="F17" t="inlineStr">
        <is>
          <t>BigQuery</t>
        </is>
      </c>
      <c r="G17" s="216" t="n"/>
      <c r="I17" s="216" t="n"/>
    </row>
    <row r="18">
      <c r="A18" s="40" t="inlineStr">
        <is>
          <t>In-Memory Cache</t>
        </is>
      </c>
      <c r="B18" s="40" t="inlineStr">
        <is>
          <t>ElastiCache</t>
        </is>
      </c>
      <c r="C18" s="216" t="n"/>
      <c r="D18" t="inlineStr">
        <is>
          <t>Azure Cache</t>
        </is>
      </c>
      <c r="E18" s="216" t="n"/>
      <c r="F18" t="inlineStr">
        <is>
          <t>Memorystore</t>
        </is>
      </c>
      <c r="G18" s="216" t="n"/>
      <c r="I18" s="216" t="n"/>
    </row>
    <row r="19">
      <c r="A19" s="40" t="inlineStr">
        <is>
          <t>Database Migration</t>
        </is>
      </c>
      <c r="B19" s="40" t="inlineStr">
        <is>
          <t>DMS</t>
        </is>
      </c>
      <c r="C19" s="216" t="n"/>
      <c r="D19" t="inlineStr">
        <is>
          <t>Azure DMS</t>
        </is>
      </c>
      <c r="E19" s="216" t="n"/>
      <c r="F19" t="inlineStr">
        <is>
          <t>Database Migration</t>
        </is>
      </c>
      <c r="G19" s="216" t="n"/>
      <c r="I19" s="216" t="n"/>
    </row>
    <row r="20">
      <c r="A20" s="42" t="inlineStr">
        <is>
          <t>Database Subtotal</t>
        </is>
      </c>
      <c r="B20" s="42" t="n"/>
      <c r="C20" s="253" t="n">
        <v>0</v>
      </c>
      <c r="D20" s="30" t="n"/>
      <c r="E20" s="253" t="n">
        <v>0</v>
      </c>
      <c r="F20" s="30" t="n"/>
      <c r="G20" s="253" t="n">
        <v>0</v>
      </c>
      <c r="H20" s="30" t="n"/>
      <c r="I20" s="253" t="n">
        <v>0</v>
      </c>
      <c r="J20" s="30" t="n"/>
      <c r="K20" s="30" t="n"/>
    </row>
    <row r="21">
      <c r="A21" s="40" t="n"/>
      <c r="B21" s="40" t="n"/>
    </row>
    <row r="22">
      <c r="A22" s="22" t="inlineStr">
        <is>
          <t>3. STORAGE SERVICES</t>
        </is>
      </c>
    </row>
    <row r="23">
      <c r="A23" s="41" t="inlineStr">
        <is>
          <t>Service Type</t>
        </is>
      </c>
      <c r="B23" s="41" t="inlineStr">
        <is>
          <t>AWS Service</t>
        </is>
      </c>
      <c r="C23" s="24" t="inlineStr">
        <is>
          <t>AWS Monthly ($)</t>
        </is>
      </c>
      <c r="D23" s="24" t="inlineStr">
        <is>
          <t>Azure Service</t>
        </is>
      </c>
      <c r="E23" s="24" t="inlineStr">
        <is>
          <t>Azure Monthly ($)</t>
        </is>
      </c>
      <c r="F23" s="24" t="inlineStr">
        <is>
          <t>GCP Service</t>
        </is>
      </c>
      <c r="G23" s="24" t="inlineStr">
        <is>
          <t>GCP Monthly ($)</t>
        </is>
      </c>
      <c r="H23" s="24" t="inlineStr">
        <is>
          <t>Selected Provider</t>
        </is>
      </c>
      <c r="I23" s="24" t="inlineStr">
        <is>
          <t>Selected Cost ($)</t>
        </is>
      </c>
      <c r="J23" s="24" t="inlineStr">
        <is>
          <t>Capacity (TB)</t>
        </is>
      </c>
      <c r="K23" s="24" t="inlineStr">
        <is>
          <t>Notes</t>
        </is>
      </c>
    </row>
    <row r="24">
      <c r="A24" s="40" t="inlineStr">
        <is>
          <t>Object Storage</t>
        </is>
      </c>
      <c r="B24" s="40" t="inlineStr">
        <is>
          <t>S3</t>
        </is>
      </c>
      <c r="C24" s="216" t="n"/>
      <c r="D24" t="inlineStr">
        <is>
          <t>Blob Storage</t>
        </is>
      </c>
      <c r="E24" s="216" t="n"/>
      <c r="F24" t="inlineStr">
        <is>
          <t>Cloud Storage</t>
        </is>
      </c>
      <c r="G24" s="216" t="n"/>
      <c r="I24" s="216" t="n"/>
    </row>
    <row r="25">
      <c r="A25" s="40" t="inlineStr">
        <is>
          <t>Block Storage</t>
        </is>
      </c>
      <c r="B25" s="40" t="inlineStr">
        <is>
          <t>EBS</t>
        </is>
      </c>
      <c r="C25" s="216" t="n"/>
      <c r="D25" t="inlineStr">
        <is>
          <t>Managed Disks</t>
        </is>
      </c>
      <c r="E25" s="216" t="n"/>
      <c r="F25" t="inlineStr">
        <is>
          <t>Persistent Disk</t>
        </is>
      </c>
      <c r="G25" s="216" t="n"/>
      <c r="I25" s="216" t="n"/>
    </row>
    <row r="26">
      <c r="A26" s="40" t="inlineStr">
        <is>
          <t>File Storage</t>
        </is>
      </c>
      <c r="B26" s="40" t="inlineStr">
        <is>
          <t>EFS</t>
        </is>
      </c>
      <c r="C26" s="216" t="n"/>
      <c r="D26" t="inlineStr">
        <is>
          <t>Azure Files</t>
        </is>
      </c>
      <c r="E26" s="216" t="n"/>
      <c r="F26" t="inlineStr">
        <is>
          <t>Filestore</t>
        </is>
      </c>
      <c r="G26" s="216" t="n"/>
      <c r="I26" s="216" t="n"/>
    </row>
    <row r="27">
      <c r="A27" s="40" t="inlineStr">
        <is>
          <t>Archive Storage</t>
        </is>
      </c>
      <c r="B27" s="40" t="inlineStr">
        <is>
          <t>S3 Glacier</t>
        </is>
      </c>
      <c r="C27" s="216" t="n"/>
      <c r="D27" t="inlineStr">
        <is>
          <t>Archive Storage</t>
        </is>
      </c>
      <c r="E27" s="216" t="n"/>
      <c r="F27" t="inlineStr">
        <is>
          <t>Archive Storage</t>
        </is>
      </c>
      <c r="G27" s="216" t="n"/>
      <c r="I27" s="216" t="n"/>
    </row>
    <row r="28">
      <c r="A28" s="40" t="inlineStr">
        <is>
          <t>Backup Services</t>
        </is>
      </c>
      <c r="B28" s="40" t="inlineStr">
        <is>
          <t>AWS Backup</t>
        </is>
      </c>
      <c r="C28" s="216" t="n"/>
      <c r="D28" t="inlineStr">
        <is>
          <t>Azure Backup</t>
        </is>
      </c>
      <c r="E28" s="216" t="n"/>
      <c r="F28" t="inlineStr">
        <is>
          <t>Cloud Backup</t>
        </is>
      </c>
      <c r="G28" s="216" t="n"/>
      <c r="I28" s="216" t="n"/>
    </row>
    <row r="29">
      <c r="A29" s="42" t="inlineStr">
        <is>
          <t>Storage Subtotal</t>
        </is>
      </c>
      <c r="B29" s="42" t="n"/>
      <c r="C29" s="253" t="n">
        <v>0</v>
      </c>
      <c r="D29" s="30" t="n"/>
      <c r="E29" s="253" t="n">
        <v>0</v>
      </c>
      <c r="F29" s="30" t="n"/>
      <c r="G29" s="253" t="n">
        <v>0</v>
      </c>
      <c r="H29" s="30" t="n"/>
      <c r="I29" s="253" t="n">
        <v>0</v>
      </c>
      <c r="J29" s="30" t="n"/>
      <c r="K29" s="30" t="n"/>
    </row>
    <row r="30">
      <c r="A30" s="40" t="n"/>
      <c r="B30" s="40" t="n"/>
    </row>
    <row r="31">
      <c r="A31" s="22" t="inlineStr">
        <is>
          <t>4. NETWORKING &amp; DATA TRANSFER</t>
        </is>
      </c>
    </row>
    <row r="32">
      <c r="A32" s="41" t="inlineStr">
        <is>
          <t>Service Type</t>
        </is>
      </c>
      <c r="B32" s="41" t="inlineStr">
        <is>
          <t>AWS Service</t>
        </is>
      </c>
      <c r="C32" s="24" t="inlineStr">
        <is>
          <t>AWS Monthly ($)</t>
        </is>
      </c>
      <c r="D32" s="24" t="inlineStr">
        <is>
          <t>Azure Service</t>
        </is>
      </c>
      <c r="E32" s="24" t="inlineStr">
        <is>
          <t>Azure Monthly ($)</t>
        </is>
      </c>
      <c r="F32" s="24" t="inlineStr">
        <is>
          <t>GCP Service</t>
        </is>
      </c>
      <c r="G32" s="24" t="inlineStr">
        <is>
          <t>GCP Monthly ($)</t>
        </is>
      </c>
      <c r="H32" s="24" t="inlineStr">
        <is>
          <t>Selected Provider</t>
        </is>
      </c>
      <c r="I32" s="24" t="inlineStr">
        <is>
          <t>Selected Cost ($)</t>
        </is>
      </c>
      <c r="J32" s="24" t="inlineStr">
        <is>
          <t>Bandwidth (TB)</t>
        </is>
      </c>
      <c r="K32" s="24" t="inlineStr">
        <is>
          <t>Notes</t>
        </is>
      </c>
    </row>
    <row r="33">
      <c r="A33" s="40" t="inlineStr">
        <is>
          <t>Virtual Network</t>
        </is>
      </c>
      <c r="B33" s="40" t="inlineStr">
        <is>
          <t>VPC</t>
        </is>
      </c>
      <c r="C33" s="216" t="n"/>
      <c r="D33" t="inlineStr">
        <is>
          <t>VNet</t>
        </is>
      </c>
      <c r="E33" s="216" t="n"/>
      <c r="F33" t="inlineStr">
        <is>
          <t>VPC</t>
        </is>
      </c>
      <c r="G33" s="216" t="n"/>
      <c r="I33" s="216" t="n"/>
    </row>
    <row r="34">
      <c r="A34" s="40" t="inlineStr">
        <is>
          <t>Load Balancer</t>
        </is>
      </c>
      <c r="B34" s="40" t="inlineStr">
        <is>
          <t>ELB/ALB/NLB</t>
        </is>
      </c>
      <c r="C34" s="216" t="n"/>
      <c r="D34" t="inlineStr">
        <is>
          <t>Azure LB</t>
        </is>
      </c>
      <c r="E34" s="216" t="n"/>
      <c r="F34" t="inlineStr">
        <is>
          <t>Cloud LB</t>
        </is>
      </c>
      <c r="G34" s="216" t="n"/>
      <c r="I34" s="216" t="n"/>
    </row>
    <row r="35">
      <c r="A35" s="40" t="inlineStr">
        <is>
          <t>CDN</t>
        </is>
      </c>
      <c r="B35" s="40" t="inlineStr">
        <is>
          <t>CloudFront</t>
        </is>
      </c>
      <c r="C35" s="216" t="n"/>
      <c r="D35" t="inlineStr">
        <is>
          <t>Azure CDN</t>
        </is>
      </c>
      <c r="E35" s="216" t="n"/>
      <c r="F35" t="inlineStr">
        <is>
          <t>Cloud CDN</t>
        </is>
      </c>
      <c r="G35" s="216" t="n"/>
      <c r="I35" s="216" t="n"/>
    </row>
    <row r="36">
      <c r="A36" s="40" t="inlineStr">
        <is>
          <t>DNS</t>
        </is>
      </c>
      <c r="B36" s="40" t="inlineStr">
        <is>
          <t>Route 53</t>
        </is>
      </c>
      <c r="C36" s="216" t="n"/>
      <c r="D36" t="inlineStr">
        <is>
          <t>Azure DNS</t>
        </is>
      </c>
      <c r="E36" s="216" t="n"/>
      <c r="F36" t="inlineStr">
        <is>
          <t>Cloud DNS</t>
        </is>
      </c>
      <c r="G36" s="216" t="n"/>
      <c r="I36" s="216" t="n"/>
    </row>
    <row r="37">
      <c r="A37" s="40" t="inlineStr">
        <is>
          <t>Data Transfer (Egress)</t>
        </is>
      </c>
      <c r="B37" s="40" t="inlineStr">
        <is>
          <t>Data Transfer</t>
        </is>
      </c>
      <c r="C37" s="216" t="n"/>
      <c r="D37" t="inlineStr">
        <is>
          <t>Bandwidth</t>
        </is>
      </c>
      <c r="E37" s="216" t="n"/>
      <c r="F37" t="inlineStr">
        <is>
          <t>Network Egress</t>
        </is>
      </c>
      <c r="G37" s="216" t="n"/>
      <c r="I37" s="216" t="n"/>
    </row>
    <row r="38">
      <c r="A38" s="40" t="inlineStr">
        <is>
          <t>VPN/Interconnect</t>
        </is>
      </c>
      <c r="B38" s="40" t="inlineStr">
        <is>
          <t>Direct Connect</t>
        </is>
      </c>
      <c r="C38" s="216" t="n"/>
      <c r="D38" t="inlineStr">
        <is>
          <t>ExpressRoute</t>
        </is>
      </c>
      <c r="E38" s="216" t="n"/>
      <c r="F38" t="inlineStr">
        <is>
          <t>Cloud Interconnect</t>
        </is>
      </c>
      <c r="G38" s="216" t="n"/>
      <c r="I38" s="216" t="n"/>
    </row>
    <row r="39">
      <c r="A39" s="42" t="inlineStr">
        <is>
          <t>Networking Subtotal</t>
        </is>
      </c>
      <c r="B39" s="42" t="n"/>
      <c r="C39" s="253" t="n">
        <v>0</v>
      </c>
      <c r="D39" s="30" t="n"/>
      <c r="E39" s="253" t="n">
        <v>0</v>
      </c>
      <c r="F39" s="30" t="n"/>
      <c r="G39" s="253" t="n">
        <v>0</v>
      </c>
      <c r="H39" s="30" t="n"/>
      <c r="I39" s="253" t="n">
        <v>0</v>
      </c>
      <c r="J39" s="30" t="n"/>
      <c r="K39" s="30" t="n"/>
    </row>
    <row r="40">
      <c r="A40" s="40" t="n"/>
      <c r="B40" s="40" t="n"/>
    </row>
    <row r="41">
      <c r="A41" s="22" t="inlineStr">
        <is>
          <t>5. SECURITY &amp; IDENTITY</t>
        </is>
      </c>
    </row>
    <row r="42">
      <c r="A42" s="41" t="inlineStr">
        <is>
          <t>Service Type</t>
        </is>
      </c>
      <c r="B42" s="41" t="inlineStr">
        <is>
          <t>AWS Service</t>
        </is>
      </c>
      <c r="C42" s="24" t="inlineStr">
        <is>
          <t>AWS Monthly ($)</t>
        </is>
      </c>
      <c r="D42" s="24" t="inlineStr">
        <is>
          <t>Azure Service</t>
        </is>
      </c>
      <c r="E42" s="24" t="inlineStr">
        <is>
          <t>Azure Monthly ($)</t>
        </is>
      </c>
      <c r="F42" s="24" t="inlineStr">
        <is>
          <t>GCP Service</t>
        </is>
      </c>
      <c r="G42" s="24" t="inlineStr">
        <is>
          <t>GCP Monthly ($)</t>
        </is>
      </c>
      <c r="H42" s="24" t="inlineStr">
        <is>
          <t>Selected Provider</t>
        </is>
      </c>
      <c r="I42" s="24" t="inlineStr">
        <is>
          <t>Selected Cost ($)</t>
        </is>
      </c>
      <c r="J42" s="24" t="inlineStr">
        <is>
          <t>Users/Resources</t>
        </is>
      </c>
      <c r="K42" s="24" t="inlineStr">
        <is>
          <t>Notes</t>
        </is>
      </c>
    </row>
    <row r="43">
      <c r="A43" s="40" t="inlineStr">
        <is>
          <t>Identity &amp; Access</t>
        </is>
      </c>
      <c r="B43" s="40" t="inlineStr">
        <is>
          <t>IAM/Cognito</t>
        </is>
      </c>
      <c r="C43" s="216" t="n"/>
      <c r="D43" t="inlineStr">
        <is>
          <t>Entra ID</t>
        </is>
      </c>
      <c r="E43" s="216" t="n"/>
      <c r="F43" t="inlineStr">
        <is>
          <t>Cloud IAM</t>
        </is>
      </c>
      <c r="G43" s="216" t="n"/>
      <c r="I43" s="216" t="n"/>
    </row>
    <row r="44">
      <c r="A44" s="40" t="inlineStr">
        <is>
          <t>Key Management</t>
        </is>
      </c>
      <c r="B44" s="40" t="inlineStr">
        <is>
          <t>KMS</t>
        </is>
      </c>
      <c r="C44" s="216" t="n"/>
      <c r="D44" t="inlineStr">
        <is>
          <t>Key Vault</t>
        </is>
      </c>
      <c r="E44" s="216" t="n"/>
      <c r="F44" t="inlineStr">
        <is>
          <t>Cloud KMS</t>
        </is>
      </c>
      <c r="G44" s="216" t="n"/>
      <c r="I44" s="216" t="n"/>
    </row>
    <row r="45">
      <c r="A45" s="40" t="inlineStr">
        <is>
          <t>SIEM/Security Analytics</t>
        </is>
      </c>
      <c r="B45" s="40" t="inlineStr">
        <is>
          <t>Security Hub</t>
        </is>
      </c>
      <c r="C45" s="216" t="n"/>
      <c r="D45" t="inlineStr">
        <is>
          <t>Sentinel</t>
        </is>
      </c>
      <c r="E45" s="216" t="n"/>
      <c r="F45" t="inlineStr">
        <is>
          <t>Security Command</t>
        </is>
      </c>
      <c r="G45" s="216" t="n"/>
      <c r="I45" s="216" t="n"/>
    </row>
    <row r="46">
      <c r="A46" s="40" t="inlineStr">
        <is>
          <t>DDoS Protection</t>
        </is>
      </c>
      <c r="B46" s="40" t="inlineStr">
        <is>
          <t>Shield</t>
        </is>
      </c>
      <c r="C46" s="216" t="n"/>
      <c r="D46" t="inlineStr">
        <is>
          <t>DDoS Protection</t>
        </is>
      </c>
      <c r="E46" s="216" t="n"/>
      <c r="F46" t="inlineStr">
        <is>
          <t>Cloud Armor</t>
        </is>
      </c>
      <c r="G46" s="216" t="n"/>
      <c r="I46" s="216" t="n"/>
    </row>
    <row r="47">
      <c r="A47" s="40" t="inlineStr">
        <is>
          <t>WAF</t>
        </is>
      </c>
      <c r="B47" s="40" t="inlineStr">
        <is>
          <t>AWS WAF</t>
        </is>
      </c>
      <c r="C47" s="216" t="n"/>
      <c r="D47" t="inlineStr">
        <is>
          <t>Azure WAF</t>
        </is>
      </c>
      <c r="E47" s="216" t="n"/>
      <c r="F47" t="inlineStr">
        <is>
          <t>Cloud Armor WAF</t>
        </is>
      </c>
      <c r="G47" s="216" t="n"/>
      <c r="I47" s="216" t="n"/>
    </row>
    <row r="48">
      <c r="A48" s="42" t="inlineStr">
        <is>
          <t>Security Subtotal</t>
        </is>
      </c>
      <c r="B48" s="42" t="n"/>
      <c r="C48" s="253" t="n">
        <v>0</v>
      </c>
      <c r="D48" s="30" t="n"/>
      <c r="E48" s="253" t="n">
        <v>0</v>
      </c>
      <c r="F48" s="30" t="n"/>
      <c r="G48" s="253" t="n">
        <v>0</v>
      </c>
      <c r="H48" s="30" t="n"/>
      <c r="I48" s="253" t="n">
        <v>0</v>
      </c>
      <c r="J48" s="30" t="n"/>
      <c r="K48" s="30" t="n"/>
    </row>
    <row r="49">
      <c r="A49" s="40" t="n"/>
      <c r="B49" s="40" t="n"/>
    </row>
    <row r="50">
      <c r="A50" s="22" t="inlineStr">
        <is>
          <t>6. MANAGEMENT</t>
        </is>
      </c>
    </row>
    <row r="51">
      <c r="A51" s="41" t="inlineStr">
        <is>
          <t>Service Type</t>
        </is>
      </c>
      <c r="B51" s="41" t="inlineStr">
        <is>
          <t>AWS Service</t>
        </is>
      </c>
      <c r="C51" s="24" t="inlineStr">
        <is>
          <t>AWS Monthly ($)</t>
        </is>
      </c>
      <c r="D51" s="24" t="inlineStr">
        <is>
          <t>Azure Service</t>
        </is>
      </c>
      <c r="E51" s="24" t="inlineStr">
        <is>
          <t>Azure Monthly ($)</t>
        </is>
      </c>
      <c r="F51" s="24" t="inlineStr">
        <is>
          <t>GCP Service</t>
        </is>
      </c>
      <c r="G51" s="24" t="inlineStr">
        <is>
          <t>GCP Monthly ($)</t>
        </is>
      </c>
      <c r="H51" s="24" t="inlineStr">
        <is>
          <t>Selected Provider</t>
        </is>
      </c>
      <c r="I51" s="24" t="inlineStr">
        <is>
          <t>Selected Cost ($)</t>
        </is>
      </c>
      <c r="J51" s="24" t="inlineStr">
        <is>
          <t>Resources Monitored</t>
        </is>
      </c>
      <c r="K51" s="24" t="inlineStr">
        <is>
          <t>Notes</t>
        </is>
      </c>
    </row>
    <row r="52">
      <c r="A52" s="40" t="inlineStr">
        <is>
          <t>Logging</t>
        </is>
      </c>
      <c r="B52" s="40" t="inlineStr">
        <is>
          <t>CloudWatch Logs</t>
        </is>
      </c>
      <c r="C52" s="216" t="n"/>
      <c r="D52" t="inlineStr">
        <is>
          <t>Log Analytics</t>
        </is>
      </c>
      <c r="E52" s="216" t="n"/>
      <c r="F52" t="inlineStr">
        <is>
          <t>Cloud Logging</t>
        </is>
      </c>
      <c r="G52" s="216" t="n"/>
      <c r="I52" s="216" t="n"/>
    </row>
    <row r="53">
      <c r="A53" s="40" t="inlineStr">
        <is>
          <t>Cost Management</t>
        </is>
      </c>
      <c r="B53" s="40" t="inlineStr">
        <is>
          <t>Cost Explorer</t>
        </is>
      </c>
      <c r="C53" s="216" t="n"/>
      <c r="D53" t="inlineStr">
        <is>
          <t>Cost Management</t>
        </is>
      </c>
      <c r="E53" s="216" t="n"/>
      <c r="F53" t="inlineStr">
        <is>
          <t>Cost Management</t>
        </is>
      </c>
      <c r="G53" s="216" t="n"/>
      <c r="I53" s="216" t="n"/>
    </row>
    <row r="54">
      <c r="A54" s="40" t="inlineStr">
        <is>
          <t>Automation</t>
        </is>
      </c>
      <c r="B54" s="40" t="inlineStr">
        <is>
          <t>Systems Manager</t>
        </is>
      </c>
      <c r="C54" s="216" t="n"/>
      <c r="D54" t="inlineStr">
        <is>
          <t>Automation</t>
        </is>
      </c>
      <c r="E54" s="216" t="n"/>
      <c r="F54" t="inlineStr">
        <is>
          <t>Cloud Deployment Mgr</t>
        </is>
      </c>
      <c r="G54" s="216" t="n"/>
      <c r="I54" s="216" t="n"/>
    </row>
    <row r="55">
      <c r="A55" s="40" t="inlineStr">
        <is>
          <t>Support Plan</t>
        </is>
      </c>
      <c r="B55" s="40" t="inlineStr">
        <is>
          <t>Support Plan</t>
        </is>
      </c>
      <c r="C55" s="216" t="n"/>
      <c r="D55" t="inlineStr">
        <is>
          <t>Support Plan</t>
        </is>
      </c>
      <c r="E55" s="216" t="n"/>
      <c r="F55" t="inlineStr">
        <is>
          <t>Support Plan</t>
        </is>
      </c>
      <c r="G55" s="216" t="n"/>
      <c r="I55" s="216" t="n"/>
    </row>
    <row r="56">
      <c r="A56" s="42" t="inlineStr">
        <is>
          <t>Management Subtotal</t>
        </is>
      </c>
      <c r="B56" s="42" t="n"/>
      <c r="C56" s="253" t="n">
        <v>0</v>
      </c>
      <c r="D56" s="30" t="n"/>
      <c r="E56" s="253" t="n">
        <v>0</v>
      </c>
      <c r="F56" s="30" t="n"/>
      <c r="G56" s="253" t="n">
        <v>0</v>
      </c>
      <c r="H56" s="30" t="n"/>
      <c r="I56" s="253" t="n">
        <v>0</v>
      </c>
      <c r="J56" s="30" t="n"/>
      <c r="K56" s="30" t="n"/>
    </row>
    <row r="57">
      <c r="A57" s="40" t="n"/>
      <c r="B57" s="40" t="n"/>
    </row>
    <row r="58">
      <c r="A58" s="22" t="inlineStr">
        <is>
          <t>7. AI/ML &amp; ANALYTICS SERVICES</t>
        </is>
      </c>
    </row>
    <row r="59">
      <c r="A59" s="41" t="inlineStr">
        <is>
          <t>Service Type</t>
        </is>
      </c>
      <c r="B59" s="41" t="inlineStr">
        <is>
          <t>AWS Service</t>
        </is>
      </c>
      <c r="C59" s="24" t="inlineStr">
        <is>
          <t>AWS Monthly ($)</t>
        </is>
      </c>
      <c r="D59" s="24" t="inlineStr">
        <is>
          <t>Azure Service</t>
        </is>
      </c>
      <c r="E59" s="24" t="inlineStr">
        <is>
          <t>Azure Monthly ($)</t>
        </is>
      </c>
      <c r="F59" s="24" t="inlineStr">
        <is>
          <t>GCP Service</t>
        </is>
      </c>
      <c r="G59" s="24" t="inlineStr">
        <is>
          <t>GCP Monthly ($)</t>
        </is>
      </c>
      <c r="H59" s="24" t="inlineStr">
        <is>
          <t>Selected Provider</t>
        </is>
      </c>
      <c r="I59" s="24" t="inlineStr">
        <is>
          <t>Selected Cost ($)</t>
        </is>
      </c>
      <c r="J59" s="24" t="inlineStr">
        <is>
          <t>Usage Units</t>
        </is>
      </c>
      <c r="K59" s="24" t="inlineStr">
        <is>
          <t>Notes</t>
        </is>
      </c>
    </row>
    <row r="60">
      <c r="A60" s="40" t="inlineStr">
        <is>
          <t>ML Platform</t>
        </is>
      </c>
      <c r="B60" s="40" t="inlineStr">
        <is>
          <t>SageMaker</t>
        </is>
      </c>
      <c r="C60" s="216" t="n"/>
      <c r="D60" t="inlineStr">
        <is>
          <t>Azure ML</t>
        </is>
      </c>
      <c r="E60" s="216" t="n"/>
      <c r="F60" t="inlineStr">
        <is>
          <t>Vertex AI</t>
        </is>
      </c>
      <c r="G60" s="216" t="n"/>
      <c r="I60" s="216" t="n"/>
    </row>
    <row r="61">
      <c r="A61" s="40" t="inlineStr">
        <is>
          <t>AI Services (Vision/NLP)</t>
        </is>
      </c>
      <c r="B61" s="40" t="inlineStr">
        <is>
          <t>Rekognition/Comprehend</t>
        </is>
      </c>
      <c r="C61" s="216" t="n"/>
      <c r="D61" t="inlineStr">
        <is>
          <t>Cognitive Services</t>
        </is>
      </c>
      <c r="E61" s="216" t="n"/>
      <c r="F61" t="inlineStr">
        <is>
          <t>Vision/Language AI</t>
        </is>
      </c>
      <c r="G61" s="216" t="n"/>
      <c r="I61" s="216" t="n"/>
    </row>
    <row r="62">
      <c r="A62" s="40" t="inlineStr">
        <is>
          <t>Generative AI</t>
        </is>
      </c>
      <c r="B62" s="40" t="inlineStr">
        <is>
          <t>Bedrock</t>
        </is>
      </c>
      <c r="C62" s="216" t="n"/>
      <c r="D62" t="inlineStr">
        <is>
          <t>Azure OpenAI</t>
        </is>
      </c>
      <c r="E62" s="216" t="n"/>
      <c r="F62" t="inlineStr">
        <is>
          <t>Gemini API</t>
        </is>
      </c>
      <c r="G62" s="216" t="n"/>
      <c r="I62" s="216" t="n"/>
    </row>
    <row r="63">
      <c r="A63" s="40" t="inlineStr">
        <is>
          <t>Data Analytics</t>
        </is>
      </c>
      <c r="B63" s="40" t="inlineStr">
        <is>
          <t>Athena/EMR</t>
        </is>
      </c>
      <c r="C63" s="216" t="n"/>
      <c r="D63" t="inlineStr">
        <is>
          <t>HDInsight/Databricks</t>
        </is>
      </c>
      <c r="E63" s="216" t="n"/>
      <c r="F63" t="inlineStr">
        <is>
          <t>Dataproc</t>
        </is>
      </c>
      <c r="G63" s="216" t="n"/>
      <c r="I63" s="216" t="n"/>
    </row>
    <row r="64">
      <c r="A64" s="40" t="inlineStr">
        <is>
          <t>Streaming Analytics</t>
        </is>
      </c>
      <c r="B64" s="40" t="inlineStr">
        <is>
          <t>Kinesis</t>
        </is>
      </c>
      <c r="C64" s="216" t="n"/>
      <c r="D64" t="inlineStr">
        <is>
          <t>Stream Analytics</t>
        </is>
      </c>
      <c r="E64" s="216" t="n"/>
      <c r="F64" t="inlineStr">
        <is>
          <t>Dataflow</t>
        </is>
      </c>
      <c r="G64" s="216" t="n"/>
      <c r="I64" s="216" t="n"/>
    </row>
    <row r="65">
      <c r="A65" s="42" t="inlineStr">
        <is>
          <t>AI/ML Subtotal</t>
        </is>
      </c>
      <c r="B65" s="42" t="n"/>
      <c r="C65" s="253" t="n">
        <v>0</v>
      </c>
      <c r="D65" s="30" t="n"/>
      <c r="E65" s="253" t="n">
        <v>0</v>
      </c>
      <c r="F65" s="30" t="n"/>
      <c r="G65" s="253" t="n">
        <v>0</v>
      </c>
      <c r="H65" s="30" t="n"/>
      <c r="I65" s="253" t="n">
        <v>0</v>
      </c>
      <c r="J65" s="30" t="n"/>
      <c r="K65" s="30" t="n"/>
    </row>
    <row r="66">
      <c r="A66" s="40" t="n"/>
      <c r="B66" s="40" t="n"/>
    </row>
    <row r="67" ht="18.5" customHeight="1" s="21">
      <c r="A67" s="43" t="inlineStr">
        <is>
          <t>MULTI-CLOUD COST SUMMARY</t>
        </is>
      </c>
    </row>
    <row r="68">
      <c r="A68" s="41" t="inlineStr">
        <is>
          <t>Category</t>
        </is>
      </c>
      <c r="B68" s="41" t="n"/>
      <c r="C68" s="24" t="inlineStr">
        <is>
          <t>AWS Total ($)</t>
        </is>
      </c>
      <c r="D68" s="24" t="n"/>
      <c r="E68" s="24" t="inlineStr">
        <is>
          <t>Azure Total ($)</t>
        </is>
      </c>
      <c r="F68" s="24" t="n"/>
      <c r="G68" s="24" t="inlineStr">
        <is>
          <t>GCP Total ($)</t>
        </is>
      </c>
      <c r="H68" s="24" t="n"/>
      <c r="I68" s="24" t="inlineStr">
        <is>
          <t>Selected Total ($)</t>
        </is>
      </c>
    </row>
    <row r="69">
      <c r="A69" s="40" t="inlineStr">
        <is>
          <t>Compute Services</t>
        </is>
      </c>
      <c r="B69" s="40" t="n"/>
      <c r="C69" s="216" t="n">
        <v>0</v>
      </c>
      <c r="E69" s="216" t="n">
        <v>0</v>
      </c>
      <c r="G69" s="216" t="n">
        <v>0</v>
      </c>
      <c r="I69" s="216" t="n">
        <v>0</v>
      </c>
    </row>
    <row r="70">
      <c r="A70" s="40" t="inlineStr">
        <is>
          <t>Database Services</t>
        </is>
      </c>
      <c r="B70" s="40" t="n"/>
      <c r="C70" s="216" t="n">
        <v>0</v>
      </c>
      <c r="E70" s="216" t="n">
        <v>0</v>
      </c>
      <c r="G70" s="216" t="n">
        <v>0</v>
      </c>
      <c r="I70" s="216" t="n">
        <v>0</v>
      </c>
    </row>
    <row r="71">
      <c r="A71" s="40" t="inlineStr">
        <is>
          <t>Storage Services</t>
        </is>
      </c>
      <c r="B71" s="40" t="n"/>
      <c r="C71" s="216" t="n">
        <v>0</v>
      </c>
      <c r="E71" s="216" t="n">
        <v>0</v>
      </c>
      <c r="G71" s="216" t="n">
        <v>0</v>
      </c>
      <c r="I71" s="216" t="n">
        <v>0</v>
      </c>
    </row>
    <row r="72">
      <c r="A72" s="40" t="inlineStr">
        <is>
          <t>Networking Services</t>
        </is>
      </c>
      <c r="B72" s="40" t="n"/>
      <c r="C72" s="216" t="n">
        <v>0</v>
      </c>
      <c r="E72" s="216" t="n">
        <v>0</v>
      </c>
      <c r="G72" s="216" t="n">
        <v>0</v>
      </c>
      <c r="I72" s="216" t="n">
        <v>0</v>
      </c>
    </row>
    <row r="73">
      <c r="A73" s="40" t="inlineStr">
        <is>
          <t>Security Services</t>
        </is>
      </c>
      <c r="B73" s="40" t="n"/>
      <c r="C73" s="216" t="n">
        <v>0</v>
      </c>
      <c r="E73" s="216" t="n">
        <v>0</v>
      </c>
      <c r="G73" s="216" t="n">
        <v>0</v>
      </c>
      <c r="I73" s="216" t="n">
        <v>0</v>
      </c>
    </row>
    <row r="74">
      <c r="A74" s="40" t="inlineStr">
        <is>
          <t>Management Services</t>
        </is>
      </c>
      <c r="B74" s="40" t="n"/>
      <c r="C74" s="216" t="n">
        <v>0</v>
      </c>
      <c r="E74" s="216" t="n">
        <v>0</v>
      </c>
      <c r="G74" s="216" t="n">
        <v>0</v>
      </c>
      <c r="I74" s="216" t="n">
        <v>0</v>
      </c>
    </row>
    <row r="75">
      <c r="A75" s="40" t="inlineStr">
        <is>
          <t>AI/ML Services</t>
        </is>
      </c>
      <c r="B75" s="40" t="n"/>
      <c r="C75" s="216" t="n">
        <v>0</v>
      </c>
      <c r="E75" s="216" t="n">
        <v>0</v>
      </c>
      <c r="G75" s="216" t="n">
        <v>0</v>
      </c>
      <c r="I75" s="216" t="n">
        <v>0</v>
      </c>
    </row>
    <row r="76">
      <c r="A76" s="44" t="inlineStr">
        <is>
          <t>MONTHLY TOTAL</t>
        </is>
      </c>
      <c r="B76" s="44" t="n"/>
      <c r="C76" s="254" t="n">
        <v>0</v>
      </c>
      <c r="D76" s="79" t="n"/>
      <c r="E76" s="254" t="n">
        <v>0</v>
      </c>
      <c r="F76" s="79" t="n"/>
      <c r="G76" s="254" t="n">
        <v>0</v>
      </c>
      <c r="H76" s="79" t="n"/>
      <c r="I76" s="254" t="n">
        <v>0</v>
      </c>
    </row>
    <row r="77">
      <c r="A77" s="46" t="inlineStr">
        <is>
          <t>ANNUAL TOTAL</t>
        </is>
      </c>
      <c r="B77" s="46" t="n"/>
      <c r="C77" s="255" t="n">
        <v>0</v>
      </c>
      <c r="D77" s="47" t="n"/>
      <c r="E77" s="255" t="n">
        <v>0</v>
      </c>
      <c r="F77" s="47" t="n"/>
      <c r="G77" s="255" t="n">
        <v>0</v>
      </c>
      <c r="H77" s="47" t="n"/>
      <c r="I77" s="255" t="n">
        <v>0</v>
      </c>
    </row>
    <row r="78">
      <c r="A78" s="40" t="n"/>
      <c r="B78" s="40" t="n"/>
    </row>
    <row r="79" ht="18.5" customHeight="1" s="21">
      <c r="A79" s="43" t="inlineStr">
        <is>
          <t>CLOUD PROVIDER SELECTION CRITERIA — Linked to Hyperscaler Decision Matrix (Rows 105-180)</t>
        </is>
      </c>
    </row>
    <row r="80">
      <c r="A80" s="41" t="inlineStr">
        <is>
          <t>Selection Criteria</t>
        </is>
      </c>
      <c r="B80" s="41" t="inlineStr">
        <is>
          <t>Weight (%)</t>
        </is>
      </c>
      <c r="C80" s="24" t="inlineStr">
        <is>
          <t>AWS Score (1-5)</t>
        </is>
      </c>
      <c r="D80" s="24" t="inlineStr">
        <is>
          <t>Azure Score (1-5)</t>
        </is>
      </c>
      <c r="E80" s="24" t="inlineStr">
        <is>
          <t>GCP Score (1-5)</t>
        </is>
      </c>
      <c r="F80" s="24" t="inlineStr">
        <is>
          <t>AWS Weighted</t>
        </is>
      </c>
      <c r="G80" s="24" t="inlineStr">
        <is>
          <t>Azure Weighted</t>
        </is>
      </c>
      <c r="H80" s="24" t="inlineStr">
        <is>
          <t>GCP Weighted</t>
        </is>
      </c>
    </row>
    <row r="81">
      <c r="A81" s="40" t="inlineStr">
        <is>
          <t>Cost Competitiveness</t>
        </is>
      </c>
      <c r="B81" s="10" t="n">
        <v>0.2</v>
      </c>
    </row>
    <row r="82">
      <c r="A82" s="40" t="inlineStr">
        <is>
          <t>Technical Fit (Services)</t>
        </is>
      </c>
      <c r="B82" s="10" t="n">
        <v>0.2</v>
      </c>
    </row>
    <row r="83">
      <c r="A83" s="40" t="inlineStr">
        <is>
          <t>Compliance &amp; Security</t>
        </is>
      </c>
      <c r="B83" s="10" t="n">
        <v>0.15</v>
      </c>
    </row>
    <row r="84">
      <c r="A84" s="40" t="inlineStr">
        <is>
          <t>Performance &amp; Reliability</t>
        </is>
      </c>
      <c r="B84" s="10" t="n">
        <v>0.15</v>
      </c>
    </row>
    <row r="85">
      <c r="A85" s="40" t="inlineStr">
        <is>
          <t>Migration Complexity</t>
        </is>
      </c>
      <c r="B85" s="10" t="n">
        <v>0.1</v>
      </c>
    </row>
    <row r="86">
      <c r="A86" s="40" t="inlineStr">
        <is>
          <t>Vendor Support &amp; SLAs</t>
        </is>
      </c>
      <c r="B86" s="10" t="n">
        <v>0.1</v>
      </c>
    </row>
    <row r="87">
      <c r="A87" s="40" t="inlineStr">
        <is>
          <t>Strategic Partnership</t>
        </is>
      </c>
      <c r="B87" s="10" t="n">
        <v>0.05</v>
      </c>
    </row>
    <row r="88">
      <c r="A88" s="40" t="inlineStr">
        <is>
          <t>Innovation &amp; Roadmap</t>
        </is>
      </c>
      <c r="B88" s="10" t="n">
        <v>0.05</v>
      </c>
    </row>
    <row r="89">
      <c r="A89" s="46" t="inlineStr">
        <is>
          <t>TOTAL WEIGHTED SCORE</t>
        </is>
      </c>
      <c r="B89" s="11" t="n">
        <v>1</v>
      </c>
      <c r="C89" s="47" t="n"/>
      <c r="D89" s="47" t="n"/>
      <c r="E89" s="47" t="n"/>
      <c r="F89" s="47" t="n">
        <v>0</v>
      </c>
      <c r="G89" s="47" t="n">
        <v>0</v>
      </c>
      <c r="H89" s="47" t="n">
        <v>0</v>
      </c>
    </row>
    <row r="90">
      <c r="A90" s="40" t="n"/>
      <c r="B90" s="40" t="n"/>
    </row>
    <row r="91">
      <c r="A91" s="23" t="inlineStr">
        <is>
          <t>CLOUD PRICING CALCULATOR REFERENCES</t>
        </is>
      </c>
    </row>
    <row r="92">
      <c r="A92" s="41" t="inlineStr">
        <is>
          <t>Cloud Provider</t>
        </is>
      </c>
      <c r="B92" s="41" t="inlineStr">
        <is>
          <t>Pricing Calculator URL</t>
        </is>
      </c>
      <c r="C92" s="24" t="inlineStr">
        <is>
          <t>TCO Calculator URL</t>
        </is>
      </c>
      <c r="D92" s="24" t="inlineStr">
        <is>
          <t>Estimate ID/Reference</t>
        </is>
      </c>
      <c r="E92" s="24" t="inlineStr">
        <is>
          <t>Date Generated</t>
        </is>
      </c>
      <c r="F92" s="24" t="n"/>
    </row>
    <row r="93">
      <c r="A93" s="40" t="inlineStr">
        <is>
          <t>Amazon Web Services (AWS)</t>
        </is>
      </c>
      <c r="B93" s="40" t="inlineStr">
        <is>
          <t>calculator.aws</t>
        </is>
      </c>
      <c r="C93" t="inlineStr">
        <is>
          <t>aws.amazon.com/tco-calculator</t>
        </is>
      </c>
    </row>
    <row r="94">
      <c r="A94" s="40" t="inlineStr">
        <is>
          <t>Microsoft Azure</t>
        </is>
      </c>
      <c r="B94" s="40" t="inlineStr">
        <is>
          <t>azure.microsoft.com/pricing/calculator</t>
        </is>
      </c>
      <c r="C94" t="inlineStr">
        <is>
          <t>azure.microsoft.com/pricing/tco</t>
        </is>
      </c>
    </row>
    <row r="95">
      <c r="A95" s="40" t="inlineStr">
        <is>
          <t>Google Cloud Platform</t>
        </is>
      </c>
      <c r="B95" s="40" t="inlineStr">
        <is>
          <t>cloud.google.com/products/calculator</t>
        </is>
      </c>
      <c r="C95" t="inlineStr">
        <is>
          <t>cloud.google.com/tco</t>
        </is>
      </c>
    </row>
    <row r="96">
      <c r="A96" s="40" t="n"/>
      <c r="B96" s="40" t="n"/>
    </row>
    <row r="97">
      <c r="A97" s="47" t="inlineStr">
        <is>
          <t>INSTRUCTIONS FOR USE</t>
        </is>
      </c>
    </row>
    <row r="98">
      <c r="A98" s="48" t="inlineStr">
        <is>
          <t>1. Enter monthly costs from each cloud provider's pricing calculator in the respective columns (AWS, Azure, GCP)</t>
        </is>
      </c>
      <c r="B98" s="48" t="n"/>
      <c r="C98" s="49" t="n"/>
      <c r="D98" s="49" t="n"/>
      <c r="E98" s="49" t="n"/>
      <c r="F98" s="49" t="n"/>
      <c r="G98" s="49" t="n"/>
      <c r="H98" s="49" t="n"/>
      <c r="I98" s="49" t="n"/>
      <c r="J98" s="49" t="n"/>
      <c r="K98" s="49" t="n"/>
    </row>
    <row r="99">
      <c r="A99" s="48" t="inlineStr">
        <is>
          <t>2. In the 'Selected Provider' column, enter AWS, Azure, or GCP to indicate your choice for each service</t>
        </is>
      </c>
      <c r="B99" s="48" t="n"/>
      <c r="C99" s="49" t="n"/>
      <c r="D99" s="49" t="n"/>
      <c r="E99" s="49" t="n"/>
      <c r="F99" s="49" t="n"/>
      <c r="G99" s="49" t="n"/>
      <c r="H99" s="49" t="n"/>
      <c r="I99" s="49" t="n"/>
      <c r="J99" s="49" t="n"/>
      <c r="K99" s="49" t="n"/>
    </row>
    <row r="100">
      <c r="A100" s="48" t="inlineStr">
        <is>
          <t>3. The 'Selected Cost' column will automatically populate based on your provider selection</t>
        </is>
      </c>
      <c r="B100" s="48" t="n"/>
      <c r="C100" s="49" t="n"/>
      <c r="D100" s="49" t="n"/>
      <c r="E100" s="49" t="n"/>
      <c r="F100" s="49" t="n"/>
      <c r="G100" s="49" t="n"/>
      <c r="H100" s="49" t="n"/>
      <c r="I100" s="49" t="n"/>
      <c r="J100" s="49" t="n"/>
      <c r="K100" s="49" t="n"/>
    </row>
    <row r="101">
      <c r="A101" s="48" t="inlineStr">
        <is>
          <t>4. Complete the Selection Criteria scoring (1-5) to generate weighted comparison scores</t>
        </is>
      </c>
      <c r="B101" s="48" t="n"/>
      <c r="C101" s="49" t="n"/>
      <c r="D101" s="49" t="n"/>
      <c r="E101" s="49" t="n"/>
      <c r="F101" s="49" t="n"/>
      <c r="G101" s="49" t="n"/>
      <c r="H101" s="49" t="n"/>
      <c r="I101" s="49" t="n"/>
      <c r="J101" s="49" t="n"/>
      <c r="K101" s="49" t="n"/>
    </row>
    <row r="102">
      <c r="A102" s="48" t="inlineStr">
        <is>
          <t>5. Use the Cloud Provider Data sheet for detailed line-item pricing input</t>
        </is>
      </c>
      <c r="B102" s="48" t="n"/>
      <c r="C102" s="49" t="n"/>
      <c r="D102" s="49" t="n"/>
      <c r="E102" s="49" t="n"/>
      <c r="F102" s="49" t="n"/>
      <c r="G102" s="49" t="n"/>
      <c r="H102" s="49" t="n"/>
      <c r="I102" s="49" t="n"/>
      <c r="J102" s="49" t="n"/>
      <c r="K102" s="49" t="n"/>
    </row>
    <row r="103">
      <c r="A103" s="48" t="inlineStr">
        <is>
          <t>6. Reference the Executive Dashboard for summary metrics and decision support</t>
        </is>
      </c>
      <c r="B103" s="48" t="n"/>
      <c r="C103" s="49" t="n"/>
      <c r="D103" s="49" t="n"/>
      <c r="E103" s="49" t="n"/>
      <c r="F103" s="49" t="n"/>
      <c r="G103" s="49" t="n"/>
      <c r="H103" s="49" t="n"/>
      <c r="I103" s="49" t="n"/>
      <c r="J103" s="49" t="n"/>
      <c r="K103" s="49" t="n"/>
    </row>
    <row r="104">
      <c r="A104" s="40" t="n"/>
      <c r="B104" s="40" t="n"/>
    </row>
    <row r="105" ht="15.5" customHeight="1" s="21">
      <c r="A105" s="50" t="inlineStr">
        <is>
          <t>HYPERSCALER DECISION MATRIX DATA — From Hyperscaler-Decision-Matrix-Template.xlsx</t>
        </is>
      </c>
    </row>
    <row r="106">
      <c r="A106" s="51" t="inlineStr">
        <is>
          <t>Enter scores and values from the Decision Matrix template below — These feed into the Selection Criteria section above</t>
        </is>
      </c>
    </row>
    <row r="107">
      <c r="A107" s="40" t="n"/>
      <c r="B107" s="40" t="n"/>
    </row>
    <row r="108">
      <c r="A108" s="22" t="inlineStr">
        <is>
          <t>SECTION 1 — TECHNICAL COMPARISON (Decision Matrix Section 1, Rows 5-14)</t>
        </is>
      </c>
    </row>
    <row r="109">
      <c r="A109" s="52" t="inlineStr">
        <is>
          <t>Criterion</t>
        </is>
      </c>
      <c r="B109" s="52" t="inlineStr">
        <is>
          <t>Weight (%)</t>
        </is>
      </c>
      <c r="C109" s="53" t="inlineStr">
        <is>
          <t>AWS Score (0-100)</t>
        </is>
      </c>
      <c r="D109" s="53" t="inlineStr">
        <is>
          <t>Azure Score (0-100)</t>
        </is>
      </c>
      <c r="E109" s="53" t="inlineStr">
        <is>
          <t>GCP Score (0-100)</t>
        </is>
      </c>
      <c r="F109" s="53" t="inlineStr">
        <is>
          <t>Notes</t>
        </is>
      </c>
    </row>
    <row r="110">
      <c r="A110" s="40" t="inlineStr">
        <is>
          <t>Compute service fit</t>
        </is>
      </c>
      <c r="B110" s="10" t="n">
        <v>0.15</v>
      </c>
      <c r="C110" s="256" t="n"/>
      <c r="D110" s="256" t="n"/>
      <c r="E110" s="256" t="n"/>
      <c r="F110" t="inlineStr">
        <is>
          <t>Decision Matrix Row 5</t>
        </is>
      </c>
    </row>
    <row r="111">
      <c r="A111" s="40" t="inlineStr">
        <is>
          <t>Database service fit</t>
        </is>
      </c>
      <c r="B111" s="10" t="n">
        <v>0.15</v>
      </c>
      <c r="C111" s="256" t="n"/>
      <c r="D111" s="256" t="n"/>
      <c r="E111" s="256" t="n"/>
      <c r="F111" t="inlineStr">
        <is>
          <t>Decision Matrix Row 6</t>
        </is>
      </c>
    </row>
    <row r="112">
      <c r="A112" s="40" t="inlineStr">
        <is>
          <t>Storage service fit</t>
        </is>
      </c>
      <c r="B112" s="10" t="n">
        <v>0.1</v>
      </c>
      <c r="C112" s="256" t="n"/>
      <c r="D112" s="256" t="n"/>
      <c r="E112" s="256" t="n"/>
      <c r="F112" t="inlineStr">
        <is>
          <t>Decision Matrix Row 7</t>
        </is>
      </c>
    </row>
    <row r="113">
      <c r="A113" s="40" t="inlineStr">
        <is>
          <t>Networking capabilities</t>
        </is>
      </c>
      <c r="B113" s="10" t="n">
        <v>0.1</v>
      </c>
      <c r="C113" s="256" t="n"/>
      <c r="D113" s="256" t="n"/>
      <c r="E113" s="256" t="n"/>
      <c r="F113" t="inlineStr">
        <is>
          <t>Decision Matrix Row 8</t>
        </is>
      </c>
    </row>
    <row r="114">
      <c r="A114" s="40" t="inlineStr">
        <is>
          <t>Migration tooling</t>
        </is>
      </c>
      <c r="B114" s="10" t="n">
        <v>0.1</v>
      </c>
      <c r="C114" s="256" t="n"/>
      <c r="D114" s="256" t="n"/>
      <c r="E114" s="256" t="n"/>
      <c r="F114" t="inlineStr">
        <is>
          <t>Decision Matrix Row 9</t>
        </is>
      </c>
    </row>
    <row r="115">
      <c r="A115" s="40" t="inlineStr">
        <is>
          <t>Container/K8s support</t>
        </is>
      </c>
      <c r="B115" s="10" t="n">
        <v>0.1</v>
      </c>
      <c r="C115" s="256" t="n"/>
      <c r="D115" s="256" t="n"/>
      <c r="E115" s="256" t="n"/>
      <c r="F115" t="inlineStr">
        <is>
          <t>Decision Matrix Row 10</t>
        </is>
      </c>
    </row>
    <row r="116">
      <c r="A116" s="40" t="inlineStr">
        <is>
          <t>AI/ML services</t>
        </is>
      </c>
      <c r="B116" s="10" t="n">
        <v>0.1</v>
      </c>
      <c r="C116" s="256" t="n"/>
      <c r="D116" s="256" t="n"/>
      <c r="E116" s="256" t="n"/>
      <c r="F116" t="inlineStr">
        <is>
          <t>Decision Matrix Row 11</t>
        </is>
      </c>
    </row>
    <row r="117">
      <c r="A117" s="40" t="inlineStr">
        <is>
          <t>Security services</t>
        </is>
      </c>
      <c r="B117" s="10" t="n">
        <v>0.1</v>
      </c>
      <c r="C117" s="256" t="n"/>
      <c r="D117" s="256" t="n"/>
      <c r="E117" s="256" t="n"/>
      <c r="F117" t="inlineStr">
        <is>
          <t>Decision Matrix Row 12</t>
        </is>
      </c>
    </row>
    <row r="118">
      <c r="A118" s="40" t="inlineStr">
        <is>
          <t>Regional availability</t>
        </is>
      </c>
      <c r="B118" s="10" t="n">
        <v>0.1</v>
      </c>
      <c r="C118" s="256" t="n"/>
      <c r="D118" s="256" t="n"/>
      <c r="E118" s="256" t="n"/>
      <c r="F118" t="inlineStr">
        <is>
          <t>Decision Matrix Row 13</t>
        </is>
      </c>
    </row>
    <row r="119">
      <c r="A119" s="54" t="inlineStr">
        <is>
          <t>Technical Score (Weighted)</t>
        </is>
      </c>
      <c r="B119" s="12" t="n">
        <v>1</v>
      </c>
      <c r="C119" s="257" t="n">
        <v>0</v>
      </c>
      <c r="D119" s="257" t="n">
        <v>0</v>
      </c>
      <c r="E119" s="257" t="n">
        <v>0</v>
      </c>
      <c r="F119" s="55" t="inlineStr">
        <is>
          <t>Auto-calculated</t>
        </is>
      </c>
    </row>
    <row r="120">
      <c r="A120" s="40" t="n"/>
      <c r="B120" s="40" t="n"/>
    </row>
    <row r="121">
      <c r="A121" s="56" t="inlineStr">
        <is>
          <t>SECTION 2 — FINANCIAL COMPARISON (Decision Matrix Section 2, Rows 17-23)</t>
        </is>
      </c>
    </row>
    <row r="122">
      <c r="A122" s="57" t="inlineStr">
        <is>
          <t>Criterion</t>
        </is>
      </c>
      <c r="B122" s="57" t="inlineStr">
        <is>
          <t>Weight (%)</t>
        </is>
      </c>
      <c r="C122" s="58" t="inlineStr">
        <is>
          <t>AWS ($)</t>
        </is>
      </c>
      <c r="D122" s="58" t="inlineStr">
        <is>
          <t>Azure ($)</t>
        </is>
      </c>
      <c r="E122" s="58" t="inlineStr">
        <is>
          <t>GCP ($)</t>
        </is>
      </c>
      <c r="F122" s="58" t="inlineStr">
        <is>
          <t>Notes</t>
        </is>
      </c>
    </row>
    <row r="123">
      <c r="A123" s="40" t="inlineStr">
        <is>
          <t>Monthly run-rate (PAYG)</t>
        </is>
      </c>
      <c r="B123" s="10" t="n">
        <v>0.15</v>
      </c>
      <c r="C123" s="258" t="n"/>
      <c r="D123" s="258" t="n"/>
      <c r="E123" s="258" t="n"/>
      <c r="F123" t="inlineStr">
        <is>
          <t>Decision Matrix Row 18</t>
        </is>
      </c>
    </row>
    <row r="124">
      <c r="A124" s="40" t="inlineStr">
        <is>
          <t>Monthly run-rate (committed)</t>
        </is>
      </c>
      <c r="B124" s="10" t="n">
        <v>0.2</v>
      </c>
      <c r="C124" s="258" t="n"/>
      <c r="D124" s="258" t="n"/>
      <c r="E124" s="258" t="n"/>
      <c r="F124" t="inlineStr">
        <is>
          <t>Decision Matrix Row 19</t>
        </is>
      </c>
    </row>
    <row r="125">
      <c r="A125" s="40" t="inlineStr">
        <is>
          <t>Migration cost</t>
        </is>
      </c>
      <c r="B125" s="10" t="n">
        <v>0.15</v>
      </c>
      <c r="C125" s="258" t="n"/>
      <c r="D125" s="258" t="n"/>
      <c r="E125" s="258" t="n"/>
      <c r="F125" t="inlineStr">
        <is>
          <t>Decision Matrix Row 20</t>
        </is>
      </c>
    </row>
    <row r="126">
      <c r="A126" s="40" t="inlineStr">
        <is>
          <t>3-Year TCO</t>
        </is>
      </c>
      <c r="B126" s="10" t="n">
        <v>0.3</v>
      </c>
      <c r="C126" s="258" t="n"/>
      <c r="D126" s="258" t="n"/>
      <c r="E126" s="258" t="n"/>
      <c r="F126" t="inlineStr">
        <is>
          <t>Decision Matrix Row 21</t>
        </is>
      </c>
    </row>
    <row r="127">
      <c r="A127" s="40" t="inlineStr">
        <is>
          <t>Licensing optimization (savings)</t>
        </is>
      </c>
      <c r="B127" s="10" t="n">
        <v>0.1</v>
      </c>
      <c r="C127" s="258" t="n"/>
      <c r="D127" s="258" t="n"/>
      <c r="E127" s="258" t="n"/>
      <c r="F127" t="inlineStr">
        <is>
          <t>Decision Matrix Row 22</t>
        </is>
      </c>
    </row>
    <row r="128">
      <c r="A128" s="40" t="inlineStr">
        <is>
          <t>Support cost</t>
        </is>
      </c>
      <c r="B128" s="10" t="n">
        <v>0.1</v>
      </c>
      <c r="C128" s="258" t="n"/>
      <c r="D128" s="258" t="n"/>
      <c r="E128" s="258" t="n"/>
      <c r="F128" t="inlineStr">
        <is>
          <t>Decision Matrix Row 23</t>
        </is>
      </c>
    </row>
    <row r="129">
      <c r="A129" s="59" t="inlineStr">
        <is>
          <t>Financial Total ($)</t>
        </is>
      </c>
      <c r="B129" s="13" t="n">
        <v>1</v>
      </c>
      <c r="C129" s="259" t="n">
        <v>0</v>
      </c>
      <c r="D129" s="259" t="n">
        <v>0</v>
      </c>
      <c r="E129" s="259" t="n">
        <v>0</v>
      </c>
      <c r="F129" s="61" t="inlineStr">
        <is>
          <t>Sum of costs</t>
        </is>
      </c>
    </row>
    <row r="130">
      <c r="A130" s="46" t="inlineStr">
        <is>
          <t>Financial Score (0-100)</t>
        </is>
      </c>
      <c r="B130" s="46" t="n"/>
      <c r="C130" s="260" t="n">
        <v>0</v>
      </c>
      <c r="D130" s="260" t="n">
        <v>0</v>
      </c>
      <c r="E130" s="260" t="n">
        <v>0</v>
      </c>
      <c r="F130" s="47" t="inlineStr">
        <is>
          <t>Lower cost = Higher score</t>
        </is>
      </c>
    </row>
    <row r="131">
      <c r="A131" s="40" t="n"/>
      <c r="B131" s="40" t="n"/>
    </row>
    <row r="132">
      <c r="A132" s="62" t="inlineStr">
        <is>
          <t>SECTION 3 — ORGANIZATIONAL COMPARISON (Decision Matrix Section 3, Rows 26-33)</t>
        </is>
      </c>
    </row>
    <row r="133">
      <c r="A133" s="63" t="inlineStr">
        <is>
          <t>Criterion</t>
        </is>
      </c>
      <c r="B133" s="63" t="inlineStr">
        <is>
          <t>Weight (%)</t>
        </is>
      </c>
      <c r="C133" s="64" t="inlineStr">
        <is>
          <t>AWS Score (0-100)</t>
        </is>
      </c>
      <c r="D133" s="64" t="inlineStr">
        <is>
          <t>Azure Score (0-100)</t>
        </is>
      </c>
      <c r="E133" s="64" t="inlineStr">
        <is>
          <t>GCP Score (0-100)</t>
        </is>
      </c>
      <c r="F133" s="64" t="inlineStr">
        <is>
          <t>Notes</t>
        </is>
      </c>
    </row>
    <row r="134">
      <c r="A134" s="40" t="inlineStr">
        <is>
          <t>Existing cloud investment</t>
        </is>
      </c>
      <c r="B134" s="10" t="n">
        <v>0.2</v>
      </c>
      <c r="C134" s="256" t="n"/>
      <c r="D134" s="256" t="n"/>
      <c r="E134" s="256" t="n"/>
      <c r="F134" t="inlineStr">
        <is>
          <t>Decision Matrix Row 27</t>
        </is>
      </c>
    </row>
    <row r="135">
      <c r="A135" s="40" t="inlineStr">
        <is>
          <t>Team expertise/skills</t>
        </is>
      </c>
      <c r="B135" s="10" t="n">
        <v>0.2</v>
      </c>
      <c r="C135" s="256" t="n"/>
      <c r="D135" s="256" t="n"/>
      <c r="E135" s="256" t="n"/>
      <c r="F135" t="inlineStr">
        <is>
          <t>Decision Matrix Row 28</t>
        </is>
      </c>
    </row>
    <row r="136">
      <c r="A136" s="40" t="inlineStr">
        <is>
          <t>Vendor relationship</t>
        </is>
      </c>
      <c r="B136" s="10" t="n">
        <v>0.15</v>
      </c>
      <c r="C136" s="256" t="n"/>
      <c r="D136" s="256" t="n"/>
      <c r="E136" s="256" t="n"/>
      <c r="F136" t="inlineStr">
        <is>
          <t>Decision Matrix Row 29</t>
        </is>
      </c>
    </row>
    <row r="137">
      <c r="A137" s="40" t="inlineStr">
        <is>
          <t>Training availability</t>
        </is>
      </c>
      <c r="B137" s="10" t="n">
        <v>0.1</v>
      </c>
      <c r="C137" s="256" t="n"/>
      <c r="D137" s="256" t="n"/>
      <c r="E137" s="256" t="n"/>
      <c r="F137" t="inlineStr">
        <is>
          <t>Decision Matrix Row 30</t>
        </is>
      </c>
    </row>
    <row r="138">
      <c r="A138" s="40" t="inlineStr">
        <is>
          <t>Partner ecosystem</t>
        </is>
      </c>
      <c r="B138" s="10" t="n">
        <v>0.1</v>
      </c>
      <c r="C138" s="256" t="n"/>
      <c r="D138" s="256" t="n"/>
      <c r="E138" s="256" t="n"/>
      <c r="F138" t="inlineStr">
        <is>
          <t>Decision Matrix Row 31</t>
        </is>
      </c>
    </row>
    <row r="139">
      <c r="A139" s="40" t="inlineStr">
        <is>
          <t>Enterprise agreement</t>
        </is>
      </c>
      <c r="B139" s="10" t="n">
        <v>0.15</v>
      </c>
      <c r="C139" s="256" t="n"/>
      <c r="D139" s="256" t="n"/>
      <c r="E139" s="256" t="n"/>
      <c r="F139" t="inlineStr">
        <is>
          <t>Decision Matrix Row 32</t>
        </is>
      </c>
    </row>
    <row r="140">
      <c r="A140" s="40" t="inlineStr">
        <is>
          <t>Strategic alignment</t>
        </is>
      </c>
      <c r="B140" s="10" t="n">
        <v>0.1</v>
      </c>
      <c r="C140" s="256" t="n"/>
      <c r="D140" s="256" t="n"/>
      <c r="E140" s="256" t="n"/>
      <c r="F140" t="inlineStr">
        <is>
          <t>Decision Matrix Row 33</t>
        </is>
      </c>
    </row>
    <row r="141">
      <c r="A141" s="65" t="inlineStr">
        <is>
          <t>Organizational Score (Weighted)</t>
        </is>
      </c>
      <c r="B141" s="14" t="n">
        <v>1</v>
      </c>
      <c r="C141" s="261" t="n">
        <v>0</v>
      </c>
      <c r="D141" s="261" t="n">
        <v>0</v>
      </c>
      <c r="E141" s="261" t="n">
        <v>0</v>
      </c>
      <c r="F141" s="66" t="inlineStr">
        <is>
          <t>Auto-calculated</t>
        </is>
      </c>
    </row>
    <row r="142">
      <c r="A142" s="40" t="n"/>
      <c r="B142" s="40" t="n"/>
    </row>
    <row r="143">
      <c r="A143" s="70" t="inlineStr">
        <is>
          <t>SECTION 4 — COMPLIANCE &amp; RISK COMPARISON (Decision Matrix Section 4, Rows 36-44)</t>
        </is>
      </c>
    </row>
    <row r="144">
      <c r="A144" s="67" t="inlineStr">
        <is>
          <t>Criterion</t>
        </is>
      </c>
      <c r="B144" s="67" t="inlineStr">
        <is>
          <t>Required (Yes/No)</t>
        </is>
      </c>
      <c r="C144" s="68" t="inlineStr">
        <is>
          <t>AWS (Yes/No)</t>
        </is>
      </c>
      <c r="D144" s="68" t="inlineStr">
        <is>
          <t>Azure (Yes/No)</t>
        </is>
      </c>
      <c r="E144" s="68" t="inlineStr">
        <is>
          <t>GCP (Yes/No)</t>
        </is>
      </c>
      <c r="F144" s="68" t="inlineStr">
        <is>
          <t>Notes</t>
        </is>
      </c>
    </row>
    <row r="145">
      <c r="A145" s="40" t="inlineStr">
        <is>
          <t>SOC 2 Type II</t>
        </is>
      </c>
      <c r="B145" s="40" t="n"/>
      <c r="F145" t="inlineStr">
        <is>
          <t>Decision Matrix Row 38</t>
        </is>
      </c>
    </row>
    <row r="146">
      <c r="A146" s="40" t="inlineStr">
        <is>
          <t>ISO 27001</t>
        </is>
      </c>
      <c r="B146" s="40" t="n"/>
      <c r="F146" t="inlineStr">
        <is>
          <t>Decision Matrix Row 39</t>
        </is>
      </c>
    </row>
    <row r="147">
      <c r="A147" s="40" t="inlineStr">
        <is>
          <t>PCI DSS</t>
        </is>
      </c>
      <c r="B147" s="40" t="n"/>
      <c r="F147" t="inlineStr">
        <is>
          <t>Decision Matrix Row 40</t>
        </is>
      </c>
    </row>
    <row r="148">
      <c r="A148" s="40" t="inlineStr">
        <is>
          <t>HIPAA</t>
        </is>
      </c>
      <c r="B148" s="40" t="n"/>
      <c r="F148" t="inlineStr">
        <is>
          <t>Decision Matrix Row 41</t>
        </is>
      </c>
    </row>
    <row r="149">
      <c r="A149" s="40" t="inlineStr">
        <is>
          <t>GDPR</t>
        </is>
      </c>
      <c r="B149" s="40" t="n"/>
      <c r="F149" t="inlineStr">
        <is>
          <t>Decision Matrix Row 42</t>
        </is>
      </c>
    </row>
    <row r="150">
      <c r="A150" s="40" t="inlineStr">
        <is>
          <t>UK G-Cloud</t>
        </is>
      </c>
      <c r="B150" s="40" t="n"/>
      <c r="F150" t="inlineStr">
        <is>
          <t>Decision Matrix Row 43</t>
        </is>
      </c>
    </row>
    <row r="151">
      <c r="A151" s="40" t="inlineStr">
        <is>
          <t>Data residency (required regions)</t>
        </is>
      </c>
      <c r="B151" s="40" t="n"/>
      <c r="F151" t="inlineStr">
        <is>
          <t>Decision Matrix Row 44</t>
        </is>
      </c>
    </row>
    <row r="152">
      <c r="A152" s="69" t="inlineStr">
        <is>
          <t>Compliance Score (0-100)</t>
        </is>
      </c>
      <c r="B152" s="69" t="n"/>
      <c r="C152" s="262" t="n">
        <v>0</v>
      </c>
      <c r="D152" s="262" t="n">
        <v>0</v>
      </c>
      <c r="E152" s="262" t="n">
        <v>0</v>
      </c>
      <c r="F152" s="70" t="inlineStr">
        <is>
          <t>% of requirements met</t>
        </is>
      </c>
    </row>
    <row r="153">
      <c r="A153" s="40" t="n"/>
      <c r="B153" s="40" t="n"/>
    </row>
    <row r="154">
      <c r="A154" s="73" t="inlineStr">
        <is>
          <t>SECTION 5 — OVERALL DECISION MATRIX SUMMARY (Decision Matrix Section 5, Rows 47-52)</t>
        </is>
      </c>
    </row>
    <row r="155">
      <c r="A155" s="52" t="inlineStr">
        <is>
          <t>Category</t>
        </is>
      </c>
      <c r="B155" s="52" t="inlineStr">
        <is>
          <t>Weight (%)</t>
        </is>
      </c>
      <c r="C155" s="53" t="inlineStr">
        <is>
          <t>AWS Score</t>
        </is>
      </c>
      <c r="D155" s="53" t="inlineStr">
        <is>
          <t>Azure Score</t>
        </is>
      </c>
      <c r="E155" s="53" t="inlineStr">
        <is>
          <t>GCP Score</t>
        </is>
      </c>
      <c r="F155" s="53" t="inlineStr">
        <is>
          <t>Source Reference</t>
        </is>
      </c>
    </row>
    <row r="156">
      <c r="A156" s="40" t="inlineStr">
        <is>
          <t>Technical Fit</t>
        </is>
      </c>
      <c r="B156" s="10" t="n">
        <v>0.35</v>
      </c>
      <c r="C156" s="256" t="n">
        <v>0</v>
      </c>
      <c r="D156" s="256" t="n">
        <v>0</v>
      </c>
      <c r="E156" s="256" t="n">
        <v>0</v>
      </c>
      <c r="F156" t="inlineStr">
        <is>
          <t>→ Row 119 (Technical Score)</t>
        </is>
      </c>
    </row>
    <row r="157">
      <c r="A157" s="40" t="inlineStr">
        <is>
          <t>Financial Fit</t>
        </is>
      </c>
      <c r="B157" s="10" t="n">
        <v>0.3</v>
      </c>
      <c r="C157" s="256" t="n">
        <v>0</v>
      </c>
      <c r="D157" s="256" t="n">
        <v>0</v>
      </c>
      <c r="E157" s="256" t="n">
        <v>0</v>
      </c>
      <c r="F157" t="inlineStr">
        <is>
          <t>→ Row 130 (Financial Score)</t>
        </is>
      </c>
    </row>
    <row r="158">
      <c r="A158" s="40" t="inlineStr">
        <is>
          <t>Organizational Fit</t>
        </is>
      </c>
      <c r="B158" s="10" t="n">
        <v>0.2</v>
      </c>
      <c r="C158" s="256" t="n">
        <v>0</v>
      </c>
      <c r="D158" s="256" t="n">
        <v>0</v>
      </c>
      <c r="E158" s="256" t="n">
        <v>0</v>
      </c>
      <c r="F158" t="inlineStr">
        <is>
          <t>→ Row 141 (Organizational Score)</t>
        </is>
      </c>
    </row>
    <row r="159">
      <c r="A159" s="40" t="inlineStr">
        <is>
          <t>Compliance Fit</t>
        </is>
      </c>
      <c r="B159" s="10" t="n">
        <v>0.15</v>
      </c>
      <c r="C159" s="256" t="n">
        <v>0</v>
      </c>
      <c r="D159" s="256" t="n">
        <v>0</v>
      </c>
      <c r="E159" s="256" t="n">
        <v>0</v>
      </c>
      <c r="F159" t="inlineStr">
        <is>
          <t>→ Row 152 (Compliance Score)</t>
        </is>
      </c>
    </row>
    <row r="160">
      <c r="A160" s="72" t="inlineStr">
        <is>
          <t>OVERALL WEIGHTED SCORE</t>
        </is>
      </c>
      <c r="B160" s="15" t="n">
        <v>1</v>
      </c>
      <c r="C160" s="263" t="n">
        <v>0</v>
      </c>
      <c r="D160" s="263" t="n">
        <v>0</v>
      </c>
      <c r="E160" s="263" t="n">
        <v>0</v>
      </c>
      <c r="F160" s="73" t="inlineStr">
        <is>
          <t>Auto-calculated</t>
        </is>
      </c>
    </row>
    <row r="161">
      <c r="A161" s="40" t="n"/>
      <c r="B161" s="40" t="n"/>
    </row>
    <row r="162">
      <c r="A162" s="74" t="inlineStr">
        <is>
          <t>SECTION 6 — RECOMMENDATION &amp; DECISION (Decision Matrix Section 6, Rows 55-58)</t>
        </is>
      </c>
    </row>
    <row r="163">
      <c r="A163" s="57" t="inlineStr">
        <is>
          <t>Field</t>
        </is>
      </c>
      <c r="B163" s="57" t="inlineStr">
        <is>
          <t>Selection/Value</t>
        </is>
      </c>
      <c r="C163" s="58" t="inlineStr">
        <is>
          <t>Source</t>
        </is>
      </c>
      <c r="D163" s="58" t="inlineStr">
        <is>
          <t>Notes</t>
        </is>
      </c>
    </row>
    <row r="164">
      <c r="A164" s="40" t="inlineStr">
        <is>
          <t>Primary Recommendation</t>
        </is>
      </c>
      <c r="B164" s="40" t="n"/>
      <c r="C164" t="inlineStr">
        <is>
          <t>Decision Matrix Row 56</t>
        </is>
      </c>
      <c r="D164" t="inlineStr">
        <is>
          <t>Enter provider name</t>
        </is>
      </c>
    </row>
    <row r="165">
      <c r="A165" s="40" t="inlineStr">
        <is>
          <t>Secondary / Hybrid Provider</t>
        </is>
      </c>
      <c r="B165" s="40" t="n"/>
      <c r="C165" t="inlineStr">
        <is>
          <t>Decision Matrix Row 57</t>
        </is>
      </c>
      <c r="D165" t="inlineStr">
        <is>
          <t>If multi-cloud</t>
        </is>
      </c>
    </row>
    <row r="166">
      <c r="A166" s="40" t="inlineStr">
        <is>
          <t>Rationale</t>
        </is>
      </c>
      <c r="B166" s="40" t="n"/>
      <c r="C166" t="inlineStr">
        <is>
          <t>Decision Matrix Row 58</t>
        </is>
      </c>
      <c r="D166" t="inlineStr">
        <is>
          <t>Key justification</t>
        </is>
      </c>
    </row>
    <row r="167">
      <c r="A167" s="44" t="inlineStr">
        <is>
          <t>🏆 Recommended Provider (Auto)</t>
        </is>
      </c>
      <c r="B167" s="44" t="inlineStr">
        <is>
          <t>AWS</t>
        </is>
      </c>
      <c r="C167" s="79" t="inlineStr">
        <is>
          <t>Based on highest overall score</t>
        </is>
      </c>
      <c r="D167" s="79" t="n"/>
    </row>
    <row r="168">
      <c r="A168" s="40" t="inlineStr">
        <is>
          <t>AWS Overall Score</t>
        </is>
      </c>
      <c r="B168" s="264" t="n">
        <v>0</v>
      </c>
    </row>
    <row r="169">
      <c r="A169" s="40" t="inlineStr">
        <is>
          <t>Azure Overall Score</t>
        </is>
      </c>
      <c r="B169" s="264" t="n">
        <v>0</v>
      </c>
    </row>
    <row r="170">
      <c r="A170" s="40" t="inlineStr">
        <is>
          <t>GCP Overall Score</t>
        </is>
      </c>
      <c r="B170" s="264" t="n">
        <v>0</v>
      </c>
    </row>
    <row r="171">
      <c r="A171" s="75" t="inlineStr">
        <is>
          <t>Score Difference (1st vs 2nd)</t>
        </is>
      </c>
      <c r="B171" s="265" t="n">
        <v>0</v>
      </c>
      <c r="C171" s="38" t="n"/>
      <c r="D171" s="38" t="n"/>
    </row>
    <row r="172">
      <c r="A172" s="40" t="n"/>
      <c r="B172" s="40" t="n"/>
    </row>
    <row r="173">
      <c r="A173" s="76" t="inlineStr">
        <is>
          <t>MULTI-CLOUD SCENARIO (Decision Matrix Section 6, Rows 61-68)</t>
        </is>
      </c>
    </row>
    <row r="174">
      <c r="A174" s="77" t="inlineStr">
        <is>
          <t>Workload Type</t>
        </is>
      </c>
      <c r="B174" s="77" t="inlineStr">
        <is>
          <t>Recommended Platform</t>
        </is>
      </c>
      <c r="C174" s="78" t="inlineStr">
        <is>
          <t>Rationale</t>
        </is>
      </c>
      <c r="D174" s="78" t="inlineStr">
        <is>
          <t>Owner</t>
        </is>
      </c>
      <c r="E174" s="78" t="inlineStr">
        <is>
          <t>Migration Wave</t>
        </is>
      </c>
      <c r="F174" s="78" t="inlineStr">
        <is>
          <t>Notes</t>
        </is>
      </c>
    </row>
    <row r="175">
      <c r="A175" s="40" t="n"/>
      <c r="B175" s="40" t="n"/>
      <c r="F175" t="inlineStr">
        <is>
          <t>Decision Matrix Row 63</t>
        </is>
      </c>
    </row>
    <row r="176">
      <c r="A176" s="40" t="n"/>
      <c r="B176" s="40" t="n"/>
      <c r="F176" t="inlineStr">
        <is>
          <t>Decision Matrix Row 64</t>
        </is>
      </c>
    </row>
    <row r="177">
      <c r="A177" s="40" t="n"/>
      <c r="B177" s="40" t="n"/>
      <c r="F177" t="inlineStr">
        <is>
          <t>Decision Matrix Row 65</t>
        </is>
      </c>
    </row>
    <row r="178">
      <c r="A178" s="40" t="n"/>
      <c r="B178" s="40" t="n"/>
      <c r="F178" t="inlineStr">
        <is>
          <t>Decision Matrix Row 66</t>
        </is>
      </c>
    </row>
    <row r="179">
      <c r="A179" s="40" t="n"/>
      <c r="B179" s="40" t="n"/>
      <c r="F179" t="inlineStr">
        <is>
          <t>Decision Matrix Row 67</t>
        </is>
      </c>
    </row>
    <row r="180">
      <c r="A180" s="40" t="n"/>
      <c r="B180" s="40" t="n"/>
      <c r="F180" t="inlineStr">
        <is>
          <t>Decision Matrix Row 68</t>
        </is>
      </c>
    </row>
    <row r="181">
      <c r="A181" s="40" t="n"/>
      <c r="B181" s="40" t="n"/>
    </row>
    <row r="182">
      <c r="A182" s="79" t="inlineStr">
        <is>
          <t>📋 DATA ENTRY INSTRUCTIONS — How to Use This Section</t>
        </is>
      </c>
    </row>
    <row r="183">
      <c r="A183" s="80" t="inlineStr">
        <is>
          <t>Step</t>
        </is>
      </c>
      <c r="B183" s="80" t="inlineStr">
        <is>
          <t>Action</t>
        </is>
      </c>
      <c r="C183" s="81" t="inlineStr">
        <is>
          <t>Source Location</t>
        </is>
      </c>
      <c r="D183" s="81" t="inlineStr">
        <is>
          <t>Target Cells in This Sheet</t>
        </is>
      </c>
      <c r="E183" s="81" t="n"/>
      <c r="F183" s="81" t="n"/>
    </row>
    <row r="184">
      <c r="A184" s="40" t="n">
        <v>1</v>
      </c>
      <c r="B184" s="82" t="inlineStr">
        <is>
          <t>Enter Technical scores (0-100) for each criterion</t>
        </is>
      </c>
      <c r="C184" s="82" t="inlineStr">
        <is>
          <t>Decision Matrix Section 1 (Rows 5-13)</t>
        </is>
      </c>
      <c r="D184" t="inlineStr">
        <is>
          <t>C110:E118</t>
        </is>
      </c>
    </row>
    <row r="185">
      <c r="A185" s="40" t="n">
        <v>2</v>
      </c>
      <c r="B185" s="82" t="inlineStr">
        <is>
          <t>Enter Financial costs ($) for each criterion</t>
        </is>
      </c>
      <c r="C185" s="82" t="inlineStr">
        <is>
          <t>Decision Matrix Section 2 (Rows 18-23)</t>
        </is>
      </c>
      <c r="D185" t="inlineStr">
        <is>
          <t>C123:E128</t>
        </is>
      </c>
    </row>
    <row r="186">
      <c r="A186" s="40" t="n">
        <v>3</v>
      </c>
      <c r="B186" s="82" t="inlineStr">
        <is>
          <t>Enter Organizational scores (0-100) for each criterion</t>
        </is>
      </c>
      <c r="C186" s="82" t="inlineStr">
        <is>
          <t>Decision Matrix Section 3 (Rows 27-33)</t>
        </is>
      </c>
      <c r="D186" t="inlineStr">
        <is>
          <t>C134:E140</t>
        </is>
      </c>
    </row>
    <row r="187">
      <c r="A187" s="40" t="n">
        <v>4</v>
      </c>
      <c r="B187" s="82" t="inlineStr">
        <is>
          <t>Enter Compliance status (Yes/No) for Required and each provider</t>
        </is>
      </c>
      <c r="C187" s="82" t="inlineStr">
        <is>
          <t>Decision Matrix Section 4 (Rows 38-44)</t>
        </is>
      </c>
      <c r="D187" t="inlineStr">
        <is>
          <t>B145:E151</t>
        </is>
      </c>
    </row>
    <row r="188">
      <c r="A188" s="40" t="n">
        <v>5</v>
      </c>
      <c r="B188" s="82" t="inlineStr">
        <is>
          <t>Enter Primary/Secondary provider recommendations</t>
        </is>
      </c>
      <c r="C188" s="82" t="inlineStr">
        <is>
          <t>Decision Matrix Section 6 (Rows 56-58)</t>
        </is>
      </c>
      <c r="D188" t="inlineStr">
        <is>
          <t>B164:B166</t>
        </is>
      </c>
    </row>
    <row r="189">
      <c r="A189" s="40" t="n">
        <v>6</v>
      </c>
      <c r="B189" s="82" t="inlineStr">
        <is>
          <t>Enter Multi-Cloud workload assignments</t>
        </is>
      </c>
      <c r="C189" s="82" t="inlineStr">
        <is>
          <t>Decision Matrix Section 6 (Rows 63-68)</t>
        </is>
      </c>
      <c r="D189" t="inlineStr">
        <is>
          <t>A175:E180</t>
        </is>
      </c>
    </row>
    <row r="190">
      <c r="A190" s="40" t="n">
        <v>7</v>
      </c>
      <c r="B190" s="82" t="inlineStr">
        <is>
          <t>Review auto-calculated Overall Scores in Row 160</t>
        </is>
      </c>
      <c r="C190" s="82" t="inlineStr">
        <is>
          <t>Auto-calculated from above data</t>
        </is>
      </c>
      <c r="D190" t="inlineStr">
        <is>
          <t>C160:E160</t>
        </is>
      </c>
    </row>
    <row r="191">
      <c r="A191" s="40" t="n">
        <v>8</v>
      </c>
      <c r="B191" s="82" t="inlineStr">
        <is>
          <t>Check auto-recommended provider in Row 167</t>
        </is>
      </c>
      <c r="C191" s="82" t="inlineStr">
        <is>
          <t>Based on highest overall score</t>
        </is>
      </c>
      <c r="D191" t="inlineStr">
        <is>
          <t>B167</t>
        </is>
      </c>
    </row>
    <row r="192">
      <c r="A192" s="40" t="n"/>
      <c r="B192" s="40" t="n"/>
      <c r="C192" s="82" t="n"/>
    </row>
    <row r="193">
      <c r="A193" s="83" t="inlineStr">
        <is>
          <t>⚠️ IMPORTANT: Since Hyperscaler-Decision-Matrix-Template.xlsx is an external file, manually copy values from that template to this sheet.</t>
        </is>
      </c>
    </row>
    <row r="194">
      <c r="A194" s="84" t="inlineStr">
        <is>
          <t>💡 TIP: All weighted scores and recommendations auto-calculate when you enter data. The Overall Scores feed directly into the Selection Criteria section above (Row 89).</t>
        </is>
      </c>
    </row>
    <row r="195">
      <c r="A195" s="40" t="n"/>
      <c r="B195" s="40" t="n"/>
    </row>
    <row r="196">
      <c r="A196" s="85" t="inlineStr">
        <is>
          <t>Template Version 2.0 — Cloud-Agnostic Business Case with Hyperscaler Decision Matrix Integration | AWS | Azure | Google Cloud</t>
        </is>
      </c>
    </row>
  </sheetData>
  <mergeCells count="26">
    <mergeCell ref="A58:K58"/>
    <mergeCell ref="A143:K143"/>
    <mergeCell ref="A182:K182"/>
    <mergeCell ref="A132:K132"/>
    <mergeCell ref="A1:K1"/>
    <mergeCell ref="A79:K79"/>
    <mergeCell ref="A162:K162"/>
    <mergeCell ref="A196:K196"/>
    <mergeCell ref="A41:K41"/>
    <mergeCell ref="A108:K108"/>
    <mergeCell ref="A193:K193"/>
    <mergeCell ref="A105:K105"/>
    <mergeCell ref="A50:K50"/>
    <mergeCell ref="A154:K154"/>
    <mergeCell ref="A2:K2"/>
    <mergeCell ref="A194:K194"/>
    <mergeCell ref="A106:K106"/>
    <mergeCell ref="A97:K97"/>
    <mergeCell ref="A91:K91"/>
    <mergeCell ref="A22:K22"/>
    <mergeCell ref="A4:K4"/>
    <mergeCell ref="A121:K121"/>
    <mergeCell ref="A13:K13"/>
    <mergeCell ref="A173:K173"/>
    <mergeCell ref="A67:K67"/>
    <mergeCell ref="A31:K3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29"/>
  <sheetViews>
    <sheetView topLeftCell="A105" workbookViewId="0">
      <selection activeCell="A1" sqref="A1:H1"/>
    </sheetView>
  </sheetViews>
  <sheetFormatPr baseColWidth="8" defaultRowHeight="14.5"/>
  <cols>
    <col width="32.7265625" customWidth="1" style="21" min="1" max="1"/>
    <col width="27.26953125" customWidth="1" style="21" min="2" max="2"/>
    <col width="32.453125" bestFit="1" customWidth="1" style="21" min="3" max="3"/>
    <col width="29.453125" bestFit="1" customWidth="1" style="21" min="4" max="4"/>
    <col width="43.453125" bestFit="1" customWidth="1" style="21" min="5" max="5"/>
    <col width="33.54296875" bestFit="1" customWidth="1" style="21" min="6" max="6"/>
    <col width="21.81640625" customWidth="1" style="21" min="7" max="8"/>
  </cols>
  <sheetData>
    <row r="1" ht="18.5" customHeight="1" s="21">
      <c r="A1" s="86" t="inlineStr">
        <is>
          <t>Cloud Provider Pricing Data Input — Multi-Cloud Business Case</t>
        </is>
      </c>
    </row>
    <row r="2">
      <c r="A2" t="inlineStr">
        <is>
          <t>Enter pricing data from AWS, Azure, and GCP evaluation templates below</t>
        </is>
      </c>
    </row>
    <row r="4">
      <c r="A4" t="inlineStr">
        <is>
          <t>Provider Options:</t>
        </is>
      </c>
      <c r="B4" t="inlineStr">
        <is>
          <t>AWS</t>
        </is>
      </c>
      <c r="C4" t="inlineStr">
        <is>
          <t>Azure</t>
        </is>
      </c>
      <c r="D4" t="inlineStr">
        <is>
          <t>GCP</t>
        </is>
      </c>
    </row>
    <row r="6">
      <c r="A6" s="87" t="inlineStr">
        <is>
          <t>AMAZON WEB SERVICES (AWS) — From AWS-Evaluation-Template.xlsx</t>
        </is>
      </c>
    </row>
    <row r="7">
      <c r="A7" s="88" t="inlineStr">
        <is>
          <t>Service Category</t>
        </is>
      </c>
      <c r="B7" s="88" t="inlineStr">
        <is>
          <t>Service Name</t>
        </is>
      </c>
      <c r="C7" s="88" t="inlineStr">
        <is>
          <t>SKU/Instance Type</t>
        </is>
      </c>
      <c r="D7" s="88" t="inlineStr">
        <is>
          <t>Quantity</t>
        </is>
      </c>
      <c r="E7" s="88" t="inlineStr">
        <is>
          <t>Unit</t>
        </is>
      </c>
      <c r="F7" s="88" t="inlineStr">
        <is>
          <t>Monthly Cost ($)</t>
        </is>
      </c>
      <c r="G7" s="88" t="inlineStr">
        <is>
          <t>Annual Cost ($)</t>
        </is>
      </c>
      <c r="H7" s="88" t="inlineStr">
        <is>
          <t>Notes</t>
        </is>
      </c>
    </row>
    <row r="8">
      <c r="A8" t="inlineStr">
        <is>
          <t>Compute (EC2)</t>
        </is>
      </c>
      <c r="F8" s="216" t="n"/>
      <c r="G8" s="216" t="n">
        <v>0</v>
      </c>
      <c r="H8" t="inlineStr">
        <is>
          <t>Section 3 Row 71</t>
        </is>
      </c>
    </row>
    <row r="9">
      <c r="A9" t="inlineStr">
        <is>
          <t>Database (RDS)</t>
        </is>
      </c>
      <c r="F9" s="216" t="n"/>
      <c r="G9" s="216" t="n">
        <v>0</v>
      </c>
      <c r="H9" t="inlineStr">
        <is>
          <t>Section 3 Row 72</t>
        </is>
      </c>
    </row>
    <row r="10">
      <c r="A10" t="inlineStr">
        <is>
          <t>Storage (EBS)</t>
        </is>
      </c>
      <c r="F10" s="216" t="n"/>
      <c r="G10" s="216" t="n">
        <v>0</v>
      </c>
      <c r="H10" t="inlineStr">
        <is>
          <t>Section 3 Row 73</t>
        </is>
      </c>
    </row>
    <row r="11">
      <c r="A11" t="inlineStr">
        <is>
          <t>Storage (S3)</t>
        </is>
      </c>
      <c r="F11" s="216" t="n"/>
      <c r="G11" s="216" t="n">
        <v>0</v>
      </c>
      <c r="H11" t="inlineStr">
        <is>
          <t>Section 3 Row 74</t>
        </is>
      </c>
    </row>
    <row r="12">
      <c r="A12" t="inlineStr">
        <is>
          <t>Data Transfer</t>
        </is>
      </c>
      <c r="F12" s="216" t="n"/>
      <c r="G12" s="216" t="n">
        <v>0</v>
      </c>
      <c r="H12" t="inlineStr">
        <is>
          <t>Section 3 Row 75</t>
        </is>
      </c>
    </row>
    <row r="13">
      <c r="A13" t="inlineStr">
        <is>
          <t>AWS Support Plan</t>
        </is>
      </c>
      <c r="F13" s="216" t="n"/>
      <c r="G13" s="216" t="n">
        <v>0</v>
      </c>
      <c r="H13" t="inlineStr">
        <is>
          <t>Section 3 Row 78</t>
        </is>
      </c>
    </row>
    <row r="14">
      <c r="A14" t="inlineStr">
        <is>
          <t>Reserved/Savings Plan</t>
        </is>
      </c>
      <c r="F14" s="216" t="n"/>
      <c r="G14" s="216" t="n">
        <v>0</v>
      </c>
      <c r="H14" t="inlineStr">
        <is>
          <t>Section 3 Row 83-87</t>
        </is>
      </c>
    </row>
    <row r="15">
      <c r="A15" t="inlineStr">
        <is>
          <t>Other AWS Services</t>
        </is>
      </c>
      <c r="F15" s="216" t="n"/>
      <c r="G15" s="216" t="n">
        <v>0</v>
      </c>
    </row>
    <row r="16">
      <c r="A16" s="81" t="inlineStr">
        <is>
          <t>AWS TOTAL</t>
        </is>
      </c>
      <c r="B16" s="81" t="n"/>
      <c r="C16" s="81" t="n"/>
      <c r="D16" s="81" t="n"/>
      <c r="E16" s="81" t="n"/>
      <c r="F16" s="266" t="n">
        <v>0</v>
      </c>
      <c r="G16" s="266" t="n">
        <v>0</v>
      </c>
      <c r="H16" s="81" t="n"/>
    </row>
    <row r="18">
      <c r="A18" s="89" t="inlineStr">
        <is>
          <t>MICROSOFT AZURE — From Azure-Evaluation-Template.xlsx</t>
        </is>
      </c>
    </row>
    <row r="19">
      <c r="A19" s="90" t="inlineStr">
        <is>
          <t>Service Category</t>
        </is>
      </c>
      <c r="B19" s="90" t="inlineStr">
        <is>
          <t>Service Name</t>
        </is>
      </c>
      <c r="C19" s="90" t="inlineStr">
        <is>
          <t>SKU/Instance Type</t>
        </is>
      </c>
      <c r="D19" s="90" t="inlineStr">
        <is>
          <t>Quantity</t>
        </is>
      </c>
      <c r="E19" s="90" t="inlineStr">
        <is>
          <t>Unit</t>
        </is>
      </c>
      <c r="F19" s="90" t="inlineStr">
        <is>
          <t>Monthly Cost ($)</t>
        </is>
      </c>
      <c r="G19" s="90" t="inlineStr">
        <is>
          <t>Annual Cost ($)</t>
        </is>
      </c>
      <c r="H19" s="90" t="inlineStr">
        <is>
          <t>Notes</t>
        </is>
      </c>
    </row>
    <row r="20">
      <c r="A20" t="inlineStr">
        <is>
          <t>Compute (VMs)</t>
        </is>
      </c>
      <c r="F20" s="216" t="n"/>
      <c r="G20" s="216" t="n">
        <v>0</v>
      </c>
      <c r="H20" t="inlineStr">
        <is>
          <t>Section 2 Row 72</t>
        </is>
      </c>
    </row>
    <row r="21">
      <c r="A21" t="inlineStr">
        <is>
          <t>Database (SQL/Cosmos)</t>
        </is>
      </c>
      <c r="F21" s="216" t="n"/>
      <c r="G21" s="216" t="n">
        <v>0</v>
      </c>
      <c r="H21" t="inlineStr">
        <is>
          <t>Section 2 Row 74</t>
        </is>
      </c>
    </row>
    <row r="22">
      <c r="A22" t="inlineStr">
        <is>
          <t>Storage (Blob/Disks)</t>
        </is>
      </c>
      <c r="F22" s="216" t="n"/>
      <c r="G22" s="216" t="n">
        <v>0</v>
      </c>
      <c r="H22" t="inlineStr">
        <is>
          <t>Section 2 Row 73</t>
        </is>
      </c>
    </row>
    <row r="23">
      <c r="A23" t="inlineStr">
        <is>
          <t>Data Transfer</t>
        </is>
      </c>
      <c r="F23" s="216" t="n"/>
      <c r="G23" s="216" t="n">
        <v>0</v>
      </c>
      <c r="H23" t="inlineStr">
        <is>
          <t>Section 2 Row 75</t>
        </is>
      </c>
    </row>
    <row r="24">
      <c r="A24" t="inlineStr">
        <is>
          <t>Azure Support Plan</t>
        </is>
      </c>
      <c r="F24" s="216" t="n"/>
      <c r="G24" s="216" t="n">
        <v>0</v>
      </c>
    </row>
    <row r="25">
      <c r="A25" t="inlineStr">
        <is>
          <t>Azure Hybrid Benefit (AHB)</t>
        </is>
      </c>
      <c r="F25" s="216" t="n"/>
      <c r="G25" s="216" t="n">
        <v>0</v>
      </c>
      <c r="H25" t="inlineStr">
        <is>
          <t>Section 3 - Negative savings</t>
        </is>
      </c>
    </row>
    <row r="26">
      <c r="A26" t="inlineStr">
        <is>
          <t>Reserved Instances (RI)</t>
        </is>
      </c>
      <c r="F26" s="216" t="n"/>
      <c r="G26" s="216" t="n">
        <v>0</v>
      </c>
      <c r="H26" t="inlineStr">
        <is>
          <t>Section 3 Row 95-97</t>
        </is>
      </c>
    </row>
    <row r="27">
      <c r="A27" t="inlineStr">
        <is>
          <t>Other Azure Services</t>
        </is>
      </c>
      <c r="F27" s="216" t="n"/>
      <c r="G27" s="216" t="n">
        <v>0</v>
      </c>
    </row>
    <row r="28">
      <c r="A28" s="53" t="inlineStr">
        <is>
          <t>AZURE TOTAL</t>
        </is>
      </c>
      <c r="B28" s="53" t="n"/>
      <c r="C28" s="53" t="n"/>
      <c r="D28" s="53" t="n"/>
      <c r="E28" s="53" t="n"/>
      <c r="F28" s="267" t="n">
        <v>0</v>
      </c>
      <c r="G28" s="267" t="n">
        <v>0</v>
      </c>
      <c r="H28" s="53" t="n"/>
    </row>
    <row r="30">
      <c r="A30" s="91" t="inlineStr">
        <is>
          <t>GOOGLE CLOUD PLATFORM (GCP) — From GCP-Evaluation-Template.xlsx</t>
        </is>
      </c>
    </row>
    <row r="31">
      <c r="A31" s="30" t="inlineStr">
        <is>
          <t>Service Category</t>
        </is>
      </c>
      <c r="B31" s="30" t="inlineStr">
        <is>
          <t>Service Name</t>
        </is>
      </c>
      <c r="C31" s="30" t="inlineStr">
        <is>
          <t>SKU/Instance Type</t>
        </is>
      </c>
      <c r="D31" s="30" t="inlineStr">
        <is>
          <t>Quantity</t>
        </is>
      </c>
      <c r="E31" s="30" t="inlineStr">
        <is>
          <t>Unit</t>
        </is>
      </c>
      <c r="F31" s="30" t="inlineStr">
        <is>
          <t>Monthly Cost ($)</t>
        </is>
      </c>
      <c r="G31" s="30" t="inlineStr">
        <is>
          <t>Annual Cost ($)</t>
        </is>
      </c>
      <c r="H31" s="30" t="inlineStr">
        <is>
          <t>Notes</t>
        </is>
      </c>
    </row>
    <row r="32">
      <c r="A32" t="inlineStr">
        <is>
          <t>Compute (GCE/GKE)</t>
        </is>
      </c>
      <c r="F32" s="216" t="n"/>
      <c r="G32" s="216" t="n">
        <v>0</v>
      </c>
      <c r="H32" t="inlineStr">
        <is>
          <t>Section 2 Row 77</t>
        </is>
      </c>
    </row>
    <row r="33">
      <c r="A33" t="inlineStr">
        <is>
          <t>Database (Cloud SQL)</t>
        </is>
      </c>
      <c r="F33" s="216" t="n"/>
      <c r="G33" s="216" t="n">
        <v>0</v>
      </c>
      <c r="H33" t="inlineStr">
        <is>
          <t>Section 2 Row 79</t>
        </is>
      </c>
    </row>
    <row r="34">
      <c r="A34" t="inlineStr">
        <is>
          <t>Storage (Cloud Storage)</t>
        </is>
      </c>
      <c r="F34" s="216" t="n"/>
      <c r="G34" s="216" t="n">
        <v>0</v>
      </c>
      <c r="H34" t="inlineStr">
        <is>
          <t>Section 2 Row 78</t>
        </is>
      </c>
    </row>
    <row r="35">
      <c r="A35" t="inlineStr">
        <is>
          <t>Data Transfer</t>
        </is>
      </c>
      <c r="F35" s="216" t="n"/>
      <c r="G35" s="216" t="n">
        <v>0</v>
      </c>
      <c r="H35" t="inlineStr">
        <is>
          <t>Section 2 Row 80</t>
        </is>
      </c>
    </row>
    <row r="36">
      <c r="A36" t="inlineStr">
        <is>
          <t>GCP Support Plan</t>
        </is>
      </c>
      <c r="F36" s="216" t="n"/>
      <c r="G36" s="216" t="n">
        <v>0</v>
      </c>
    </row>
    <row r="37">
      <c r="A37" t="inlineStr">
        <is>
          <t>Committed Use Discount (CUD)</t>
        </is>
      </c>
      <c r="F37" s="216" t="n"/>
      <c r="G37" s="216" t="n">
        <v>0</v>
      </c>
      <c r="H37" t="inlineStr">
        <is>
          <t>Section 3 - Negative savings</t>
        </is>
      </c>
    </row>
    <row r="38">
      <c r="A38" t="inlineStr">
        <is>
          <t>Sustained Use Discount (SUD)</t>
        </is>
      </c>
      <c r="F38" s="216" t="n"/>
      <c r="G38" s="216" t="n">
        <v>0</v>
      </c>
      <c r="H38" t="inlineStr">
        <is>
          <t>Section 3 - Automatic discount</t>
        </is>
      </c>
    </row>
    <row r="39">
      <c r="A39" t="inlineStr">
        <is>
          <t>Other GCP Services</t>
        </is>
      </c>
      <c r="F39" s="216" t="n"/>
      <c r="G39" s="216" t="n">
        <v>0</v>
      </c>
    </row>
    <row r="40">
      <c r="A40" s="58" t="inlineStr">
        <is>
          <t>GCP TOTAL</t>
        </is>
      </c>
      <c r="B40" s="58" t="n"/>
      <c r="C40" s="58" t="n"/>
      <c r="D40" s="58" t="n"/>
      <c r="E40" s="58" t="n"/>
      <c r="F40" s="268" t="n">
        <v>0</v>
      </c>
      <c r="G40" s="268" t="n">
        <v>0</v>
      </c>
      <c r="H40" s="58" t="n"/>
    </row>
    <row r="42">
      <c r="A42" s="62" t="inlineStr">
        <is>
          <t>PROVIDER COST COMPARISON SUMMARY</t>
        </is>
      </c>
    </row>
    <row r="43">
      <c r="A43" s="92" t="inlineStr">
        <is>
          <t>Provider</t>
        </is>
      </c>
      <c r="B43" s="92" t="inlineStr">
        <is>
          <t>Monthly Cost ($)</t>
        </is>
      </c>
      <c r="C43" s="92" t="inlineStr">
        <is>
          <t>Annual Cost ($)</t>
        </is>
      </c>
      <c r="D43" s="92" t="inlineStr">
        <is>
          <t>% of Lowest</t>
        </is>
      </c>
      <c r="E43" s="92" t="inlineStr">
        <is>
          <t>Variance ($)</t>
        </is>
      </c>
      <c r="F43" s="92" t="inlineStr">
        <is>
          <t>Fit Score</t>
        </is>
      </c>
      <c r="G43" s="92" t="inlineStr">
        <is>
          <t>Weighted Score</t>
        </is>
      </c>
      <c r="H43" s="92" t="inlineStr">
        <is>
          <t>Cost Rank</t>
        </is>
      </c>
    </row>
    <row r="44">
      <c r="A44" s="93" t="inlineStr">
        <is>
          <t>AWS</t>
        </is>
      </c>
      <c r="B44" s="216" t="n">
        <v>0</v>
      </c>
      <c r="C44" s="216" t="n">
        <v>0</v>
      </c>
      <c r="D44" s="1" t="inlineStr">
        <is>
          <t>-</t>
        </is>
      </c>
      <c r="E44" s="216" t="inlineStr">
        <is>
          <t>-</t>
        </is>
      </c>
      <c r="H44" t="inlineStr">
        <is>
          <t>-</t>
        </is>
      </c>
    </row>
    <row r="45">
      <c r="A45" s="94" t="inlineStr">
        <is>
          <t>Azure</t>
        </is>
      </c>
      <c r="B45" s="216" t="n">
        <v>0</v>
      </c>
      <c r="C45" s="216" t="n">
        <v>0</v>
      </c>
      <c r="D45" s="1" t="inlineStr">
        <is>
          <t>-</t>
        </is>
      </c>
      <c r="E45" s="216" t="inlineStr">
        <is>
          <t>-</t>
        </is>
      </c>
      <c r="H45" t="inlineStr">
        <is>
          <t>-</t>
        </is>
      </c>
    </row>
    <row r="46">
      <c r="A46" s="95" t="inlineStr">
        <is>
          <t>GCP</t>
        </is>
      </c>
      <c r="B46" s="216" t="n">
        <v>0</v>
      </c>
      <c r="C46" s="216" t="n">
        <v>0</v>
      </c>
      <c r="D46" s="1" t="inlineStr">
        <is>
          <t>-</t>
        </is>
      </c>
      <c r="E46" s="216" t="inlineStr">
        <is>
          <t>-</t>
        </is>
      </c>
      <c r="H46" t="inlineStr">
        <is>
          <t>-</t>
        </is>
      </c>
    </row>
    <row r="48">
      <c r="A48" s="38" t="inlineStr">
        <is>
          <t>Lowest Cost Provider:</t>
        </is>
      </c>
      <c r="B48" t="inlineStr">
        <is>
          <t>-</t>
        </is>
      </c>
    </row>
    <row r="49">
      <c r="A49" s="38" t="inlineStr">
        <is>
          <t>Annual Savings vs Highest:</t>
        </is>
      </c>
      <c r="B49" s="216" t="n">
        <v>0</v>
      </c>
    </row>
    <row r="50">
      <c r="A50" s="38" t="inlineStr">
        <is>
          <t>Highest Fit Score Provider:</t>
        </is>
      </c>
      <c r="B50" t="inlineStr">
        <is>
          <t>-</t>
        </is>
      </c>
    </row>
    <row r="52">
      <c r="A52" s="96" t="inlineStr">
        <is>
          <t>FIT SCORE &amp; SELECTION CRITERIA — From Evaluation Templates &amp; HyperScaler Selection</t>
        </is>
      </c>
    </row>
    <row r="53">
      <c r="A53" s="97" t="inlineStr">
        <is>
          <t>Metric</t>
        </is>
      </c>
      <c r="B53" s="97" t="inlineStr">
        <is>
          <t>AWS</t>
        </is>
      </c>
      <c r="C53" s="97" t="inlineStr">
        <is>
          <t>Azure</t>
        </is>
      </c>
      <c r="D53" s="97" t="inlineStr">
        <is>
          <t>GCP</t>
        </is>
      </c>
      <c r="E53" s="97" t="inlineStr">
        <is>
          <t>Source Template</t>
        </is>
      </c>
    </row>
    <row r="54">
      <c r="A54" t="inlineStr">
        <is>
          <t>Fit Score (0-100)</t>
        </is>
      </c>
      <c r="E54" t="inlineStr">
        <is>
          <t>[Provider]-Evaluation → Section 5 (D118/D138)</t>
        </is>
      </c>
    </row>
    <row r="55">
      <c r="A55" t="inlineStr">
        <is>
          <t>Weighted Average (1-5)</t>
        </is>
      </c>
      <c r="E55" t="inlineStr">
        <is>
          <t>HyperScaler Selection → ScoringSummary Row 18</t>
        </is>
      </c>
    </row>
    <row r="56">
      <c r="A56" t="inlineStr">
        <is>
          <t>Absolute Score</t>
        </is>
      </c>
      <c r="E56" t="inlineStr">
        <is>
          <t>HyperScaler Selection → ScoringSummary Row 19</t>
        </is>
      </c>
    </row>
    <row r="57">
      <c r="A57" t="inlineStr">
        <is>
          <t>Provider Placing (1-3)</t>
        </is>
      </c>
      <c r="E57" t="inlineStr">
        <is>
          <t>HyperScaler Selection → ScoringSummary Row 20</t>
        </is>
      </c>
    </row>
    <row r="58">
      <c r="A58" t="inlineStr">
        <is>
          <t>Fit % (Score/5)</t>
        </is>
      </c>
      <c r="B58" s="1" t="n"/>
      <c r="C58" s="1" t="n"/>
      <c r="D58" s="1" t="n"/>
      <c r="E58" t="inlineStr">
        <is>
          <t>HyperScaler Selection → Strategic View</t>
        </is>
      </c>
    </row>
    <row r="60">
      <c r="A60" s="98" t="inlineStr">
        <is>
          <t>REGIONAL ASSESSMENT SUMMARY — From Evaluation Templates Section 2</t>
        </is>
      </c>
    </row>
    <row r="61">
      <c r="A61" s="58" t="inlineStr">
        <is>
          <t>Region</t>
        </is>
      </c>
      <c r="B61" s="58" t="inlineStr">
        <is>
          <t>AWS Monthly ($)</t>
        </is>
      </c>
      <c r="C61" s="58" t="inlineStr">
        <is>
          <t>Azure Monthly ($)</t>
        </is>
      </c>
      <c r="D61" s="58" t="inlineStr">
        <is>
          <t>GCP Monthly ($)</t>
        </is>
      </c>
      <c r="E61" s="58" t="inlineStr">
        <is>
          <t>Preferred Provider</t>
        </is>
      </c>
      <c r="F61" s="58" t="inlineStr">
        <is>
          <t>Notes</t>
        </is>
      </c>
    </row>
    <row r="62">
      <c r="A62" t="inlineStr">
        <is>
          <t>Region A (Primary)</t>
        </is>
      </c>
      <c r="B62" s="216" t="n"/>
      <c r="C62" s="216" t="n"/>
      <c r="D62" s="216" t="n"/>
      <c r="E62" t="inlineStr">
        <is>
          <t>-</t>
        </is>
      </c>
      <c r="F62" t="inlineStr">
        <is>
          <t>Enter from Section 2 of each template</t>
        </is>
      </c>
    </row>
    <row r="63">
      <c r="A63" t="inlineStr">
        <is>
          <t>Region B (Secondary)</t>
        </is>
      </c>
      <c r="B63" s="216" t="n"/>
      <c r="C63" s="216" t="n"/>
      <c r="D63" s="216" t="n"/>
      <c r="E63" t="inlineStr">
        <is>
          <t>-</t>
        </is>
      </c>
      <c r="F63" t="inlineStr">
        <is>
          <t>Enter from Section 2 of each template</t>
        </is>
      </c>
    </row>
    <row r="64">
      <c r="A64" t="inlineStr">
        <is>
          <t>Region C (DR)</t>
        </is>
      </c>
      <c r="B64" s="216" t="n"/>
      <c r="C64" s="216" t="n"/>
      <c r="D64" s="216" t="n"/>
      <c r="E64" t="inlineStr">
        <is>
          <t>-</t>
        </is>
      </c>
      <c r="F64" t="inlineStr">
        <is>
          <t>Enter from Section 2 of each template</t>
        </is>
      </c>
    </row>
    <row r="66">
      <c r="A66" s="99" t="inlineStr">
        <is>
          <t>MIGRATION READINESS — From Evaluation Templates &amp; Dependency Mapping</t>
        </is>
      </c>
    </row>
    <row r="67">
      <c r="A67" s="100" t="inlineStr">
        <is>
          <t>Metric</t>
        </is>
      </c>
      <c r="B67" s="100" t="inlineStr">
        <is>
          <t>AWS</t>
        </is>
      </c>
      <c r="C67" s="100" t="inlineStr">
        <is>
          <t>Azure</t>
        </is>
      </c>
      <c r="D67" s="100" t="inlineStr">
        <is>
          <t>GCP</t>
        </is>
      </c>
      <c r="E67" s="100" t="inlineStr">
        <is>
          <t>Source</t>
        </is>
      </c>
    </row>
    <row r="68">
      <c r="A68" t="inlineStr">
        <is>
          <t>Total Servers in Scope</t>
        </is>
      </c>
      <c r="E68" t="inlineStr">
        <is>
          <t>[Provider]-Evaluation → Section 1B</t>
        </is>
      </c>
    </row>
    <row r="69">
      <c r="A69" t="inlineStr">
        <is>
          <t>Servers Ready for Migration</t>
        </is>
      </c>
      <c r="E69" t="inlineStr">
        <is>
          <t>[Provider]-Evaluation → Section 1B</t>
        </is>
      </c>
    </row>
    <row r="70">
      <c r="A70" t="inlineStr">
        <is>
          <t>Migration Readiness %</t>
        </is>
      </c>
      <c r="B70" s="1" t="n"/>
      <c r="C70" s="1" t="n"/>
      <c r="D70" s="1" t="n"/>
      <c r="E70" t="inlineStr">
        <is>
          <t>[Provider]-Evaluation → Section 1B</t>
        </is>
      </c>
    </row>
    <row r="71">
      <c r="A71" t="inlineStr">
        <is>
          <t>EOL Servers (Require Action)</t>
        </is>
      </c>
      <c r="E71" t="inlineStr">
        <is>
          <t>[Provider]-Evaluation → Section 1B</t>
        </is>
      </c>
    </row>
    <row r="72">
      <c r="A72" t="inlineStr">
        <is>
          <t>Dependencies Mapped</t>
        </is>
      </c>
      <c r="E72" t="inlineStr">
        <is>
          <t>Dependency-Mapping → Dashboard</t>
        </is>
      </c>
    </row>
    <row r="74">
      <c r="A74" s="73" t="inlineStr">
        <is>
          <t>📋 DATA ENTRY INSTRUCTIONS — How to Populate This Sheet</t>
        </is>
      </c>
    </row>
    <row r="75">
      <c r="A75" s="55" t="inlineStr">
        <is>
          <t>Step</t>
        </is>
      </c>
      <c r="B75" s="55" t="inlineStr">
        <is>
          <t>Action</t>
        </is>
      </c>
      <c r="C75" s="55" t="inlineStr">
        <is>
          <t>Source File</t>
        </is>
      </c>
      <c r="D75" s="55" t="inlineStr">
        <is>
          <t>Source Location</t>
        </is>
      </c>
      <c r="E75" s="55" t="inlineStr">
        <is>
          <t>Target Cells</t>
        </is>
      </c>
    </row>
    <row r="76">
      <c r="A76" t="n">
        <v>1</v>
      </c>
      <c r="B76" t="inlineStr">
        <is>
          <t>Enter AWS service costs</t>
        </is>
      </c>
      <c r="C76" t="inlineStr">
        <is>
          <t>AWS-Evaluation-Template.xlsx</t>
        </is>
      </c>
      <c r="D76" t="inlineStr">
        <is>
          <t>Section 3: Rows 71-78</t>
        </is>
      </c>
      <c r="E76" t="inlineStr">
        <is>
          <t>F8:F17</t>
        </is>
      </c>
    </row>
    <row r="77">
      <c r="A77" t="n">
        <v>2</v>
      </c>
      <c r="B77" t="inlineStr">
        <is>
          <t>Enter Azure service costs</t>
        </is>
      </c>
      <c r="C77" t="inlineStr">
        <is>
          <t>Azure-Evaluation-Template.xlsx</t>
        </is>
      </c>
      <c r="D77" t="inlineStr">
        <is>
          <t>Section 2: Rows 72-76 &amp; Section 3</t>
        </is>
      </c>
      <c r="E77" t="inlineStr">
        <is>
          <t>F22:F31</t>
        </is>
      </c>
    </row>
    <row r="78">
      <c r="A78" t="n">
        <v>3</v>
      </c>
      <c r="B78" t="inlineStr">
        <is>
          <t>Enter GCP service costs</t>
        </is>
      </c>
      <c r="C78" t="inlineStr">
        <is>
          <t>GCP-Evaluation-Template.xlsx</t>
        </is>
      </c>
      <c r="D78" t="inlineStr">
        <is>
          <t>Section 2: Rows 77-80 &amp; Section 3</t>
        </is>
      </c>
      <c r="E78" t="inlineStr">
        <is>
          <t>F36:F45</t>
        </is>
      </c>
    </row>
    <row r="79">
      <c r="A79" t="n">
        <v>4</v>
      </c>
      <c r="B79" t="inlineStr">
        <is>
          <t>Enter Fit Scores (0-100)</t>
        </is>
      </c>
      <c r="C79" t="inlineStr">
        <is>
          <t>[Provider]-Evaluation-Template.xlsx</t>
        </is>
      </c>
      <c r="D79" t="inlineStr">
        <is>
          <t>Section 5: Row 118 or 138</t>
        </is>
      </c>
      <c r="E79" t="inlineStr">
        <is>
          <t>B60:D60</t>
        </is>
      </c>
    </row>
    <row r="80">
      <c r="A80" t="n">
        <v>5</v>
      </c>
      <c r="B80" t="inlineStr">
        <is>
          <t>Enter Weighted Averages</t>
        </is>
      </c>
      <c r="C80" t="inlineStr">
        <is>
          <t>HyperScaler Selection Criteria.xlsx</t>
        </is>
      </c>
      <c r="D80" t="inlineStr">
        <is>
          <t>ScoringSummary: Row 18</t>
        </is>
      </c>
      <c r="E80" t="inlineStr">
        <is>
          <t>B61:D61</t>
        </is>
      </c>
    </row>
    <row r="81">
      <c r="A81" t="n">
        <v>6</v>
      </c>
      <c r="B81" t="inlineStr">
        <is>
          <t>Enter Regional costs</t>
        </is>
      </c>
      <c r="C81" t="inlineStr">
        <is>
          <t>[Provider]-Evaluation-Template.xlsx</t>
        </is>
      </c>
      <c r="D81" t="inlineStr">
        <is>
          <t>Section 2: Regional Assessment</t>
        </is>
      </c>
      <c r="E81" t="inlineStr">
        <is>
          <t>B68:D70</t>
        </is>
      </c>
    </row>
    <row r="82">
      <c r="A82" t="n">
        <v>7</v>
      </c>
      <c r="B82" t="inlineStr">
        <is>
          <t>Enter Migration Readiness</t>
        </is>
      </c>
      <c r="C82" t="inlineStr">
        <is>
          <t>[Provider]-Evaluation-Template.xlsx</t>
        </is>
      </c>
      <c r="D82" t="inlineStr">
        <is>
          <t>Section 1B: Executive Summary</t>
        </is>
      </c>
      <c r="E82" t="inlineStr">
        <is>
          <t>B74:D78</t>
        </is>
      </c>
    </row>
    <row r="83">
      <c r="A83" t="n">
        <v>8</v>
      </c>
      <c r="B83" t="inlineStr">
        <is>
          <t>Review auto-calculated summaries</t>
        </is>
      </c>
      <c r="C83" t="inlineStr">
        <is>
          <t>This sheet</t>
        </is>
      </c>
      <c r="D83" t="inlineStr">
        <is>
          <t>Rows 48-56</t>
        </is>
      </c>
      <c r="E83" t="inlineStr">
        <is>
          <t>Auto-updates</t>
        </is>
      </c>
    </row>
    <row r="85">
      <c r="A85" s="49" t="inlineStr">
        <is>
          <t>⚠️ IMPORTANT: Since external workbooks cannot be directly linked via formulas, manually copy values from the source templates listed above.</t>
        </is>
      </c>
    </row>
    <row r="86">
      <c r="A86" s="49" t="inlineStr">
        <is>
          <t>💡 TIP: All annual costs auto-calculate (Monthly × 12). Comparison metrics in rows 48-56 update automatically when data is entered.</t>
        </is>
      </c>
    </row>
    <row r="88">
      <c r="A88" s="56" t="inlineStr">
        <is>
          <t>📊 DETAILED FIELD MAPPING REFERENCE — Source Template Locations</t>
        </is>
      </c>
    </row>
    <row r="89">
      <c r="A89" s="88" t="inlineStr">
        <is>
          <t>AWS-Evaluation-Template.xlsx</t>
        </is>
      </c>
      <c r="B89" s="88" t="n"/>
      <c r="C89" s="88" t="n"/>
      <c r="D89" s="88" t="n"/>
    </row>
    <row r="90">
      <c r="A90" s="38" t="inlineStr">
        <is>
          <t>Field</t>
        </is>
      </c>
      <c r="B90" s="38" t="inlineStr">
        <is>
          <t>Sheet</t>
        </is>
      </c>
      <c r="C90" s="38" t="inlineStr">
        <is>
          <t>Row/Cell</t>
        </is>
      </c>
      <c r="D90" s="38" t="inlineStr">
        <is>
          <t>Description</t>
        </is>
      </c>
    </row>
    <row r="91">
      <c r="A91" t="inlineStr">
        <is>
          <t>EC2 Monthly Cost</t>
        </is>
      </c>
      <c r="B91" t="inlineStr">
        <is>
          <t>AWS Evaluation</t>
        </is>
      </c>
      <c r="C91" t="inlineStr">
        <is>
          <t>D71</t>
        </is>
      </c>
      <c r="D91" t="inlineStr">
        <is>
          <t>EC2 Instances monthly</t>
        </is>
      </c>
    </row>
    <row r="92">
      <c r="A92" t="inlineStr">
        <is>
          <t>RDS Monthly Cost</t>
        </is>
      </c>
      <c r="B92" t="inlineStr">
        <is>
          <t>AWS Evaluation</t>
        </is>
      </c>
      <c r="C92" t="inlineStr">
        <is>
          <t>D72</t>
        </is>
      </c>
      <c r="D92" t="inlineStr">
        <is>
          <t>RDS Databases monthly</t>
        </is>
      </c>
    </row>
    <row r="93">
      <c r="A93" t="inlineStr">
        <is>
          <t>Storage Costs</t>
        </is>
      </c>
      <c r="B93" t="inlineStr">
        <is>
          <t>AWS Evaluation</t>
        </is>
      </c>
      <c r="C93" t="inlineStr">
        <is>
          <t>D73-D74</t>
        </is>
      </c>
      <c r="D93" t="inlineStr">
        <is>
          <t>EBS + S3 monthly</t>
        </is>
      </c>
    </row>
    <row r="94">
      <c r="A94" t="inlineStr">
        <is>
          <t>Data Transfer</t>
        </is>
      </c>
      <c r="B94" t="inlineStr">
        <is>
          <t>AWS Evaluation</t>
        </is>
      </c>
      <c r="C94" t="inlineStr">
        <is>
          <t>D75</t>
        </is>
      </c>
      <c r="D94" t="inlineStr">
        <is>
          <t>Egress costs</t>
        </is>
      </c>
    </row>
    <row r="95">
      <c r="A95" t="inlineStr">
        <is>
          <t>AWS Fit Score</t>
        </is>
      </c>
      <c r="B95" t="inlineStr">
        <is>
          <t>AWS Evaluation</t>
        </is>
      </c>
      <c r="C95" t="inlineStr">
        <is>
          <t>D118</t>
        </is>
      </c>
      <c r="D95" t="inlineStr">
        <is>
          <t>Weighted fit score /100</t>
        </is>
      </c>
    </row>
    <row r="96">
      <c r="A96" t="inlineStr">
        <is>
          <t>Regional Costs</t>
        </is>
      </c>
      <c r="B96" t="inlineStr">
        <is>
          <t>AWS Evaluation</t>
        </is>
      </c>
      <c r="C96" t="inlineStr">
        <is>
          <t>B50:D50</t>
        </is>
      </c>
      <c r="D96" t="inlineStr">
        <is>
          <t>London/Ireland/Frankfurt</t>
        </is>
      </c>
    </row>
    <row r="98">
      <c r="A98" s="90" t="inlineStr">
        <is>
          <t>Azure-Evaluation-Template.xlsx</t>
        </is>
      </c>
      <c r="B98" s="90" t="n"/>
      <c r="C98" s="90" t="n"/>
      <c r="D98" s="90" t="n"/>
    </row>
    <row r="99">
      <c r="A99" s="38" t="inlineStr">
        <is>
          <t>Field</t>
        </is>
      </c>
      <c r="B99" s="38" t="inlineStr">
        <is>
          <t>Sheet</t>
        </is>
      </c>
      <c r="C99" s="38" t="inlineStr">
        <is>
          <t>Row/Cell</t>
        </is>
      </c>
      <c r="D99" s="38" t="inlineStr">
        <is>
          <t>Description</t>
        </is>
      </c>
    </row>
    <row r="100">
      <c r="A100" t="inlineStr">
        <is>
          <t>Compute Cost</t>
        </is>
      </c>
      <c r="B100" t="inlineStr">
        <is>
          <t>Azure Evaluation</t>
        </is>
      </c>
      <c r="C100" t="inlineStr">
        <is>
          <t>B72</t>
        </is>
      </c>
      <c r="D100" t="inlineStr">
        <is>
          <t>Monthly VM costs</t>
        </is>
      </c>
    </row>
    <row r="101">
      <c r="A101" t="inlineStr">
        <is>
          <t>Storage Cost</t>
        </is>
      </c>
      <c r="B101" t="inlineStr">
        <is>
          <t>Azure Evaluation</t>
        </is>
      </c>
      <c r="C101" t="inlineStr">
        <is>
          <t>B73</t>
        </is>
      </c>
      <c r="D101" t="inlineStr">
        <is>
          <t>Monthly storage</t>
        </is>
      </c>
    </row>
    <row r="102">
      <c r="A102" t="inlineStr">
        <is>
          <t>Database Cost</t>
        </is>
      </c>
      <c r="B102" t="inlineStr">
        <is>
          <t>Azure Evaluation</t>
        </is>
      </c>
      <c r="C102" t="inlineStr">
        <is>
          <t>B74</t>
        </is>
      </c>
      <c r="D102" t="inlineStr">
        <is>
          <t>SQL/Cosmos monthly</t>
        </is>
      </c>
    </row>
    <row r="103">
      <c r="A103" t="inlineStr">
        <is>
          <t>AHB Savings</t>
        </is>
      </c>
      <c r="B103" t="inlineStr">
        <is>
          <t>Azure Evaluation</t>
        </is>
      </c>
      <c r="C103" t="inlineStr">
        <is>
          <t>B99-B101</t>
        </is>
      </c>
      <c r="D103" t="inlineStr">
        <is>
          <t>Hybrid Benefit savings</t>
        </is>
      </c>
    </row>
    <row r="104">
      <c r="A104" t="inlineStr">
        <is>
          <t>Azure Fit Score</t>
        </is>
      </c>
      <c r="B104" t="inlineStr">
        <is>
          <t>Azure Evaluation</t>
        </is>
      </c>
      <c r="C104" t="inlineStr">
        <is>
          <t>D138</t>
        </is>
      </c>
      <c r="D104" t="inlineStr">
        <is>
          <t>Weighted fit score /100</t>
        </is>
      </c>
    </row>
    <row r="105">
      <c r="A105" t="inlineStr">
        <is>
          <t>Regional Costs</t>
        </is>
      </c>
      <c r="B105" t="inlineStr">
        <is>
          <t>Azure Evaluation</t>
        </is>
      </c>
      <c r="C105" t="inlineStr">
        <is>
          <t>B72:D79</t>
        </is>
      </c>
      <c r="D105" t="inlineStr">
        <is>
          <t>Region A/B/C</t>
        </is>
      </c>
    </row>
    <row r="107">
      <c r="A107" s="30" t="inlineStr">
        <is>
          <t>GCP-Evaluation-Template.xlsx</t>
        </is>
      </c>
      <c r="B107" s="30" t="n"/>
      <c r="C107" s="30" t="n"/>
      <c r="D107" s="30" t="n"/>
    </row>
    <row r="108">
      <c r="A108" s="38" t="inlineStr">
        <is>
          <t>Field</t>
        </is>
      </c>
      <c r="B108" s="38" t="inlineStr">
        <is>
          <t>Sheet</t>
        </is>
      </c>
      <c r="C108" s="38" t="inlineStr">
        <is>
          <t>Row/Cell</t>
        </is>
      </c>
      <c r="D108" s="38" t="inlineStr">
        <is>
          <t>Description</t>
        </is>
      </c>
    </row>
    <row r="109">
      <c r="A109" t="inlineStr">
        <is>
          <t>Compute Cost</t>
        </is>
      </c>
      <c r="B109" t="inlineStr">
        <is>
          <t>GCP Evaluation</t>
        </is>
      </c>
      <c r="C109" t="inlineStr">
        <is>
          <t>B77</t>
        </is>
      </c>
      <c r="D109" t="inlineStr">
        <is>
          <t>Monthly GCE/GKE</t>
        </is>
      </c>
    </row>
    <row r="110">
      <c r="A110" t="inlineStr">
        <is>
          <t>Storage Cost</t>
        </is>
      </c>
      <c r="B110" t="inlineStr">
        <is>
          <t>GCP Evaluation</t>
        </is>
      </c>
      <c r="C110" t="inlineStr">
        <is>
          <t>B78</t>
        </is>
      </c>
      <c r="D110" t="inlineStr">
        <is>
          <t>Monthly Cloud Storage</t>
        </is>
      </c>
    </row>
    <row r="111">
      <c r="A111" t="inlineStr">
        <is>
          <t>Database Cost</t>
        </is>
      </c>
      <c r="B111" t="inlineStr">
        <is>
          <t>GCP Evaluation</t>
        </is>
      </c>
      <c r="C111" t="inlineStr">
        <is>
          <t>B79</t>
        </is>
      </c>
      <c r="D111" t="inlineStr">
        <is>
          <t>Cloud SQL monthly</t>
        </is>
      </c>
    </row>
    <row r="112">
      <c r="A112" t="inlineStr">
        <is>
          <t>CUD/SUD Savings</t>
        </is>
      </c>
      <c r="B112" t="inlineStr">
        <is>
          <t>GCP Evaluation</t>
        </is>
      </c>
      <c r="C112" t="inlineStr">
        <is>
          <t>B99-B103</t>
        </is>
      </c>
      <c r="D112" t="inlineStr">
        <is>
          <t>Commitment discounts</t>
        </is>
      </c>
    </row>
    <row r="113">
      <c r="A113" t="inlineStr">
        <is>
          <t>GCP Fit Score</t>
        </is>
      </c>
      <c r="B113" t="inlineStr">
        <is>
          <t>GCP Evaluation</t>
        </is>
      </c>
      <c r="C113" t="inlineStr">
        <is>
          <t>D141</t>
        </is>
      </c>
      <c r="D113" t="inlineStr">
        <is>
          <t>Weighted fit score /100</t>
        </is>
      </c>
    </row>
    <row r="114">
      <c r="A114" t="inlineStr">
        <is>
          <t>Regional Costs</t>
        </is>
      </c>
      <c r="B114" t="inlineStr">
        <is>
          <t>GCP Evaluation</t>
        </is>
      </c>
      <c r="C114" t="inlineStr">
        <is>
          <t>B77:D84</t>
        </is>
      </c>
      <c r="D114" t="inlineStr">
        <is>
          <t>Region A/B/C</t>
        </is>
      </c>
    </row>
    <row r="116">
      <c r="A116" s="101" t="inlineStr">
        <is>
          <t>HyperScalar Weighted Selection Criteria.xlsx</t>
        </is>
      </c>
      <c r="B116" s="101" t="n"/>
      <c r="C116" s="101" t="n"/>
      <c r="D116" s="101" t="n"/>
    </row>
    <row r="117">
      <c r="A117" s="38" t="inlineStr">
        <is>
          <t>Field</t>
        </is>
      </c>
      <c r="B117" s="38" t="inlineStr">
        <is>
          <t>Sheet</t>
        </is>
      </c>
      <c r="C117" s="38" t="inlineStr">
        <is>
          <t>Row/Cell</t>
        </is>
      </c>
      <c r="D117" s="38" t="inlineStr">
        <is>
          <t>Description</t>
        </is>
      </c>
    </row>
    <row r="118">
      <c r="A118" t="inlineStr">
        <is>
          <t>AWS Weighted Avg</t>
        </is>
      </c>
      <c r="B118" t="inlineStr">
        <is>
          <t>ScoringSummary</t>
        </is>
      </c>
      <c r="C118" t="inlineStr">
        <is>
          <t>C18</t>
        </is>
      </c>
      <c r="D118" t="inlineStr">
        <is>
          <t>Weighted average (1-5)</t>
        </is>
      </c>
    </row>
    <row r="119">
      <c r="A119" t="inlineStr">
        <is>
          <t>Azure Weighted Avg</t>
        </is>
      </c>
      <c r="B119" t="inlineStr">
        <is>
          <t>ScoringSummary</t>
        </is>
      </c>
      <c r="C119" t="inlineStr">
        <is>
          <t>D18</t>
        </is>
      </c>
      <c r="D119" t="inlineStr">
        <is>
          <t>Weighted average (1-5)</t>
        </is>
      </c>
    </row>
    <row r="120">
      <c r="A120" t="inlineStr">
        <is>
          <t>GCP Weighted Avg</t>
        </is>
      </c>
      <c r="B120" t="inlineStr">
        <is>
          <t>ScoringSummary</t>
        </is>
      </c>
      <c r="C120" t="inlineStr">
        <is>
          <t>E18</t>
        </is>
      </c>
      <c r="D120" t="inlineStr">
        <is>
          <t>Weighted average (1-5)</t>
        </is>
      </c>
    </row>
    <row r="121">
      <c r="A121" t="inlineStr">
        <is>
          <t>Provider Placing</t>
        </is>
      </c>
      <c r="B121" t="inlineStr">
        <is>
          <t>ScoringSummary</t>
        </is>
      </c>
      <c r="C121" t="inlineStr">
        <is>
          <t>F20:H20</t>
        </is>
      </c>
      <c r="D121" t="inlineStr">
        <is>
          <t>Cost rank 1-3</t>
        </is>
      </c>
    </row>
    <row r="122">
      <c r="A122" t="inlineStr">
        <is>
          <t>Strategic View</t>
        </is>
      </c>
      <c r="B122" t="inlineStr">
        <is>
          <t>Strategic View</t>
        </is>
      </c>
      <c r="C122" t="inlineStr">
        <is>
          <t>All</t>
        </is>
      </c>
      <c r="D122" t="inlineStr">
        <is>
          <t>Full comparison matrix</t>
        </is>
      </c>
    </row>
    <row r="124">
      <c r="A124" s="102" t="inlineStr">
        <is>
          <t>Dependency-Mapping-Template.xlsx</t>
        </is>
      </c>
      <c r="B124" s="102" t="n"/>
      <c r="C124" s="102" t="n"/>
      <c r="D124" s="102" t="n"/>
    </row>
    <row r="125">
      <c r="A125" s="38" t="inlineStr">
        <is>
          <t>Field</t>
        </is>
      </c>
      <c r="B125" s="38" t="inlineStr">
        <is>
          <t>Sheet</t>
        </is>
      </c>
      <c r="C125" s="38" t="inlineStr">
        <is>
          <t>Row/Cell</t>
        </is>
      </c>
      <c r="D125" s="38" t="inlineStr">
        <is>
          <t>Description</t>
        </is>
      </c>
    </row>
    <row r="126">
      <c r="A126" t="inlineStr">
        <is>
          <t>Total Servers</t>
        </is>
      </c>
      <c r="B126" t="inlineStr">
        <is>
          <t>Dashboard</t>
        </is>
      </c>
      <c r="C126" t="inlineStr">
        <is>
          <t>B13</t>
        </is>
      </c>
      <c r="D126" t="inlineStr">
        <is>
          <t>Server count discovered</t>
        </is>
      </c>
    </row>
    <row r="127">
      <c r="A127" t="inlineStr">
        <is>
          <t>Network Connections</t>
        </is>
      </c>
      <c r="B127" t="inlineStr">
        <is>
          <t>Dashboard</t>
        </is>
      </c>
      <c r="C127" t="inlineStr">
        <is>
          <t>B14</t>
        </is>
      </c>
      <c r="D127" t="inlineStr">
        <is>
          <t>Dependencies mapped</t>
        </is>
      </c>
    </row>
    <row r="128">
      <c r="A128" t="inlineStr">
        <is>
          <t>App Dependencies</t>
        </is>
      </c>
      <c r="B128" t="inlineStr">
        <is>
          <t>Dashboard</t>
        </is>
      </c>
      <c r="C128" t="inlineStr">
        <is>
          <t>B15</t>
        </is>
      </c>
      <c r="D128" t="inlineStr">
        <is>
          <t>App-to-app links</t>
        </is>
      </c>
    </row>
    <row r="129">
      <c r="A129" t="inlineStr">
        <is>
          <t>Criticality Analysis</t>
        </is>
      </c>
      <c r="B129" t="inlineStr">
        <is>
          <t>Dashboard</t>
        </is>
      </c>
      <c r="C129" t="inlineStr">
        <is>
          <t>B26-B29</t>
        </is>
      </c>
      <c r="D129" t="inlineStr">
        <is>
          <t>Critical/High/Med/Low</t>
        </is>
      </c>
    </row>
  </sheetData>
  <mergeCells count="13">
    <mergeCell ref="A18:H18"/>
    <mergeCell ref="A30:H30"/>
    <mergeCell ref="A86:H86"/>
    <mergeCell ref="A2:H2"/>
    <mergeCell ref="A52:H52"/>
    <mergeCell ref="A85:H85"/>
    <mergeCell ref="A42:H42"/>
    <mergeCell ref="A60:H60"/>
    <mergeCell ref="A66:H66"/>
    <mergeCell ref="A1:H1"/>
    <mergeCell ref="A6:H6"/>
    <mergeCell ref="A74:H74"/>
    <mergeCell ref="A88:H8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30" customWidth="1" style="21" min="1" max="1"/>
    <col width="25" customWidth="1" style="21" min="2" max="2"/>
    <col width="22" customWidth="1" style="21" min="3" max="3"/>
    <col width="40" customWidth="1" style="21" min="4" max="4"/>
    <col width="22" customWidth="1" style="21" min="5" max="5"/>
    <col width="18" customWidth="1" style="21" min="6" max="6"/>
    <col width="18" customWidth="1" style="21" min="7" max="7"/>
  </cols>
  <sheetData>
    <row r="1">
      <c r="A1" s="269" t="inlineStr">
        <is>
          <t>TCO Layer (d) — Licensing Overlay: AHB, BYOL, Oracle, EoL ESU</t>
        </is>
      </c>
    </row>
    <row r="2">
      <c r="A2" s="270" t="inlineStr">
        <is>
          <t>Section 1: Windows Server — Azure Hybrid Benefit</t>
        </is>
      </c>
    </row>
    <row r="3">
      <c r="A3" s="271" t="inlineStr">
        <is>
          <t>Licence Type</t>
        </is>
      </c>
      <c r="B3" s="271" t="inlineStr">
        <is>
          <t>Volume</t>
        </is>
      </c>
      <c r="C3" s="271" t="inlineStr">
        <is>
          <t>Current Annual Cost</t>
        </is>
      </c>
      <c r="D3" s="271" t="inlineStr">
        <is>
          <t>Cloud Scenario</t>
        </is>
      </c>
      <c r="E3" s="271" t="inlineStr">
        <is>
          <t>Optimised Annual Cost</t>
        </is>
      </c>
      <c r="F3" s="271" t="inlineStr">
        <is>
          <t>Annual Saving</t>
        </is>
      </c>
      <c r="G3" s="271" t="inlineStr">
        <is>
          <t>3yr Saving</t>
        </is>
      </c>
    </row>
    <row r="4">
      <c r="A4" s="272" t="inlineStr">
        <is>
          <t>Windows Server Standard (AHB — Azure)</t>
        </is>
      </c>
      <c r="B4" s="272" t="inlineStr">
        <is>
          <t>[N from infrastructure-profiling]</t>
        </is>
      </c>
      <c r="C4" s="272" t="inlineStr">
        <is>
          <t>£/$ [X]</t>
        </is>
      </c>
      <c r="D4" s="272" t="inlineStr">
        <is>
          <t>AHB + 3yr RI</t>
        </is>
      </c>
      <c r="E4" s="272" t="inlineStr">
        <is>
          <t>£/$ [X]</t>
        </is>
      </c>
      <c r="F4" s="272" t="inlineStr">
        <is>
          <t>£/$ [X]</t>
        </is>
      </c>
      <c r="G4" s="272" t="inlineStr">
        <is>
          <t>£/$ [X]</t>
        </is>
      </c>
    </row>
    <row r="5">
      <c r="A5" s="273" t="inlineStr">
        <is>
          <t>Windows Server Datacenter (AHB — Azure)</t>
        </is>
      </c>
      <c r="B5" s="273" t="inlineStr">
        <is>
          <t>[N]</t>
        </is>
      </c>
      <c r="C5" s="273" t="inlineStr">
        <is>
          <t>£/$ [X]</t>
        </is>
      </c>
      <c r="D5" s="273" t="inlineStr">
        <is>
          <t>AHB + 3yr RI</t>
        </is>
      </c>
      <c r="E5" s="273" t="inlineStr">
        <is>
          <t>£/$ [X]</t>
        </is>
      </c>
      <c r="F5" s="273" t="inlineStr">
        <is>
          <t>£/$ [X]</t>
        </is>
      </c>
      <c r="G5" s="273" t="inlineStr">
        <is>
          <t>£/$ [X]</t>
        </is>
      </c>
    </row>
    <row r="7">
      <c r="A7" s="270" t="inlineStr">
        <is>
          <t>Section 2: SQL Server — Azure Hybrid Benefit</t>
        </is>
      </c>
    </row>
    <row r="8">
      <c r="A8" s="271" t="inlineStr">
        <is>
          <t>Licence Type</t>
        </is>
      </c>
      <c r="B8" s="271" t="inlineStr">
        <is>
          <t>Volume</t>
        </is>
      </c>
      <c r="C8" s="271" t="inlineStr">
        <is>
          <t>Current Annual Cost</t>
        </is>
      </c>
      <c r="D8" s="271" t="inlineStr">
        <is>
          <t>Cloud Scenario</t>
        </is>
      </c>
      <c r="E8" s="271" t="inlineStr">
        <is>
          <t>Optimised Annual Cost</t>
        </is>
      </c>
      <c r="F8" s="271" t="inlineStr">
        <is>
          <t>Annual Saving</t>
        </is>
      </c>
      <c r="G8" s="271" t="inlineStr">
        <is>
          <t>3yr Saving</t>
        </is>
      </c>
    </row>
    <row r="9">
      <c r="A9" s="274" t="inlineStr">
        <is>
          <t>SQL Server Standard (AHB — Azure)</t>
        </is>
      </c>
      <c r="B9" s="274" t="inlineStr">
        <is>
          <t>[N from infrastructure-profiling]</t>
        </is>
      </c>
      <c r="C9" s="274" t="inlineStr">
        <is>
          <t>£/$ [X]</t>
        </is>
      </c>
      <c r="D9" s="274" t="inlineStr">
        <is>
          <t>AHB + 3yr RI</t>
        </is>
      </c>
      <c r="E9" s="274" t="inlineStr">
        <is>
          <t>£/$ [X]</t>
        </is>
      </c>
      <c r="F9" s="274" t="inlineStr">
        <is>
          <t>£/$ [X]</t>
        </is>
      </c>
      <c r="G9" s="274" t="inlineStr">
        <is>
          <t>£/$ [X]</t>
        </is>
      </c>
    </row>
    <row r="10">
      <c r="A10" s="275" t="inlineStr">
        <is>
          <t>SQL Server Enterprise (AHB — Azure)</t>
        </is>
      </c>
      <c r="B10" s="275" t="inlineStr">
        <is>
          <t>[N]</t>
        </is>
      </c>
      <c r="C10" s="275" t="inlineStr">
        <is>
          <t>£/$ [X]</t>
        </is>
      </c>
      <c r="D10" s="275" t="inlineStr">
        <is>
          <t>AHB + 3yr RI</t>
        </is>
      </c>
      <c r="E10" s="275" t="inlineStr">
        <is>
          <t>£/$ [X]</t>
        </is>
      </c>
      <c r="F10" s="275" t="inlineStr">
        <is>
          <t>£/$ [X]</t>
        </is>
      </c>
      <c r="G10" s="275" t="inlineStr">
        <is>
          <t>£/$ [X]</t>
        </is>
      </c>
    </row>
    <row r="12">
      <c r="A12" s="276" t="inlineStr">
        <is>
          <t>Section 3: Oracle — BYOL (Bring Your Own Licence)</t>
        </is>
      </c>
    </row>
    <row r="13">
      <c r="A13" s="271" t="inlineStr">
        <is>
          <t>Licence Type</t>
        </is>
      </c>
      <c r="B13" s="271" t="inlineStr">
        <is>
          <t>Volume</t>
        </is>
      </c>
      <c r="C13" s="271" t="inlineStr">
        <is>
          <t>Current Annual Cost</t>
        </is>
      </c>
      <c r="D13" s="271" t="inlineStr">
        <is>
          <t>Cloud Scenario</t>
        </is>
      </c>
      <c r="E13" s="271" t="inlineStr">
        <is>
          <t>Optimised Annual Cost</t>
        </is>
      </c>
      <c r="F13" s="271" t="inlineStr">
        <is>
          <t>Annual Saving</t>
        </is>
      </c>
      <c r="G13" s="271" t="inlineStr">
        <is>
          <t>3yr Saving</t>
        </is>
      </c>
    </row>
    <row r="14">
      <c r="A14" s="272" t="inlineStr">
        <is>
          <t>Oracle SE2 (BYOL)</t>
        </is>
      </c>
      <c r="B14" s="272" t="inlineStr">
        <is>
          <t>[N instances]</t>
        </is>
      </c>
      <c r="C14" s="272" t="inlineStr">
        <is>
          <t>£/$ [X]</t>
        </is>
      </c>
      <c r="D14" s="272" t="inlineStr">
        <is>
          <t>BYOL on [Azure VM / AWS EC2 / GCP GCE]</t>
        </is>
      </c>
      <c r="E14" s="272" t="inlineStr">
        <is>
          <t>£/$ [X]</t>
        </is>
      </c>
      <c r="F14" s="272" t="inlineStr">
        <is>
          <t>£/$ [X]</t>
        </is>
      </c>
      <c r="G14" s="272" t="inlineStr">
        <is>
          <t>£/$ [X]</t>
        </is>
      </c>
    </row>
    <row r="15">
      <c r="A15" s="273" t="inlineStr">
        <is>
          <t>Oracle EE (BYOL — Processor)</t>
        </is>
      </c>
      <c r="B15" s="273" t="inlineStr">
        <is>
          <t>[N cores]</t>
        </is>
      </c>
      <c r="C15" s="273" t="inlineStr">
        <is>
          <t>£/$ [X]</t>
        </is>
      </c>
      <c r="D15" s="273" t="inlineStr">
        <is>
          <t>BYOL on dedicated hosts (verify cloud rules)</t>
        </is>
      </c>
      <c r="E15" s="273" t="inlineStr">
        <is>
          <t>£/$ [X]</t>
        </is>
      </c>
      <c r="F15" s="273" t="inlineStr">
        <is>
          <t>£/$ [X]</t>
        </is>
      </c>
      <c r="G15" s="273" t="inlineStr">
        <is>
          <t>£/$ [X]</t>
        </is>
      </c>
    </row>
    <row r="16">
      <c r="A16" s="272" t="inlineStr">
        <is>
          <t>Oracle RAC</t>
        </is>
      </c>
      <c r="B16" s="272" t="inlineStr">
        <is>
          <t>[N nodes]</t>
        </is>
      </c>
      <c r="C16" s="272" t="inlineStr">
        <is>
          <t>£/$ [X]</t>
        </is>
      </c>
      <c r="D16" s="272" t="inlineStr">
        <is>
          <t>AVS (Azure) / Dedicated host (AWS) / Bare Metal (GCP)</t>
        </is>
      </c>
      <c r="E16" s="272" t="inlineStr">
        <is>
          <t>£/$ [X]</t>
        </is>
      </c>
      <c r="F16" s="272" t="inlineStr">
        <is>
          <t>£/$ [X]</t>
        </is>
      </c>
      <c r="G16" s="272" t="inlineStr">
        <is>
          <t>Engage Oracle Practice Lead</t>
        </is>
      </c>
    </row>
    <row r="18">
      <c r="A18" s="277" t="inlineStr">
        <is>
          <t>Section 4: EoL OS Extended Security Updates (ESU) — Azure ESU is FREE, AWS/GCP ESU is PAID</t>
        </is>
      </c>
    </row>
    <row r="19">
      <c r="A19" s="271" t="inlineStr">
        <is>
          <t>Licence Type</t>
        </is>
      </c>
      <c r="B19" s="271" t="inlineStr">
        <is>
          <t>Volume</t>
        </is>
      </c>
      <c r="C19" s="271" t="inlineStr">
        <is>
          <t>Current Annual Cost</t>
        </is>
      </c>
      <c r="D19" s="271" t="inlineStr">
        <is>
          <t>Cloud Scenario</t>
        </is>
      </c>
      <c r="E19" s="271" t="inlineStr">
        <is>
          <t>Optimised Annual Cost</t>
        </is>
      </c>
      <c r="F19" s="271" t="inlineStr">
        <is>
          <t>Annual Saving</t>
        </is>
      </c>
      <c r="G19" s="271" t="inlineStr">
        <is>
          <t>3yr Saving</t>
        </is>
      </c>
    </row>
    <row r="20" ht="30" customHeight="1" s="21">
      <c r="A20" s="272" t="inlineStr">
        <is>
          <t>Windows Server 2012/R2 ESU</t>
        </is>
      </c>
      <c r="B20" s="272" t="inlineStr">
        <is>
          <t>[N from infrastructure-profiling]</t>
        </is>
      </c>
      <c r="C20" s="272" t="inlineStr">
        <is>
          <t>N/A (not yet in cloud)</t>
        </is>
      </c>
      <c r="D20" s="272" t="inlineStr">
        <is>
          <t>Azure: FREE  |  AWS/GCP: ~£100-200/server/yr</t>
        </is>
      </c>
      <c r="E20" s="272" t="inlineStr">
        <is>
          <t>£0 (Azure) OR £[X] (AWS/GCP)</t>
        </is>
      </c>
      <c r="F20" s="272" t="inlineStr">
        <is>
          <t>£[X] per server</t>
        </is>
      </c>
      <c r="G20" s="272" t="inlineStr">
        <is>
          <t>[N] x £[X] x 3yr</t>
        </is>
      </c>
    </row>
    <row r="21" ht="30" customHeight="1" s="21">
      <c r="A21" s="273" t="inlineStr">
        <is>
          <t>SQL Server 2012/2014 ESU</t>
        </is>
      </c>
      <c r="B21" s="273" t="inlineStr">
        <is>
          <t>[N]</t>
        </is>
      </c>
      <c r="C21" s="273" t="inlineStr">
        <is>
          <t>N/A</t>
        </is>
      </c>
      <c r="D21" s="273" t="inlineStr">
        <is>
          <t>Azure: FREE  |  AWS/GCP: ~£100-200/server/yr</t>
        </is>
      </c>
      <c r="E21" s="273" t="inlineStr">
        <is>
          <t>£0 (Azure) OR £[X]</t>
        </is>
      </c>
      <c r="F21" s="273" t="inlineStr">
        <is>
          <t>£[X] per server</t>
        </is>
      </c>
      <c r="G21" s="273" t="inlineStr">
        <is>
          <t>[N] x £[X] x 3yr</t>
        </is>
      </c>
    </row>
    <row r="23">
      <c r="A23" s="278" t="inlineStr">
        <is>
          <t>TOTAL LICENSING OVERLAY SAVING</t>
        </is>
      </c>
      <c r="G23" s="279">
        <f>SUM([Saving rows])</f>
        <v/>
      </c>
    </row>
  </sheetData>
  <mergeCells count="6">
    <mergeCell ref="A1:G1"/>
    <mergeCell ref="A18:G18"/>
    <mergeCell ref="A23:F23"/>
    <mergeCell ref="A12:G12"/>
    <mergeCell ref="A2:G2"/>
    <mergeCell ref="A7:G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35" customWidth="1" style="21" min="1" max="1"/>
    <col width="22" customWidth="1" style="21" min="2" max="2"/>
    <col width="18" customWidth="1" style="21" min="3" max="3"/>
    <col width="18" customWidth="1" style="21" min="4" max="4"/>
    <col width="18" customWidth="1" style="21" min="5" max="5"/>
    <col width="18" customWidth="1" style="21" min="6" max="6"/>
    <col width="40" customWidth="1" style="21" min="7" max="7"/>
  </cols>
  <sheetData>
    <row r="1">
      <c r="A1" s="269" t="inlineStr">
        <is>
          <t>TCO Layer (e) — On-Premises Status Quo: True Cost of Staying On-Premises (3-Year)</t>
        </is>
      </c>
    </row>
    <row r="2" ht="45" customHeight="1" s="21">
      <c r="A2" s="280" t="inlineStr">
        <is>
          <t>IMPORTANT: This is the most frequently underestimated element of the TCO comparison. Include hardware refresh, data centre costs, VMware licence renewal, and OS support costs. When customers see their actual 3yr on-prem cost including hardware refresh, the cloud comparison changes significantly.</t>
        </is>
      </c>
    </row>
    <row r="3">
      <c r="A3" s="271" t="inlineStr">
        <is>
          <t>Cost Category</t>
        </is>
      </c>
      <c r="B3" s="271" t="inlineStr">
        <is>
          <t>Current Annual Cost</t>
        </is>
      </c>
      <c r="C3" s="271" t="inlineStr">
        <is>
          <t>Year 1</t>
        </is>
      </c>
      <c r="D3" s="271" t="inlineStr">
        <is>
          <t>Year 2</t>
        </is>
      </c>
      <c r="E3" s="271" t="inlineStr">
        <is>
          <t>Year 3</t>
        </is>
      </c>
      <c r="F3" s="271" t="inlineStr">
        <is>
          <t>3-Year Total</t>
        </is>
      </c>
      <c r="G3" s="271" t="inlineStr">
        <is>
          <t>Notes</t>
        </is>
      </c>
    </row>
    <row r="4" ht="22" customHeight="1" s="21">
      <c r="A4" s="272" t="inlineStr">
        <is>
          <t>Hardware — Server refresh / maintenance</t>
        </is>
      </c>
      <c r="B4" s="272" t="inlineStr">
        <is>
          <t>£/$ [X]</t>
        </is>
      </c>
      <c r="C4" s="272" t="inlineStr">
        <is>
          <t>£/$ [X]</t>
        </is>
      </c>
      <c r="D4" s="272" t="inlineStr">
        <is>
          <t>£/$ [X]</t>
        </is>
      </c>
      <c r="E4" s="272" t="inlineStr">
        <is>
          <t>£/$ [X]</t>
        </is>
      </c>
      <c r="F4" s="272">
        <f>SUM(C4:E4)</f>
        <v/>
      </c>
      <c r="G4" s="272" t="inlineStr">
        <is>
          <t>Include end of HW support contracts</t>
        </is>
      </c>
    </row>
    <row r="5" ht="22" customHeight="1" s="21">
      <c r="A5" s="273" t="inlineStr">
        <is>
          <t>Data Centre — Colocation / facilities</t>
        </is>
      </c>
      <c r="B5" s="273" t="inlineStr">
        <is>
          <t>£/$ [X]</t>
        </is>
      </c>
      <c r="C5" s="273" t="inlineStr">
        <is>
          <t>£/$ [X]</t>
        </is>
      </c>
      <c r="D5" s="273" t="inlineStr">
        <is>
          <t>£/$ [X]</t>
        </is>
      </c>
      <c r="E5" s="273" t="inlineStr">
        <is>
          <t>£/$ [X]</t>
        </is>
      </c>
      <c r="F5" s="273">
        <f>SUM(C5:E5)</f>
        <v/>
      </c>
      <c r="G5" s="273" t="inlineStr">
        <is>
          <t>Power, cooling, rack space, connectivity</t>
        </is>
      </c>
    </row>
    <row r="6" ht="22" customHeight="1" s="21">
      <c r="A6" s="272" t="inlineStr">
        <is>
          <t>VMware / Hypervisor licences</t>
        </is>
      </c>
      <c r="B6" s="272" t="inlineStr">
        <is>
          <t>£/$ [X]</t>
        </is>
      </c>
      <c r="C6" s="272" t="inlineStr">
        <is>
          <t>£/$ [X]</t>
        </is>
      </c>
      <c r="D6" s="272" t="inlineStr">
        <is>
          <t>£/$ [X]</t>
        </is>
      </c>
      <c r="E6" s="272" t="inlineStr">
        <is>
          <t>£/$ [X]</t>
        </is>
      </c>
      <c r="F6" s="272">
        <f>SUM(C6:E6)</f>
        <v/>
      </c>
      <c r="G6" s="272" t="inlineStr">
        <is>
          <t>Include vSphere, vCenter, NSX, vSAN</t>
        </is>
      </c>
    </row>
    <row r="7" ht="22" customHeight="1" s="21">
      <c r="A7" s="273" t="inlineStr">
        <is>
          <t>OS Licences (Windows Server, RHEL)</t>
        </is>
      </c>
      <c r="B7" s="273" t="inlineStr">
        <is>
          <t>£/$ [X]</t>
        </is>
      </c>
      <c r="C7" s="273" t="inlineStr">
        <is>
          <t>£/$ [X]</t>
        </is>
      </c>
      <c r="D7" s="273" t="inlineStr">
        <is>
          <t>£/$ [X]</t>
        </is>
      </c>
      <c r="E7" s="273" t="inlineStr">
        <is>
          <t>£/$ [X]</t>
        </is>
      </c>
      <c r="F7" s="273">
        <f>SUM(C7:E7)</f>
        <v/>
      </c>
      <c r="G7" s="273" t="inlineStr">
        <is>
          <t>Include SA renewals</t>
        </is>
      </c>
    </row>
    <row r="8" ht="22" customHeight="1" s="21">
      <c r="A8" s="272" t="inlineStr">
        <is>
          <t>SQL Server licences (on-prem)</t>
        </is>
      </c>
      <c r="B8" s="272" t="inlineStr">
        <is>
          <t>£/$ [X]</t>
        </is>
      </c>
      <c r="C8" s="272" t="inlineStr">
        <is>
          <t>£/$ [X]</t>
        </is>
      </c>
      <c r="D8" s="272" t="inlineStr">
        <is>
          <t>£/$ [X]</t>
        </is>
      </c>
      <c r="E8" s="272" t="inlineStr">
        <is>
          <t>£/$ [X]</t>
        </is>
      </c>
      <c r="F8" s="272">
        <f>SUM(C8:E8)</f>
        <v/>
      </c>
      <c r="G8" s="272" t="inlineStr">
        <is>
          <t>EA or per-core perpetual + SA</t>
        </is>
      </c>
    </row>
    <row r="9" ht="22" customHeight="1" s="21">
      <c r="A9" s="273" t="inlineStr">
        <is>
          <t>Oracle licences (on-prem)</t>
        </is>
      </c>
      <c r="B9" s="273" t="inlineStr">
        <is>
          <t>£/$ [X]</t>
        </is>
      </c>
      <c r="C9" s="273" t="inlineStr">
        <is>
          <t>£/$ [X]</t>
        </is>
      </c>
      <c r="D9" s="273" t="inlineStr">
        <is>
          <t>£/$ [X]</t>
        </is>
      </c>
      <c r="E9" s="273" t="inlineStr">
        <is>
          <t>£/$ [X]</t>
        </is>
      </c>
      <c r="F9" s="273">
        <f>SUM(C9:E9)</f>
        <v/>
      </c>
      <c r="G9" s="273" t="inlineStr">
        <is>
          <t>Processor or NUP — per Oracle BYOL path</t>
        </is>
      </c>
    </row>
    <row r="10" ht="22" customHeight="1" s="21">
      <c r="A10" s="272" t="inlineStr">
        <is>
          <t>EoL OS Extended Security Updates</t>
        </is>
      </c>
      <c r="B10" s="272" t="inlineStr">
        <is>
          <t>£/$ [X]</t>
        </is>
      </c>
      <c r="C10" s="272" t="inlineStr">
        <is>
          <t>£/$ [X]</t>
        </is>
      </c>
      <c r="D10" s="272" t="inlineStr">
        <is>
          <t>£/$ [X]</t>
        </is>
      </c>
      <c r="E10" s="272" t="inlineStr">
        <is>
          <t>£/$ [X]</t>
        </is>
      </c>
      <c r="F10" s="272">
        <f>SUM(C10:E10)</f>
        <v/>
      </c>
      <c r="G10" s="272" t="inlineStr">
        <is>
          <t>Win 2012, RHEL 6, SQL 2012 — confirm scope</t>
        </is>
      </c>
    </row>
    <row r="11" ht="22" customHeight="1" s="21">
      <c r="A11" s="273" t="inlineStr">
        <is>
          <t>Operations (staff, monitoring, helpdesk)</t>
        </is>
      </c>
      <c r="B11" s="273" t="inlineStr">
        <is>
          <t>£/$ [X]</t>
        </is>
      </c>
      <c r="C11" s="273" t="inlineStr">
        <is>
          <t>£/$ [X]</t>
        </is>
      </c>
      <c r="D11" s="273" t="inlineStr">
        <is>
          <t>£/$ [X]</t>
        </is>
      </c>
      <c r="E11" s="273" t="inlineStr">
        <is>
          <t>£/$ [X]</t>
        </is>
      </c>
      <c r="F11" s="273">
        <f>SUM(C11:E11)</f>
        <v/>
      </c>
      <c r="G11" s="273" t="inlineStr">
        <is>
          <t>On-prem operations overhead</t>
        </is>
      </c>
    </row>
    <row r="12" ht="22" customHeight="1" s="21">
      <c r="A12" s="272" t="inlineStr">
        <is>
          <t>Backup / DR infrastructure</t>
        </is>
      </c>
      <c r="B12" s="272" t="inlineStr">
        <is>
          <t>£/$ [X]</t>
        </is>
      </c>
      <c r="C12" s="272" t="inlineStr">
        <is>
          <t>£/$ [X]</t>
        </is>
      </c>
      <c r="D12" s="272" t="inlineStr">
        <is>
          <t>£/$ [X]</t>
        </is>
      </c>
      <c r="E12" s="272" t="inlineStr">
        <is>
          <t>£/$ [X]</t>
        </is>
      </c>
      <c r="F12" s="272">
        <f>SUM(C12:E12)</f>
        <v/>
      </c>
      <c r="G12" s="272" t="inlineStr"/>
    </row>
    <row r="13" ht="22" customHeight="1" s="21">
      <c r="A13" s="273" t="inlineStr">
        <is>
          <t>Network (WAN, interconnects)</t>
        </is>
      </c>
      <c r="B13" s="273" t="inlineStr">
        <is>
          <t>£/$ [X]</t>
        </is>
      </c>
      <c r="C13" s="273" t="inlineStr">
        <is>
          <t>£/$ [X]</t>
        </is>
      </c>
      <c r="D13" s="273" t="inlineStr">
        <is>
          <t>£/$ [X]</t>
        </is>
      </c>
      <c r="E13" s="273" t="inlineStr">
        <is>
          <t>£/$ [X]</t>
        </is>
      </c>
      <c r="F13" s="273">
        <f>SUM(C13:E13)</f>
        <v/>
      </c>
      <c r="G13" s="273" t="inlineStr"/>
    </row>
    <row r="14">
      <c r="A14" s="281" t="inlineStr">
        <is>
          <t>TOTAL ON-PREMISES STATUS QUO COST</t>
        </is>
      </c>
      <c r="F14" s="282">
        <f>SUM(F4:F13)</f>
        <v/>
      </c>
    </row>
  </sheetData>
  <mergeCells count="3">
    <mergeCell ref="A2:F2"/>
    <mergeCell ref="A1:F1"/>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42" customWidth="1" style="21" min="1" max="1"/>
    <col width="15" customWidth="1" style="21" min="2" max="2"/>
    <col width="15" customWidth="1" style="21" min="3" max="3"/>
    <col width="15" customWidth="1" style="21" min="4" max="4"/>
    <col width="15" customWidth="1" style="21" min="5" max="5"/>
    <col width="18" customWidth="1" style="21" min="6" max="6"/>
    <col width="40" customWidth="1" style="21" min="7" max="7"/>
  </cols>
  <sheetData>
    <row r="1">
      <c r="A1" s="269" t="inlineStr">
        <is>
          <t>TCO Layer (f) — Year 1 Dual-Running: Migration Overlap Cost Forecast</t>
        </is>
      </c>
    </row>
    <row r="2" ht="40" customHeight="1" s="21">
      <c r="A2" s="280" t="inlineStr">
        <is>
          <t>Year 1 is typically the most expensive year of a migration because workloads run in both environments during the transition. This is the most common source of 'it cost more than expected in Year 1' complaints. Model it explicitly — do not hide it in a smoothed 3yr average.</t>
        </is>
      </c>
    </row>
    <row r="3">
      <c r="A3" s="271" t="inlineStr">
        <is>
          <t>Cost Component</t>
        </is>
      </c>
      <c r="B3" s="271" t="inlineStr">
        <is>
          <t>Q1</t>
        </is>
      </c>
      <c r="C3" s="271" t="inlineStr">
        <is>
          <t>Q2</t>
        </is>
      </c>
      <c r="D3" s="271" t="inlineStr">
        <is>
          <t>Q3</t>
        </is>
      </c>
      <c r="E3" s="271" t="inlineStr">
        <is>
          <t>Q4</t>
        </is>
      </c>
      <c r="F3" s="271" t="inlineStr">
        <is>
          <t>Year 1 Total</t>
        </is>
      </c>
      <c r="G3" s="271" t="inlineStr">
        <is>
          <t>Notes</t>
        </is>
      </c>
    </row>
    <row r="4" ht="30" customHeight="1" s="21">
      <c r="A4" s="272" t="inlineStr">
        <is>
          <t>On-premises costs (remaining estate — decommission not complete)</t>
        </is>
      </c>
      <c r="B4" s="272" t="inlineStr">
        <is>
          <t>£/$ [X]</t>
        </is>
      </c>
      <c r="C4" s="272" t="inlineStr">
        <is>
          <t>£/$ [X]</t>
        </is>
      </c>
      <c r="D4" s="272" t="inlineStr">
        <is>
          <t>£/$ [X]</t>
        </is>
      </c>
      <c r="E4" s="272" t="inlineStr">
        <is>
          <t>£/$ [X]</t>
        </is>
      </c>
      <c r="F4" s="272">
        <f>SUM(B4:E4)</f>
        <v/>
      </c>
      <c r="G4" s="272" t="inlineStr">
        <is>
          <t>Reduces quarterly as waves decommission on-prem</t>
        </is>
      </c>
    </row>
    <row r="5" ht="30" customHeight="1" s="21">
      <c r="A5" s="273" t="inlineStr">
        <is>
          <t>Cloud costs (ramp-up — Waves 0 + 1 migrated)</t>
        </is>
      </c>
      <c r="B5" s="273" t="inlineStr">
        <is>
          <t>£/$ [X]</t>
        </is>
      </c>
      <c r="C5" s="273" t="inlineStr">
        <is>
          <t>£/$ [X]</t>
        </is>
      </c>
      <c r="D5" s="273" t="inlineStr">
        <is>
          <t>£/$ [X]</t>
        </is>
      </c>
      <c r="E5" s="273" t="inlineStr">
        <is>
          <t>£/$ [X]</t>
        </is>
      </c>
      <c r="F5" s="273">
        <f>SUM(B5:E5)</f>
        <v/>
      </c>
      <c r="G5" s="273" t="inlineStr">
        <is>
          <t>Increases as more waves complete</t>
        </is>
      </c>
    </row>
    <row r="6" ht="30" customHeight="1" s="21">
      <c r="A6" s="272" t="inlineStr">
        <is>
          <t>Migration tooling and licences</t>
        </is>
      </c>
      <c r="B6" s="272" t="inlineStr">
        <is>
          <t>£/$ [X]</t>
        </is>
      </c>
      <c r="C6" s="272" t="inlineStr">
        <is>
          <t>£/$ [X]</t>
        </is>
      </c>
      <c r="D6" s="272" t="inlineStr">
        <is>
          <t>£/$ [X]</t>
        </is>
      </c>
      <c r="E6" s="272" t="inlineStr">
        <is>
          <t>£/$ [X]</t>
        </is>
      </c>
      <c r="F6" s="272">
        <f>SUM(B6:E6)</f>
        <v/>
      </c>
      <c r="G6" s="272" t="inlineStr">
        <is>
          <t>Azure Migrate / Velero / etc.</t>
        </is>
      </c>
    </row>
    <row r="7" ht="30" customHeight="1" s="21">
      <c r="A7" s="273" t="inlineStr">
        <is>
          <t>Professional services — Part 2 delivery (Rackspace)</t>
        </is>
      </c>
      <c r="B7" s="273" t="inlineStr">
        <is>
          <t>£/$ [X]</t>
        </is>
      </c>
      <c r="C7" s="273" t="inlineStr">
        <is>
          <t>£/$ [X]</t>
        </is>
      </c>
      <c r="D7" s="273" t="inlineStr">
        <is>
          <t>£/$ [X]</t>
        </is>
      </c>
      <c r="E7" s="273" t="inlineStr">
        <is>
          <t>£/$ [X]</t>
        </is>
      </c>
      <c r="F7" s="273">
        <f>SUM(B7:E7)</f>
        <v/>
      </c>
      <c r="G7" s="273" t="inlineStr">
        <is>
          <t>From Part 2 SOW</t>
        </is>
      </c>
    </row>
    <row r="8" ht="30" customHeight="1" s="21">
      <c r="A8" s="272" t="inlineStr">
        <is>
          <t>Partner credits offset (AMM / MAP / PSO)</t>
        </is>
      </c>
      <c r="B8" s="272" t="inlineStr">
        <is>
          <t>(£/$ [X])</t>
        </is>
      </c>
      <c r="C8" s="272" t="inlineStr">
        <is>
          <t>(£/$ [X])</t>
        </is>
      </c>
      <c r="D8" s="272" t="inlineStr">
        <is>
          <t>(£/$ [X])</t>
        </is>
      </c>
      <c r="E8" s="272" t="inlineStr">
        <is>
          <t>(£/$ [X])</t>
        </is>
      </c>
      <c r="F8" s="272">
        <f>SUM(B8:E8)</f>
        <v/>
      </c>
      <c r="G8" s="272" t="inlineStr">
        <is>
          <t>Negative row — reduces Year 1 cost</t>
        </is>
      </c>
    </row>
    <row r="10">
      <c r="A10" s="281" t="inlineStr">
        <is>
          <t>YEAR 1 TOTAL (DUAL-RUNNING NET)</t>
        </is>
      </c>
      <c r="F10" s="282">
        <f>SUM(F4:F9)</f>
        <v/>
      </c>
    </row>
  </sheetData>
  <mergeCells count="3">
    <mergeCell ref="A2:E2"/>
    <mergeCell ref="A1:E1"/>
    <mergeCell ref="A10:E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32" customWidth="1" style="21" min="1" max="1"/>
    <col width="14" customWidth="1" style="21" min="2" max="2"/>
    <col width="22" customWidth="1" style="21" min="3" max="3"/>
    <col width="25" customWidth="1" style="21" min="4" max="4"/>
    <col width="28" customWidth="1" style="21" min="5" max="5"/>
    <col width="50" customWidth="1" style="21" min="6" max="6"/>
  </cols>
  <sheetData>
    <row r="1">
      <c r="A1" s="269" t="inlineStr">
        <is>
          <t>TCO Layer (g) — Partner Discounts and Credits: AMM / MAP / PSO Funded Value</t>
        </is>
      </c>
    </row>
    <row r="2" ht="50" customHeight="1" s="21">
      <c r="A2" s="283" t="inlineStr">
        <is>
          <t>THIS IS THE BOARD-LEVEL HEADLINE NUMBER. Layer (g) is what makes the cloud financial case compelling. Partner credits from AMM, MAP, or PSO can represent 10-30% of Part 2 professional services cost. MANDATORY: Confirm programme eligibility and registration status with the Rackspace Alliance Manager before including any figures here.</t>
        </is>
      </c>
    </row>
    <row r="3">
      <c r="A3" s="271" t="inlineStr">
        <is>
          <t>Programme</t>
        </is>
      </c>
      <c r="B3" s="271" t="inlineStr">
        <is>
          <t>Hyperscaler</t>
        </is>
      </c>
      <c r="C3" s="271" t="inlineStr">
        <is>
          <t>Eligibility Status</t>
        </is>
      </c>
      <c r="D3" s="271" t="inlineStr">
        <is>
          <t>Estimated Funded Value</t>
        </is>
      </c>
      <c r="E3" s="271" t="inlineStr">
        <is>
          <t>Registration Status</t>
        </is>
      </c>
      <c r="F3" s="271" t="inlineStr">
        <is>
          <t>Notes</t>
        </is>
      </c>
    </row>
    <row r="4" ht="40" customHeight="1" s="21">
      <c r="A4" s="272" t="inlineStr">
        <is>
          <t>Azure Migration and Modernisation (AMM)</t>
        </is>
      </c>
      <c r="B4" s="272" t="inlineStr">
        <is>
          <t>Microsoft</t>
        </is>
      </c>
      <c r="C4" s="272" t="inlineStr">
        <is>
          <t>[Eligible / Not Eligible / TBC]</t>
        </is>
      </c>
      <c r="D4" s="272" t="inlineStr">
        <is>
          <t>£/$ [X] – [Y]</t>
        </is>
      </c>
      <c r="E4" s="272" t="inlineStr">
        <is>
          <t>[Not Registered / Registered / Approved]</t>
        </is>
      </c>
      <c r="F4" s="272" t="inlineStr">
        <is>
          <t>Must be registered in MSPP before Part 2 SOW. Requires Azure as primary or co-primary recommendation.</t>
        </is>
      </c>
    </row>
    <row r="5" ht="40" customHeight="1" s="21">
      <c r="A5" s="273" t="inlineStr">
        <is>
          <t>AWS Migration Acceleration Programme (MAP)</t>
        </is>
      </c>
      <c r="B5" s="273" t="inlineStr">
        <is>
          <t>AWS</t>
        </is>
      </c>
      <c r="C5" s="273" t="inlineStr">
        <is>
          <t>[Eligible / Not Eligible / TBC]</t>
        </is>
      </c>
      <c r="D5" s="273" t="inlineStr">
        <is>
          <t>£/$ [X] – [Y]</t>
        </is>
      </c>
      <c r="E5" s="273" t="inlineStr">
        <is>
          <t>[Not Registered / Registered / Approved]</t>
        </is>
      </c>
      <c r="F5" s="273" t="inlineStr">
        <is>
          <t>Must be registered in AWS ACE before assessment evidence compiled. Requires AWS as primary or co-primary.</t>
        </is>
      </c>
    </row>
    <row r="6" ht="40" customHeight="1" s="21">
      <c r="A6" s="272" t="inlineStr">
        <is>
          <t>Google Cloud RAMP / PSO Credits</t>
        </is>
      </c>
      <c r="B6" s="272" t="inlineStr">
        <is>
          <t>Google</t>
        </is>
      </c>
      <c r="C6" s="272" t="inlineStr">
        <is>
          <t>[Eligible / Not Eligible / TBC]</t>
        </is>
      </c>
      <c r="D6" s="272" t="inlineStr">
        <is>
          <t>£/$ [X] – [Y]</t>
        </is>
      </c>
      <c r="E6" s="272" t="inlineStr">
        <is>
          <t>[Not Registered / Registered / Approved]</t>
        </is>
      </c>
      <c r="F6" s="272" t="inlineStr">
        <is>
          <t>Programme terms vary by geography. Confirm with Rackspace Alliance Manager.</t>
        </is>
      </c>
    </row>
    <row r="8">
      <c r="A8" s="278" t="inlineStr">
        <is>
          <t>TOTAL PARTNER CREDITS (Confirmed):</t>
        </is>
      </c>
      <c r="D8" s="284" t="inlineStr">
        <is>
          <t>[Enter confirmed total from Alliance Manager]</t>
        </is>
      </c>
    </row>
    <row r="10">
      <c r="A10" s="277" t="inlineStr">
        <is>
          <t>3-Year Net Cost Summary — Board-Level Headline</t>
        </is>
      </c>
    </row>
    <row r="11">
      <c r="A11" s="271" t="inlineStr">
        <is>
          <t>Scenario</t>
        </is>
      </c>
      <c r="B11" s="271" t="inlineStr">
        <is>
          <t>3yr Total Cost</t>
        </is>
      </c>
      <c r="C11" s="271" t="inlineStr">
        <is>
          <t>vs On-Prem</t>
        </is>
      </c>
    </row>
    <row r="12" ht="25" customHeight="1" s="21">
      <c r="A12" s="272" t="inlineStr">
        <is>
          <t>On-Premises Status Quo (3yr)</t>
        </is>
      </c>
      <c r="B12" s="272">
        <f>[OnPrem-StatusQuo tab total]</f>
        <v/>
      </c>
      <c r="C12" s="272" t="inlineStr">
        <is>
          <t>Baseline</t>
        </is>
      </c>
    </row>
    <row r="13" ht="25" customHeight="1" s="21">
      <c r="A13" s="273" t="inlineStr">
        <is>
          <t>[Primary Cloud] Like-for-Like (3yr)</t>
        </is>
      </c>
      <c r="B13" s="273">
        <f>[Cloud eval tab total]</f>
        <v/>
      </c>
      <c r="C13" s="273" t="inlineStr">
        <is>
          <t>+/- vs on-prem</t>
        </is>
      </c>
    </row>
    <row r="14" ht="25" customHeight="1" s="21">
      <c r="A14" s="272" t="inlineStr">
        <is>
          <t>[Primary Cloud] Optimised + AHB/BYOL (3yr)</t>
        </is>
      </c>
      <c r="B14" s="272">
        <f>[Licensing-Overlay adjusted]</f>
        <v/>
      </c>
      <c r="C14" s="272" t="inlineStr">
        <is>
          <t>+/- vs on-prem</t>
        </is>
      </c>
    </row>
    <row r="15" ht="25" customHeight="1" s="21">
      <c r="A15" s="285" t="inlineStr">
        <is>
          <t>[Primary Cloud] Optimised + Partner Credits (3yr)</t>
        </is>
      </c>
      <c r="B15" s="285">
        <f>[Optimised] - [Partner Credits]</f>
        <v/>
      </c>
      <c r="C15" s="285" t="inlineStr">
        <is>
          <t>NET COST — THIS IS THE HEADLINE</t>
        </is>
      </c>
    </row>
  </sheetData>
  <mergeCells count="4">
    <mergeCell ref="A2:F2"/>
    <mergeCell ref="A8:C8"/>
    <mergeCell ref="A1:F1"/>
    <mergeCell ref="A10:F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4"/>
  <sheetViews>
    <sheetView workbookViewId="0">
      <pane ySplit="4" topLeftCell="A5" activePane="bottomLeft" state="frozen"/>
      <selection pane="bottomLeft" activeCell="A1" sqref="A1"/>
    </sheetView>
  </sheetViews>
  <sheetFormatPr baseColWidth="8" defaultRowHeight="15"/>
  <cols>
    <col width="30" customWidth="1" style="21" min="1" max="1"/>
    <col width="10" customWidth="1" style="21" min="2" max="2"/>
    <col width="10" customWidth="1" style="21" min="3" max="3"/>
    <col width="10" customWidth="1" style="21" min="4" max="4"/>
    <col width="10" customWidth="1" style="21" min="5" max="5"/>
    <col width="14" customWidth="1" style="21" min="6" max="6"/>
    <col width="14" customWidth="1" style="21" min="7" max="7"/>
    <col width="14" customWidth="1" style="21" min="8" max="8"/>
    <col width="35" customWidth="1" style="21" min="9" max="9"/>
  </cols>
  <sheetData>
    <row r="1">
      <c r="A1" s="286" t="inlineStr">
        <is>
          <t>4B.9 Pricing Validation -- Reference Prices for TCO Model SKUs</t>
        </is>
      </c>
    </row>
    <row r="2" ht="36" customHeight="1" s="21">
      <c r="A2" s="287" t="inlineStr">
        <is>
          <t>Purpose: Validate that the TCO model pricing assumptions are within acceptable range of current published prices. Update this tab whenever you re-use the TCO model. Prices shown are reference values; always confirm with the official pricing calculator before customer submission.</t>
        </is>
      </c>
    </row>
    <row r="3" ht="36" customHeight="1" s="21">
      <c r="A3" s="288" t="inlineStr">
        <is>
          <t>IMPORTANT: Reference prices below are calibrated to June 2026 published list prices (USD). Prices vary by region; UK South / eu-west-1 / europe-west2 are typically 10-15% higher than US East. Spot/preemptible prices are not used in CRA TCO models.</t>
        </is>
      </c>
    </row>
    <row r="4" ht="24" customHeight="1" s="21">
      <c r="A4" s="289" t="inlineStr">
        <is>
          <t>SKU / Instance Type</t>
        </is>
      </c>
      <c r="B4" s="289" t="inlineStr">
        <is>
          <t>vCPU</t>
        </is>
      </c>
      <c r="C4" s="289" t="inlineStr">
        <is>
          <t>RAM (GB)</t>
        </is>
      </c>
      <c r="D4" s="289" t="inlineStr">
        <is>
          <t>Storage</t>
        </is>
      </c>
      <c r="E4" s="289" t="inlineStr">
        <is>
          <t>On-Demand $/hr</t>
        </is>
      </c>
      <c r="F4" s="289" t="inlineStr">
        <is>
          <t>3yr RI/CUD $/hr</t>
        </is>
      </c>
      <c r="G4" s="289" t="inlineStr">
        <is>
          <t>3yr Saving %</t>
        </is>
      </c>
      <c r="H4" s="289" t="inlineStr">
        <is>
          <t>Region Basis</t>
        </is>
      </c>
      <c r="I4" s="289" t="inlineStr">
        <is>
          <t>Notes / Validation Source</t>
        </is>
      </c>
    </row>
    <row r="5">
      <c r="A5" s="290" t="inlineStr">
        <is>
          <t>MICROSOFT AZURE -- Key SKUs for CRA TCO Model</t>
        </is>
      </c>
      <c r="B5" s="291" t="n"/>
      <c r="C5" s="291" t="n"/>
      <c r="D5" s="291" t="n"/>
      <c r="E5" s="291" t="n"/>
      <c r="F5" s="291" t="n"/>
      <c r="G5" s="291" t="n"/>
      <c r="H5" s="291" t="n"/>
      <c r="I5" s="292" t="n"/>
    </row>
    <row r="6">
      <c r="A6" s="293" t="inlineStr">
        <is>
          <t>D4s_v5</t>
        </is>
      </c>
      <c r="B6" s="294" t="n">
        <v>4</v>
      </c>
      <c r="C6" s="294" t="n">
        <v>16</v>
      </c>
      <c r="D6" s="295" t="inlineStr">
        <is>
          <t>Temp SSD</t>
        </is>
      </c>
      <c r="E6" s="296" t="n">
        <v>0.192</v>
      </c>
      <c r="F6" s="294" t="n">
        <v>0.118</v>
      </c>
      <c r="G6" s="297" t="inlineStr">
        <is>
          <t>38.5%</t>
        </is>
      </c>
      <c r="H6" s="298" t="inlineStr">
        <is>
          <t>East US</t>
        </is>
      </c>
      <c r="I6" s="299" t="inlineStr">
        <is>
          <t>General purpose. Standard migration target for &lt;32GB RAM workloads. AHB reduces Windows cost by ~40%. Source: azure.microsoft.com/pricing/details/virtual-machines/</t>
        </is>
      </c>
    </row>
    <row r="7">
      <c r="A7" s="293" t="inlineStr">
        <is>
          <t>D8s_v5</t>
        </is>
      </c>
      <c r="B7" s="294" t="n">
        <v>8</v>
      </c>
      <c r="C7" s="294" t="n">
        <v>32</v>
      </c>
      <c r="D7" s="295" t="inlineStr">
        <is>
          <t>Temp SSD</t>
        </is>
      </c>
      <c r="E7" s="296" t="n">
        <v>0.384</v>
      </c>
      <c r="F7" s="294" t="n">
        <v>0.236</v>
      </c>
      <c r="G7" s="297" t="inlineStr">
        <is>
          <t>38.5%</t>
        </is>
      </c>
      <c r="H7" s="298" t="inlineStr">
        <is>
          <t>East US</t>
        </is>
      </c>
      <c r="I7" s="299" t="inlineStr">
        <is>
          <t>Most common migration target (matches m6i.2xlarge). Dsv5 = Dav5 replacement; better perf/price than Dsv4.</t>
        </is>
      </c>
    </row>
    <row r="8">
      <c r="A8" s="293" t="inlineStr">
        <is>
          <t>D16s_v5</t>
        </is>
      </c>
      <c r="B8" s="294" t="n">
        <v>16</v>
      </c>
      <c r="C8" s="294" t="n">
        <v>64</v>
      </c>
      <c r="D8" s="295" t="inlineStr">
        <is>
          <t>Temp SSD</t>
        </is>
      </c>
      <c r="E8" s="296" t="n">
        <v>0.768</v>
      </c>
      <c r="F8" s="294" t="n">
        <v>0.472</v>
      </c>
      <c r="G8" s="297" t="inlineStr">
        <is>
          <t>38.5%</t>
        </is>
      </c>
      <c r="H8" s="298" t="inlineStr">
        <is>
          <t>East US</t>
        </is>
      </c>
      <c r="I8" s="299" t="inlineStr">
        <is>
          <t>Large general workloads. Check if E-series more cost-effective for memory-heavy workloads.</t>
        </is>
      </c>
    </row>
    <row r="9">
      <c r="A9" s="293" t="inlineStr">
        <is>
          <t>E4s_v5</t>
        </is>
      </c>
      <c r="B9" s="294" t="n">
        <v>4</v>
      </c>
      <c r="C9" s="294" t="n">
        <v>32</v>
      </c>
      <c r="D9" s="295" t="inlineStr">
        <is>
          <t>Temp SSD</t>
        </is>
      </c>
      <c r="E9" s="296" t="n">
        <v>0.252</v>
      </c>
      <c r="F9" s="294" t="n">
        <v>0.155</v>
      </c>
      <c r="G9" s="297" t="inlineStr">
        <is>
          <t>38.5%</t>
        </is>
      </c>
      <c r="H9" s="298" t="inlineStr">
        <is>
          <t>East US</t>
        </is>
      </c>
      <c r="I9" s="299" t="inlineStr">
        <is>
          <t>Memory-optimised. Use for SQL Server, Redis, in-memory cache workloads.</t>
        </is>
      </c>
    </row>
    <row r="10">
      <c r="A10" s="293" t="inlineStr">
        <is>
          <t>E8s_v5</t>
        </is>
      </c>
      <c r="B10" s="294" t="n">
        <v>8</v>
      </c>
      <c r="C10" s="294" t="n">
        <v>64</v>
      </c>
      <c r="D10" s="295" t="inlineStr">
        <is>
          <t>Temp SSD</t>
        </is>
      </c>
      <c r="E10" s="296" t="n">
        <v>0.504</v>
      </c>
      <c r="F10" s="294" t="n">
        <v>0.31</v>
      </c>
      <c r="G10" s="297" t="inlineStr">
        <is>
          <t>38.5%</t>
        </is>
      </c>
      <c r="H10" s="298" t="inlineStr">
        <is>
          <t>East US</t>
        </is>
      </c>
      <c r="I10" s="299" t="inlineStr">
        <is>
          <t>SQL Server primary target. AHB on SQL Server = up to 55% cost reduction. Key SKU for CRA engagements with large SQL Server estates.</t>
        </is>
      </c>
    </row>
    <row r="11">
      <c r="A11" s="293" t="inlineStr">
        <is>
          <t>E16s_v5</t>
        </is>
      </c>
      <c r="B11" s="294" t="n">
        <v>16</v>
      </c>
      <c r="C11" s="294" t="n">
        <v>128</v>
      </c>
      <c r="D11" s="295" t="inlineStr">
        <is>
          <t>Temp SSD</t>
        </is>
      </c>
      <c r="E11" s="296" t="n">
        <v>1.008</v>
      </c>
      <c r="F11" s="294" t="n">
        <v>0.62</v>
      </c>
      <c r="G11" s="297" t="inlineStr">
        <is>
          <t>38.5%</t>
        </is>
      </c>
      <c r="H11" s="298" t="inlineStr">
        <is>
          <t>East US</t>
        </is>
      </c>
      <c r="I11" s="299" t="inlineStr">
        <is>
          <t>High-memory workloads. Check Oracle BYOL eligibility before recommending.</t>
        </is>
      </c>
    </row>
    <row r="12">
      <c r="A12" s="293" t="inlineStr">
        <is>
          <t>M8ms</t>
        </is>
      </c>
      <c r="B12" s="294" t="n">
        <v>8</v>
      </c>
      <c r="C12" s="294" t="n">
        <v>218</v>
      </c>
      <c r="D12" s="295" t="inlineStr">
        <is>
          <t>Temp SSD</t>
        </is>
      </c>
      <c r="E12" s="296" t="n">
        <v>1.872</v>
      </c>
      <c r="F12" s="294" t="n">
        <v>1.151</v>
      </c>
      <c r="G12" s="297" t="inlineStr">
        <is>
          <t>38.5%</t>
        </is>
      </c>
      <c r="H12" s="298" t="inlineStr">
        <is>
          <t>East US</t>
        </is>
      </c>
      <c r="I12" s="299" t="inlineStr">
        <is>
          <t>SAP HANA and large Oracle workloads. Premium pricing tier.</t>
        </is>
      </c>
    </row>
    <row r="13">
      <c r="A13" s="293" t="inlineStr">
        <is>
          <t>D8s_v5</t>
        </is>
      </c>
      <c r="B13" s="294" t="n">
        <v>8</v>
      </c>
      <c r="C13" s="294" t="n">
        <v>32</v>
      </c>
      <c r="D13" s="295" t="inlineStr">
        <is>
          <t>Temp SSD</t>
        </is>
      </c>
      <c r="E13" s="296" t="n">
        <v>0.432</v>
      </c>
      <c r="F13" s="294" t="n">
        <v>0.266</v>
      </c>
      <c r="G13" s="297" t="inlineStr">
        <is>
          <t>38.5%</t>
        </is>
      </c>
      <c r="H13" s="298" t="inlineStr">
        <is>
          <t>UK South (+12.5%)</t>
        </is>
      </c>
      <c r="I13" s="299" t="inlineStr">
        <is>
          <t>UK South add-on: ~12.5% premium over East US. Use this for UK-based CRA engagements (e.g., DMG Media UK).</t>
        </is>
      </c>
    </row>
    <row r="14">
      <c r="A14" s="300" t="inlineStr">
        <is>
          <t>Azure Hybrid Benefit (AHB): Windows Server AHB saves ~40% on OS component. SQL Server AHB saves up to 55% (Standard licence). Apply AHB savings separately in the Licensing-Overlay tab.</t>
        </is>
      </c>
    </row>
    <row r="15">
      <c r="A15" s="301" t="inlineStr">
        <is>
          <t>AWS -- Key SKUs for CRA TCO Model</t>
        </is>
      </c>
      <c r="B15" s="291" t="n"/>
      <c r="C15" s="291" t="n"/>
      <c r="D15" s="291" t="n"/>
      <c r="E15" s="291" t="n"/>
      <c r="F15" s="291" t="n"/>
      <c r="G15" s="291" t="n"/>
      <c r="H15" s="291" t="n"/>
      <c r="I15" s="292" t="n"/>
    </row>
    <row r="16">
      <c r="A16" s="293" t="inlineStr">
        <is>
          <t>m6i.xlarge</t>
        </is>
      </c>
      <c r="B16" s="294" t="n">
        <v>4</v>
      </c>
      <c r="C16" s="294" t="n">
        <v>16</v>
      </c>
      <c r="D16" s="295" t="inlineStr">
        <is>
          <t>EBS only</t>
        </is>
      </c>
      <c r="E16" s="296" t="n">
        <v>0.192</v>
      </c>
      <c r="F16" s="294" t="n">
        <v>0.117</v>
      </c>
      <c r="G16" s="297" t="inlineStr">
        <is>
          <t>39.1%</t>
        </is>
      </c>
      <c r="H16" s="298" t="inlineStr">
        <is>
          <t>us-east-1</t>
        </is>
      </c>
      <c r="I16" s="299" t="inlineStr">
        <is>
          <t>General purpose. Current-gen Intel-based. Source: aws.amazon.com/ec2/pricing/reserved-instances/</t>
        </is>
      </c>
    </row>
    <row r="17">
      <c r="A17" s="293" t="inlineStr">
        <is>
          <t>m6i.2xlarge</t>
        </is>
      </c>
      <c r="B17" s="294" t="n">
        <v>8</v>
      </c>
      <c r="C17" s="294" t="n">
        <v>32</v>
      </c>
      <c r="D17" s="295" t="inlineStr">
        <is>
          <t>EBS only</t>
        </is>
      </c>
      <c r="E17" s="296" t="n">
        <v>0.384</v>
      </c>
      <c r="F17" s="294" t="n">
        <v>0.234</v>
      </c>
      <c r="G17" s="297" t="inlineStr">
        <is>
          <t>39.1%</t>
        </is>
      </c>
      <c r="H17" s="298" t="inlineStr">
        <is>
          <t>us-east-1</t>
        </is>
      </c>
      <c r="I17" s="299" t="inlineStr">
        <is>
          <t>Most common migration target. 3yr All-Upfront RI pricing shown. Savings Plans can match or beat RI pricing with more flexibility.</t>
        </is>
      </c>
    </row>
    <row r="18">
      <c r="A18" s="293" t="inlineStr">
        <is>
          <t>m6i.4xlarge</t>
        </is>
      </c>
      <c r="B18" s="294" t="n">
        <v>16</v>
      </c>
      <c r="C18" s="294" t="n">
        <v>64</v>
      </c>
      <c r="D18" s="295" t="inlineStr">
        <is>
          <t>EBS only</t>
        </is>
      </c>
      <c r="E18" s="296" t="n">
        <v>0.768</v>
      </c>
      <c r="F18" s="294" t="n">
        <v>0.469</v>
      </c>
      <c r="G18" s="297" t="inlineStr">
        <is>
          <t>38.9%</t>
        </is>
      </c>
      <c r="H18" s="298" t="inlineStr">
        <is>
          <t>us-east-1</t>
        </is>
      </c>
      <c r="I18" s="299" t="inlineStr">
        <is>
          <t>Large general workloads.</t>
        </is>
      </c>
    </row>
    <row r="19">
      <c r="A19" s="293" t="inlineStr">
        <is>
          <t>r6i.2xlarge</t>
        </is>
      </c>
      <c r="B19" s="294" t="n">
        <v>8</v>
      </c>
      <c r="C19" s="294" t="n">
        <v>64</v>
      </c>
      <c r="D19" s="295" t="inlineStr">
        <is>
          <t>EBS only</t>
        </is>
      </c>
      <c r="E19" s="296" t="n">
        <v>0.504</v>
      </c>
      <c r="F19" s="294" t="n">
        <v>0.308</v>
      </c>
      <c r="G19" s="297" t="inlineStr">
        <is>
          <t>38.9%</t>
        </is>
      </c>
      <c r="H19" s="298" t="inlineStr">
        <is>
          <t>us-east-1</t>
        </is>
      </c>
      <c r="I19" s="299" t="inlineStr">
        <is>
          <t>Memory-optimised. RDS/MySQL/Oracle workloads. r6i replaces r5; 15% better perf/price.</t>
        </is>
      </c>
    </row>
    <row r="20">
      <c r="A20" s="293" t="inlineStr">
        <is>
          <t>r6i.4xlarge</t>
        </is>
      </c>
      <c r="B20" s="294" t="n">
        <v>16</v>
      </c>
      <c r="C20" s="294" t="n">
        <v>128</v>
      </c>
      <c r="D20" s="295" t="inlineStr">
        <is>
          <t>EBS only</t>
        </is>
      </c>
      <c r="E20" s="296" t="n">
        <v>1.008</v>
      </c>
      <c r="F20" s="294" t="n">
        <v>0.616</v>
      </c>
      <c r="G20" s="297" t="inlineStr">
        <is>
          <t>38.9%</t>
        </is>
      </c>
      <c r="H20" s="298" t="inlineStr">
        <is>
          <t>us-east-1</t>
        </is>
      </c>
      <c r="I20" s="299" t="inlineStr">
        <is>
          <t>Large memory workloads. Compare vs Azure E16s_v5.</t>
        </is>
      </c>
    </row>
    <row r="21">
      <c r="A21" s="293" t="inlineStr">
        <is>
          <t>m6i.2xlarge</t>
        </is>
      </c>
      <c r="B21" s="294" t="n">
        <v>8</v>
      </c>
      <c r="C21" s="294" t="n">
        <v>32</v>
      </c>
      <c r="D21" s="295" t="inlineStr">
        <is>
          <t>EBS only</t>
        </is>
      </c>
      <c r="E21" s="296" t="n">
        <v>0.432</v>
      </c>
      <c r="F21" s="294" t="n">
        <v>0.264</v>
      </c>
      <c r="G21" s="297" t="inlineStr">
        <is>
          <t>38.9%</t>
        </is>
      </c>
      <c r="H21" s="298" t="inlineStr">
        <is>
          <t>eu-west-2 (London)</t>
        </is>
      </c>
      <c r="I21" s="299" t="inlineStr">
        <is>
          <t>London region add-on: ~12.5% premium over us-east-1. Use for UK-based CRA engagements.</t>
        </is>
      </c>
    </row>
    <row r="22">
      <c r="A22" s="293" t="inlineStr">
        <is>
          <t>m7i.2xlarge</t>
        </is>
      </c>
      <c r="B22" s="294" t="n">
        <v>8</v>
      </c>
      <c r="C22" s="294" t="n">
        <v>32</v>
      </c>
      <c r="D22" s="295" t="inlineStr">
        <is>
          <t>EBS only</t>
        </is>
      </c>
      <c r="E22" s="296" t="n">
        <v>0.403</v>
      </c>
      <c r="F22" s="294" t="n">
        <v>0.247</v>
      </c>
      <c r="G22" s="297" t="inlineStr">
        <is>
          <t>38.7%</t>
        </is>
      </c>
      <c r="H22" s="298" t="inlineStr">
        <is>
          <t>us-east-1</t>
        </is>
      </c>
      <c r="I22" s="299" t="inlineStr">
        <is>
          <t>Latest gen (Sapphire Rapids). 15% better perf/price vs m6i. Use as default for new deployment recommendations.</t>
        </is>
      </c>
    </row>
    <row r="23">
      <c r="A23" s="300" t="inlineStr">
        <is>
          <t>AWS Savings Plans (Compute) typically match 3yr RI All-Upfront savings while offering more flexibility (apply across instance families and regions). Use Savings Plans pricing in TCO model unless customer has existing RI portfolio.</t>
        </is>
      </c>
    </row>
    <row r="24">
      <c r="A24" s="302" t="inlineStr">
        <is>
          <t>GOOGLE CLOUD PLATFORM -- Key SKUs for CRA TCO Model</t>
        </is>
      </c>
      <c r="B24" s="291" t="n"/>
      <c r="C24" s="291" t="n"/>
      <c r="D24" s="291" t="n"/>
      <c r="E24" s="291" t="n"/>
      <c r="F24" s="291" t="n"/>
      <c r="G24" s="291" t="n"/>
      <c r="H24" s="291" t="n"/>
      <c r="I24" s="292" t="n"/>
    </row>
    <row r="25">
      <c r="A25" s="293" t="inlineStr">
        <is>
          <t>n2-standard-4</t>
        </is>
      </c>
      <c r="B25" s="294" t="n">
        <v>4</v>
      </c>
      <c r="C25" s="294" t="n">
        <v>16</v>
      </c>
      <c r="D25" s="295" t="inlineStr">
        <is>
          <t>Persistent</t>
        </is>
      </c>
      <c r="E25" s="296" t="n">
        <v>0.194</v>
      </c>
      <c r="F25" s="294" t="n">
        <v>0.098</v>
      </c>
      <c r="G25" s="297" t="inlineStr">
        <is>
          <t>49.5%</t>
        </is>
      </c>
      <c r="H25" s="298" t="inlineStr">
        <is>
          <t>us-east1</t>
        </is>
      </c>
      <c r="I25" s="299" t="inlineStr">
        <is>
          <t>General purpose. CUD discount is deeper than Azure RI/AWS RI at ~50%. Source: cloud.google.com/compute/vm-instance-pricing</t>
        </is>
      </c>
    </row>
    <row r="26">
      <c r="A26" s="293" t="inlineStr">
        <is>
          <t>n2-standard-8</t>
        </is>
      </c>
      <c r="B26" s="294" t="n">
        <v>8</v>
      </c>
      <c r="C26" s="294" t="n">
        <v>32</v>
      </c>
      <c r="D26" s="295" t="inlineStr">
        <is>
          <t>Persistent</t>
        </is>
      </c>
      <c r="E26" s="296" t="n">
        <v>0.389</v>
      </c>
      <c r="F26" s="294" t="n">
        <v>0.197</v>
      </c>
      <c r="G26" s="297" t="inlineStr">
        <is>
          <t>49.4%</t>
        </is>
      </c>
      <c r="H26" s="298" t="inlineStr">
        <is>
          <t>us-east1</t>
        </is>
      </c>
      <c r="I26" s="299" t="inlineStr">
        <is>
          <t>Most common CRA migration target. 3yr CUD pricing shown. Sustained Use Discounts (SUDs) apply automatically for &gt;25% month usage.</t>
        </is>
      </c>
    </row>
    <row r="27">
      <c r="A27" s="293" t="inlineStr">
        <is>
          <t>n2-standard-16</t>
        </is>
      </c>
      <c r="B27" s="294" t="n">
        <v>16</v>
      </c>
      <c r="C27" s="294" t="n">
        <v>64</v>
      </c>
      <c r="D27" s="295" t="inlineStr">
        <is>
          <t>Persistent</t>
        </is>
      </c>
      <c r="E27" s="296" t="n">
        <v>0.777</v>
      </c>
      <c r="F27" s="294" t="n">
        <v>0.393</v>
      </c>
      <c r="G27" s="297" t="inlineStr">
        <is>
          <t>49.4%</t>
        </is>
      </c>
      <c r="H27" s="298" t="inlineStr">
        <is>
          <t>us-east1</t>
        </is>
      </c>
      <c r="I27" s="299" t="inlineStr">
        <is>
          <t>Large general workloads.</t>
        </is>
      </c>
    </row>
    <row r="28">
      <c r="A28" s="293" t="inlineStr">
        <is>
          <t>n2-highmem-4</t>
        </is>
      </c>
      <c r="B28" s="294" t="n">
        <v>4</v>
      </c>
      <c r="C28" s="294" t="n">
        <v>32</v>
      </c>
      <c r="D28" s="295" t="inlineStr">
        <is>
          <t>Persistent</t>
        </is>
      </c>
      <c r="E28" s="296" t="n">
        <v>0.237</v>
      </c>
      <c r="F28" s="294" t="n">
        <v>0.12</v>
      </c>
      <c r="G28" s="297" t="inlineStr">
        <is>
          <t>49.4%</t>
        </is>
      </c>
      <c r="H28" s="298" t="inlineStr">
        <is>
          <t>us-east1</t>
        </is>
      </c>
      <c r="I28" s="299" t="inlineStr">
        <is>
          <t>Memory-optimised (8GB/vCPU ratio). Use for SQL, SAP workloads.</t>
        </is>
      </c>
    </row>
    <row r="29">
      <c r="A29" s="293" t="inlineStr">
        <is>
          <t>n2-highmem-8</t>
        </is>
      </c>
      <c r="B29" s="294" t="n">
        <v>8</v>
      </c>
      <c r="C29" s="294" t="n">
        <v>64</v>
      </c>
      <c r="D29" s="295" t="inlineStr">
        <is>
          <t>Persistent</t>
        </is>
      </c>
      <c r="E29" s="296" t="n">
        <v>0.473</v>
      </c>
      <c r="F29" s="294" t="n">
        <v>0.239</v>
      </c>
      <c r="G29" s="297" t="inlineStr">
        <is>
          <t>49.5%</t>
        </is>
      </c>
      <c r="H29" s="298" t="inlineStr">
        <is>
          <t>us-east1</t>
        </is>
      </c>
      <c r="I29" s="299" t="inlineStr">
        <is>
          <t>Primary CRA memory-optimised target. Compare vs Azure E8s_v5 and AWS r6i.2xlarge.</t>
        </is>
      </c>
    </row>
    <row r="30">
      <c r="A30" s="293" t="inlineStr">
        <is>
          <t>n2-highmem-16</t>
        </is>
      </c>
      <c r="B30" s="294" t="n">
        <v>16</v>
      </c>
      <c r="C30" s="294" t="n">
        <v>128</v>
      </c>
      <c r="D30" s="295" t="inlineStr">
        <is>
          <t>Persistent</t>
        </is>
      </c>
      <c r="E30" s="296" t="n">
        <v>0.947</v>
      </c>
      <c r="F30" s="294" t="n">
        <v>0.479</v>
      </c>
      <c r="G30" s="297" t="inlineStr">
        <is>
          <t>49.4%</t>
        </is>
      </c>
      <c r="H30" s="298" t="inlineStr">
        <is>
          <t>us-east1</t>
        </is>
      </c>
      <c r="I30" s="299" t="inlineStr">
        <is>
          <t>Large memory workloads.</t>
        </is>
      </c>
    </row>
    <row r="31">
      <c r="A31" s="293" t="inlineStr">
        <is>
          <t>n2-standard-8</t>
        </is>
      </c>
      <c r="B31" s="294" t="n">
        <v>8</v>
      </c>
      <c r="C31" s="294" t="n">
        <v>32</v>
      </c>
      <c r="D31" s="295" t="inlineStr">
        <is>
          <t>Persistent</t>
        </is>
      </c>
      <c r="E31" s="296" t="n">
        <v>0.447</v>
      </c>
      <c r="F31" s="294" t="n">
        <v>0.226</v>
      </c>
      <c r="G31" s="297" t="inlineStr">
        <is>
          <t>49.4%</t>
        </is>
      </c>
      <c r="H31" s="298" t="inlineStr">
        <is>
          <t>europe-west2 (London)</t>
        </is>
      </c>
      <c r="I31" s="299" t="inlineStr">
        <is>
          <t>London region add-on: ~15% premium over us-east1. Use for UK-based CRA engagements.</t>
        </is>
      </c>
    </row>
    <row r="32">
      <c r="A32" s="300" t="inlineStr">
        <is>
          <t>GCP Committed Use Discounts (CUD): 3yr resource-based CUD gives ~50% discount on CPU/RAM. GCP Sustained Use Discounts (SUD) apply automatically at up to 30% for full-month usage. CUDs stack with SUDs on the non-CUD portion.</t>
        </is>
      </c>
    </row>
    <row r="33">
      <c r="A33" s="303" t="inlineStr">
        <is>
          <t>VALIDATION CHECKLIST -- Complete before customer TCO submission</t>
        </is>
      </c>
      <c r="B33" s="291" t="n"/>
      <c r="C33" s="291" t="n"/>
      <c r="D33" s="291" t="n"/>
      <c r="E33" s="291" t="n"/>
      <c r="F33" s="291" t="n"/>
      <c r="G33" s="291" t="n"/>
      <c r="H33" s="291" t="n"/>
      <c r="I33" s="292" t="n"/>
    </row>
    <row r="34">
      <c r="A34" s="289" t="inlineStr">
        <is>
          <t>Validation Check</t>
        </is>
      </c>
      <c r="B34" s="289" t="inlineStr">
        <is>
          <t>Source / Tab</t>
        </is>
      </c>
      <c r="C34" s="289" t="inlineStr">
        <is>
          <t>Action Required</t>
        </is>
      </c>
      <c r="D34" s="291" t="n"/>
      <c r="E34" s="291" t="n"/>
      <c r="F34" s="291" t="n"/>
      <c r="G34" s="291" t="n"/>
      <c r="H34" s="292" t="n"/>
      <c r="I34" s="289" t="inlineStr">
        <is>
          <t>Status</t>
        </is>
      </c>
    </row>
    <row r="35" ht="24" customHeight="1" s="21">
      <c r="A35" s="293" t="inlineStr">
        <is>
          <t>Azure pricing validated</t>
        </is>
      </c>
      <c r="B35" s="299" t="inlineStr">
        <is>
          <t>azure.microsoft.com/pricing/calculator</t>
        </is>
      </c>
      <c r="C35" s="298" t="inlineStr">
        <is>
          <t>Confirm Dsv5 and Esv5 pricing in target region and commitment tier</t>
        </is>
      </c>
      <c r="D35" s="291" t="n"/>
      <c r="E35" s="291" t="n"/>
      <c r="F35" s="291" t="n"/>
      <c r="G35" s="291" t="n"/>
      <c r="H35" s="292" t="n"/>
      <c r="I35" s="304" t="inlineStr">
        <is>
          <t>[ ] Pending</t>
        </is>
      </c>
    </row>
    <row r="36" ht="24" customHeight="1" s="21">
      <c r="A36" s="293" t="inlineStr">
        <is>
          <t>Azure AHB saving calculated</t>
        </is>
      </c>
      <c r="B36" s="299" t="inlineStr">
        <is>
          <t>LICENSING-OVERLAY tab</t>
        </is>
      </c>
      <c r="C36" s="298" t="inlineStr">
        <is>
          <t>Apply AHB to all AHB-eligible VMs (Windows + SQL). Record count and saving.</t>
        </is>
      </c>
      <c r="D36" s="291" t="n"/>
      <c r="E36" s="291" t="n"/>
      <c r="F36" s="291" t="n"/>
      <c r="G36" s="291" t="n"/>
      <c r="H36" s="292" t="n"/>
      <c r="I36" s="304" t="inlineStr">
        <is>
          <t>[ ] Pending</t>
        </is>
      </c>
    </row>
    <row r="37" ht="24" customHeight="1" s="21">
      <c r="A37" s="293" t="inlineStr">
        <is>
          <t>Azure ESU saving calculated</t>
        </is>
      </c>
      <c r="B37" s="299" t="inlineStr">
        <is>
          <t>LICENSING-OVERLAY tab</t>
        </is>
      </c>
      <c r="C37" s="298" t="inlineStr">
        <is>
          <t>Identify EoL OS count. Azure ESU is included free -- model as on-prem ESU cost avoided.</t>
        </is>
      </c>
      <c r="D37" s="291" t="n"/>
      <c r="E37" s="291" t="n"/>
      <c r="F37" s="291" t="n"/>
      <c r="G37" s="291" t="n"/>
      <c r="H37" s="292" t="n"/>
      <c r="I37" s="304" t="inlineStr">
        <is>
          <t>[ ] Pending</t>
        </is>
      </c>
    </row>
    <row r="38" ht="24" customHeight="1" s="21">
      <c r="A38" s="293" t="inlineStr">
        <is>
          <t>AWS pricing validated</t>
        </is>
      </c>
      <c r="B38" s="299" t="inlineStr">
        <is>
          <t>aws.amazon.com/ec2/pricing</t>
        </is>
      </c>
      <c r="C38" s="298" t="inlineStr">
        <is>
          <t>Confirm m6i/r6i (or m7i for new deployments) in target region and RI/Savings Plan tier</t>
        </is>
      </c>
      <c r="D38" s="291" t="n"/>
      <c r="E38" s="291" t="n"/>
      <c r="F38" s="291" t="n"/>
      <c r="G38" s="291" t="n"/>
      <c r="H38" s="292" t="n"/>
      <c r="I38" s="304" t="inlineStr">
        <is>
          <t>[ ] Pending</t>
        </is>
      </c>
    </row>
    <row r="39" ht="24" customHeight="1" s="21">
      <c r="A39" s="293" t="inlineStr">
        <is>
          <t>AWS MAP credit estimated</t>
        </is>
      </c>
      <c r="B39" s="299" t="inlineStr">
        <is>
          <t>PARTNER-CREDITS tab</t>
        </is>
      </c>
      <c r="C39" s="298" t="inlineStr">
        <is>
          <t>MAP credit estimate: typically 20-25% of migration services cost. Confirm with AWS team.</t>
        </is>
      </c>
      <c r="D39" s="291" t="n"/>
      <c r="E39" s="291" t="n"/>
      <c r="F39" s="291" t="n"/>
      <c r="G39" s="291" t="n"/>
      <c r="H39" s="292" t="n"/>
      <c r="I39" s="304" t="inlineStr">
        <is>
          <t>[ ] Pending</t>
        </is>
      </c>
    </row>
    <row r="40" ht="24" customHeight="1" s="21">
      <c r="A40" s="293" t="inlineStr">
        <is>
          <t>GCP pricing validated</t>
        </is>
      </c>
      <c r="B40" s="299" t="inlineStr">
        <is>
          <t>cloud.google.com/compute/vm-instance-pricing</t>
        </is>
      </c>
      <c r="C40" s="298" t="inlineStr">
        <is>
          <t>Confirm n2-standard / n2-highmem in target region and 3yr CUD tier</t>
        </is>
      </c>
      <c r="D40" s="291" t="n"/>
      <c r="E40" s="291" t="n"/>
      <c r="F40" s="291" t="n"/>
      <c r="G40" s="291" t="n"/>
      <c r="H40" s="292" t="n"/>
      <c r="I40" s="304" t="inlineStr">
        <is>
          <t>[ ] Pending</t>
        </is>
      </c>
    </row>
    <row r="41" ht="24" customHeight="1" s="21">
      <c r="A41" s="293" t="inlineStr">
        <is>
          <t>GCP PSO credit estimated</t>
        </is>
      </c>
      <c r="B41" s="299" t="inlineStr">
        <is>
          <t>PARTNER-CREDITS tab</t>
        </is>
      </c>
      <c r="C41" s="298" t="inlineStr">
        <is>
          <t>PSO credits: typically $10K-$150K depending on workload size. Confirm with GCP team.</t>
        </is>
      </c>
      <c r="D41" s="291" t="n"/>
      <c r="E41" s="291" t="n"/>
      <c r="F41" s="291" t="n"/>
      <c r="G41" s="291" t="n"/>
      <c r="H41" s="292" t="n"/>
      <c r="I41" s="304" t="inlineStr">
        <is>
          <t>[ ] Pending</t>
        </is>
      </c>
    </row>
    <row r="42" ht="24" customHeight="1" s="21">
      <c r="A42" s="293" t="inlineStr">
        <is>
          <t>On-prem baseline validated</t>
        </is>
      </c>
      <c r="B42" s="299" t="inlineStr">
        <is>
          <t>ONPREM-STATUSQUO tab</t>
        </is>
      </c>
      <c r="C42" s="298" t="inlineStr">
        <is>
          <t>Ensure hardware refresh cost, VMware licensing, DC facilities, and ESU are all included.</t>
        </is>
      </c>
      <c r="D42" s="291" t="n"/>
      <c r="E42" s="291" t="n"/>
      <c r="F42" s="291" t="n"/>
      <c r="G42" s="291" t="n"/>
      <c r="H42" s="292" t="n"/>
      <c r="I42" s="304" t="inlineStr">
        <is>
          <t>[ ] Pending</t>
        </is>
      </c>
    </row>
    <row r="43" ht="24" customHeight="1" s="21">
      <c r="A43" s="293" t="inlineStr">
        <is>
          <t>Year 1 dual-running modelled</t>
        </is>
      </c>
      <c r="B43" s="299" t="inlineStr">
        <is>
          <t>YEAR1-DUALRUNNING tab</t>
        </is>
      </c>
      <c r="C43" s="298" t="inlineStr">
        <is>
          <t>Year 1 includes: on-prem remaining + cloud ramp-up + migration tooling + PS cost.</t>
        </is>
      </c>
      <c r="D43" s="291" t="n"/>
      <c r="E43" s="291" t="n"/>
      <c r="F43" s="291" t="n"/>
      <c r="G43" s="291" t="n"/>
      <c r="H43" s="292" t="n"/>
      <c r="I43" s="304" t="inlineStr">
        <is>
          <t>[ ] Pending</t>
        </is>
      </c>
    </row>
    <row r="44" ht="24" customHeight="1" s="21">
      <c r="A44" s="293" t="inlineStr">
        <is>
          <t>Regional pricing applied</t>
        </is>
      </c>
      <c r="B44" s="299" t="inlineStr">
        <is>
          <t>ALL CLOUD TABS</t>
        </is>
      </c>
      <c r="C44" s="298" t="inlineStr">
        <is>
          <t>Confirm UK/EU regional pricing premiums applied (Azure UK South +12.5%, AWS eu-west-2 +12.5%, GCP europe-west2 +15% vs US East baseline).</t>
        </is>
      </c>
      <c r="D44" s="291" t="n"/>
      <c r="E44" s="291" t="n"/>
      <c r="F44" s="291" t="n"/>
      <c r="G44" s="291" t="n"/>
      <c r="H44" s="292" t="n"/>
      <c r="I44" s="304" t="inlineStr">
        <is>
          <t>[ ] Pending</t>
        </is>
      </c>
    </row>
    <row r="45">
      <c r="A45" s="305" t="inlineStr">
        <is>
          <t>OFFICIAL PRICING SOURCES</t>
        </is>
      </c>
      <c r="B45" s="291" t="n"/>
      <c r="C45" s="291" t="n"/>
      <c r="D45" s="291" t="n"/>
      <c r="E45" s="291" t="n"/>
      <c r="F45" s="291" t="n"/>
      <c r="G45" s="291" t="n"/>
      <c r="H45" s="291" t="n"/>
      <c r="I45" s="292" t="n"/>
    </row>
    <row r="46">
      <c r="A46" s="293" t="inlineStr">
        <is>
          <t>Azure</t>
        </is>
      </c>
      <c r="B46" s="298" t="inlineStr">
        <is>
          <t>https://azure.microsoft.com/pricing/details/virtual-machines/</t>
        </is>
      </c>
      <c r="C46" s="291" t="n"/>
      <c r="D46" s="291" t="n"/>
      <c r="E46" s="291" t="n"/>
      <c r="F46" s="291" t="n"/>
      <c r="G46" s="292" t="n"/>
      <c r="H46" s="299" t="inlineStr">
        <is>
          <t>Azure VM pricing by region and commitment tier</t>
        </is>
      </c>
      <c r="I46" s="292" t="n"/>
    </row>
    <row r="47">
      <c r="A47" s="293" t="inlineStr">
        <is>
          <t>Azure Calculator</t>
        </is>
      </c>
      <c r="B47" s="298" t="inlineStr">
        <is>
          <t>https://azure.microsoft.com/pricing/calculator/</t>
        </is>
      </c>
      <c r="C47" s="291" t="n"/>
      <c r="D47" s="291" t="n"/>
      <c r="E47" s="291" t="n"/>
      <c r="F47" s="291" t="n"/>
      <c r="G47" s="292" t="n"/>
      <c r="H47" s="299" t="inlineStr">
        <is>
          <t>Build a configurable estimate; export for TCO model validation</t>
        </is>
      </c>
      <c r="I47" s="292" t="n"/>
    </row>
    <row r="48">
      <c r="A48" s="293" t="inlineStr">
        <is>
          <t>Azure Hybrid Benefit</t>
        </is>
      </c>
      <c r="B48" s="298" t="inlineStr">
        <is>
          <t>https://azure.microsoft.com/pricing/hybrid-benefit/</t>
        </is>
      </c>
      <c r="C48" s="291" t="n"/>
      <c r="D48" s="291" t="n"/>
      <c r="E48" s="291" t="n"/>
      <c r="F48" s="291" t="n"/>
      <c r="G48" s="292" t="n"/>
      <c r="H48" s="299" t="inlineStr">
        <is>
          <t>Calculate AHB savings for Windows Server and SQL Server licences</t>
        </is>
      </c>
      <c r="I48" s="292" t="n"/>
    </row>
    <row r="49">
      <c r="A49" s="293" t="inlineStr">
        <is>
          <t>AWS</t>
        </is>
      </c>
      <c r="B49" s="298" t="inlineStr">
        <is>
          <t>https://aws.amazon.com/ec2/pricing/reserved-instances/</t>
        </is>
      </c>
      <c r="C49" s="291" t="n"/>
      <c r="D49" s="291" t="n"/>
      <c r="E49" s="291" t="n"/>
      <c r="F49" s="291" t="n"/>
      <c r="G49" s="292" t="n"/>
      <c r="H49" s="299" t="inlineStr">
        <is>
          <t>AWS EC2 Reserved Instance pricing by region and commitment type</t>
        </is>
      </c>
      <c r="I49" s="292" t="n"/>
    </row>
    <row r="50">
      <c r="A50" s="293" t="inlineStr">
        <is>
          <t>AWS Pricing Calculator</t>
        </is>
      </c>
      <c r="B50" s="298" t="inlineStr">
        <is>
          <t>https://calculator.aws/pricing/2/home</t>
        </is>
      </c>
      <c r="C50" s="291" t="n"/>
      <c r="D50" s="291" t="n"/>
      <c r="E50" s="291" t="n"/>
      <c r="F50" s="291" t="n"/>
      <c r="G50" s="292" t="n"/>
      <c r="H50" s="299" t="inlineStr">
        <is>
          <t>Build configurable estimate; export for TCO model validation</t>
        </is>
      </c>
      <c r="I50" s="292" t="n"/>
    </row>
    <row r="51">
      <c r="A51" s="293" t="inlineStr">
        <is>
          <t>GCP</t>
        </is>
      </c>
      <c r="B51" s="298" t="inlineStr">
        <is>
          <t>https://cloud.google.com/compute/vm-instance-pricing</t>
        </is>
      </c>
      <c r="C51" s="291" t="n"/>
      <c r="D51" s="291" t="n"/>
      <c r="E51" s="291" t="n"/>
      <c r="F51" s="291" t="n"/>
      <c r="G51" s="292" t="n"/>
      <c r="H51" s="299" t="inlineStr">
        <is>
          <t>GCP Compute Engine pricing with CUD and SUD details</t>
        </is>
      </c>
      <c r="I51" s="292" t="n"/>
    </row>
    <row r="52">
      <c r="A52" s="293" t="inlineStr">
        <is>
          <t>GCP Pricing Calculator</t>
        </is>
      </c>
      <c r="B52" s="298" t="inlineStr">
        <is>
          <t>https://cloud.google.com/products/calculator</t>
        </is>
      </c>
      <c r="C52" s="291" t="n"/>
      <c r="D52" s="291" t="n"/>
      <c r="E52" s="291" t="n"/>
      <c r="F52" s="291" t="n"/>
      <c r="G52" s="292" t="n"/>
      <c r="H52" s="299" t="inlineStr">
        <is>
          <t>Build configurable estimate; compare 1yr vs 3yr CUD</t>
        </is>
      </c>
      <c r="I52" s="292" t="n"/>
    </row>
    <row r="53">
      <c r="A53" s="293" t="inlineStr">
        <is>
          <t>Azure Migration &amp; Modernisation</t>
        </is>
      </c>
      <c r="B53" s="298" t="inlineStr">
        <is>
          <t>https://azure.microsoft.com/solutions/migration/</t>
        </is>
      </c>
      <c r="C53" s="291" t="n"/>
      <c r="D53" s="291" t="n"/>
      <c r="E53" s="291" t="n"/>
      <c r="F53" s="291" t="n"/>
      <c r="G53" s="292" t="n"/>
      <c r="H53" s="299" t="inlineStr">
        <is>
          <t>AMM funding eligibility and deal registration portal</t>
        </is>
      </c>
      <c r="I53" s="292" t="n"/>
    </row>
    <row r="54" ht="18" customHeight="1" s="21">
      <c r="A54" s="293" t="inlineStr">
        <is>
          <t>AWS MAP</t>
        </is>
      </c>
      <c r="B54" s="298" t="inlineStr">
        <is>
          <t>https://aws.amazon.com/migration-acceleration-program/</t>
        </is>
      </c>
      <c r="C54" s="291" t="n"/>
      <c r="D54" s="291" t="n"/>
      <c r="E54" s="291" t="n"/>
      <c r="F54" s="291" t="n"/>
      <c r="G54" s="292" t="n"/>
      <c r="H54" s="299" t="inlineStr">
        <is>
          <t>MAP funding eligibility and registration process</t>
        </is>
      </c>
      <c r="I54" s="292" t="n"/>
    </row>
  </sheetData>
  <mergeCells count="40">
    <mergeCell ref="H53:I53"/>
    <mergeCell ref="C41:H41"/>
    <mergeCell ref="C44:H44"/>
    <mergeCell ref="C40:H40"/>
    <mergeCell ref="H54:I54"/>
    <mergeCell ref="A3:I3"/>
    <mergeCell ref="H50:I50"/>
    <mergeCell ref="C43:H43"/>
    <mergeCell ref="B53:G53"/>
    <mergeCell ref="A2:I2"/>
    <mergeCell ref="A33:I33"/>
    <mergeCell ref="C36:H36"/>
    <mergeCell ref="A5:I5"/>
    <mergeCell ref="H46:I46"/>
    <mergeCell ref="A32:I32"/>
    <mergeCell ref="A14:I14"/>
    <mergeCell ref="H49:I49"/>
    <mergeCell ref="A23:I23"/>
    <mergeCell ref="C39:H39"/>
    <mergeCell ref="B49:G49"/>
    <mergeCell ref="H51:I51"/>
    <mergeCell ref="H52:I52"/>
    <mergeCell ref="B51:G51"/>
    <mergeCell ref="C38:H38"/>
    <mergeCell ref="C37:H37"/>
    <mergeCell ref="B50:G50"/>
    <mergeCell ref="C34:H34"/>
    <mergeCell ref="H47:I47"/>
    <mergeCell ref="A24:I24"/>
    <mergeCell ref="A15:I15"/>
    <mergeCell ref="B47:G47"/>
    <mergeCell ref="B54:G54"/>
    <mergeCell ref="C42:H42"/>
    <mergeCell ref="B46:G46"/>
    <mergeCell ref="H48:I48"/>
    <mergeCell ref="A1:I1"/>
    <mergeCell ref="A45:I45"/>
    <mergeCell ref="C35:H35"/>
    <mergeCell ref="B52:G52"/>
    <mergeCell ref="B48:G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2026-04-25T12:28:23Z</dcterms:created>
  <dcterms:modified xmlns:dcterms="http://purl.org/dc/terms/" xmlns:xsi="http://www.w3.org/2001/XMLSchema-instance" xsi:type="dcterms:W3CDTF">2026-06-03T09:03:43Z</dcterms:modified>
  <cp:lastModifiedBy>Upendra Kumar</cp:lastModifiedBy>
  <cp:revision>0</cp:revision>
</cp:coreProperties>
</file>