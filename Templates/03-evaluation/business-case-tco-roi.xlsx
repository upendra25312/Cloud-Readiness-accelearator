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raxglobal-my.sharepoint.com/personal/upendra_kumar_rackspace_com1/Documents/Projects/DMG/Cloud Readiness acceleartor/Templates/"/>
    </mc:Choice>
  </mc:AlternateContent>
  <xr:revisionPtr revIDLastSave="3097" documentId="11_86F7797D7B04DD14798F071AAF3FDDB56F0F7C99" xr6:coauthVersionLast="47" xr6:coauthVersionMax="47" xr10:uidLastSave="{B3773082-4BE5-45FE-92B2-4E0E9EC2AD5D}"/>
  <bookViews>
    <workbookView xWindow="28680" yWindow="-120" windowWidth="29040" windowHeight="15720" tabRatio="500" firstSheet="1" activeTab="2" xr2:uid="{00000000-000D-0000-FFFF-FFFF00000000}"/>
  </bookViews>
  <sheets>
    <sheet name="Executive Dashboard" sheetId="5" r:id="rId1"/>
    <sheet name="Business Case" sheetId="1" r:id="rId2"/>
    <sheet name="Multi-Cloud Comparison" sheetId="2" r:id="rId3"/>
    <sheet name="Cloud Provider Data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12" i="5" l="1"/>
  <c r="C61" i="1"/>
  <c r="B61" i="1"/>
  <c r="B9" i="5"/>
  <c r="C60" i="1"/>
  <c r="B60" i="1"/>
  <c r="C59" i="1"/>
  <c r="B59" i="1"/>
  <c r="B82" i="1"/>
  <c r="B81" i="1"/>
  <c r="B80" i="1"/>
  <c r="B3" i="1"/>
  <c r="A3" i="1"/>
  <c r="B72" i="1"/>
  <c r="C3" i="1" l="1"/>
  <c r="B62" i="1"/>
  <c r="C62" i="1"/>
  <c r="B73" i="1" s="1"/>
  <c r="B11" i="5" l="1"/>
  <c r="B74" i="1"/>
  <c r="B75" i="1" s="1"/>
  <c r="B67" i="1"/>
  <c r="B70" i="1" s="1"/>
</calcChain>
</file>

<file path=xl/sharedStrings.xml><?xml version="1.0" encoding="utf-8"?>
<sst xmlns="http://schemas.openxmlformats.org/spreadsheetml/2006/main" count="1013" uniqueCount="751">
  <si>
    <t>Infrastructure Costs (Annual)</t>
  </si>
  <si>
    <t>Category</t>
  </si>
  <si>
    <t>Description</t>
  </si>
  <si>
    <t>FY</t>
  </si>
  <si>
    <t>Owner</t>
  </si>
  <si>
    <t>Notes</t>
  </si>
  <si>
    <t>Compute (Servers)</t>
  </si>
  <si>
    <t>Physical/virtual servers</t>
  </si>
  <si>
    <t>Storage</t>
  </si>
  <si>
    <t>SAN / NAS / DAS</t>
  </si>
  <si>
    <t>Networking</t>
  </si>
  <si>
    <t>Switches, firewalls, load balancers</t>
  </si>
  <si>
    <t>Data Center</t>
  </si>
  <si>
    <t>Power, cooling, space, facilities</t>
  </si>
  <si>
    <t>Disaster Recovery</t>
  </si>
  <si>
    <t>DR infrastructure and services</t>
  </si>
  <si>
    <t>Infrastructure Subtotal</t>
  </si>
  <si>
    <t>Software &amp; Licensing Costs (Annual)</t>
  </si>
  <si>
    <t>Vendor</t>
  </si>
  <si>
    <t>Renewal</t>
  </si>
  <si>
    <t>Operating Systems</t>
  </si>
  <si>
    <t>Windows Server, Linux (RHEL, etc.)</t>
  </si>
  <si>
    <t>Database Licenses</t>
  </si>
  <si>
    <t>Oracle, SQL Server, etc.</t>
  </si>
  <si>
    <t>Middleware</t>
  </si>
  <si>
    <t>Application servers, integration</t>
  </si>
  <si>
    <t>Monitoring Tools</t>
  </si>
  <si>
    <t>APM, infrastructure monitoring</t>
  </si>
  <si>
    <t>Security Tools</t>
  </si>
  <si>
    <t>AV, SIEM, vulnerability scanning</t>
  </si>
  <si>
    <t>Backup Software</t>
  </si>
  <si>
    <t>Backup and recovery tools</t>
  </si>
  <si>
    <t>Licensing Subtotal</t>
  </si>
  <si>
    <t>Personnel Costs (Annual)</t>
  </si>
  <si>
    <t>Role</t>
  </si>
  <si>
    <t>FTE Count</t>
  </si>
  <si>
    <t>Location</t>
  </si>
  <si>
    <t>System Administrators</t>
  </si>
  <si>
    <t>Database Administrators</t>
  </si>
  <si>
    <t>Network Engineers</t>
  </si>
  <si>
    <t>Security Engineers</t>
  </si>
  <si>
    <t>Personnel Subtotal</t>
  </si>
  <si>
    <t>Operational Costs (Annual)</t>
  </si>
  <si>
    <t>Frequency</t>
  </si>
  <si>
    <t>Maintenance contracts</t>
  </si>
  <si>
    <t>Professional services</t>
  </si>
  <si>
    <t>Training</t>
  </si>
  <si>
    <t>Compliance / audit</t>
  </si>
  <si>
    <t>Operational Subtotal</t>
  </si>
  <si>
    <t>Total Current-State Annual Cost</t>
  </si>
  <si>
    <t>Service Category</t>
  </si>
  <si>
    <t>Provider</t>
  </si>
  <si>
    <t>Region</t>
  </si>
  <si>
    <t>Compute (VMs/Containers)</t>
  </si>
  <si>
    <t>Database (Managed)</t>
  </si>
  <si>
    <t>Networking/Data Transfer</t>
  </si>
  <si>
    <t>Security Services</t>
  </si>
  <si>
    <t>Support Plan</t>
  </si>
  <si>
    <t>Reserved/Committed Discounts</t>
  </si>
  <si>
    <t>Total Cloud Annual Cost</t>
  </si>
  <si>
    <t>Year</t>
  </si>
  <si>
    <t>Year 1</t>
  </si>
  <si>
    <t>Year 2</t>
  </si>
  <si>
    <t>Year 3</t>
  </si>
  <si>
    <t>Total</t>
  </si>
  <si>
    <t>Component</t>
  </si>
  <si>
    <t>Cost Savings (3-Year)</t>
  </si>
  <si>
    <t>Current - Cloud costs (3 yrs)</t>
  </si>
  <si>
    <t>Revenue Benefits</t>
  </si>
  <si>
    <t>Faster time-to-market, new capabilities</t>
  </si>
  <si>
    <t>Risk Mitigation Value</t>
  </si>
  <si>
    <t>Reduced downtime, improved security</t>
  </si>
  <si>
    <t>Total Benefits</t>
  </si>
  <si>
    <t>Cloud Costs (3-Year)</t>
  </si>
  <si>
    <t>Total Costs</t>
  </si>
  <si>
    <t>ROI %</t>
  </si>
  <si>
    <t>(Benefits - Costs) / Costs × 100%</t>
  </si>
  <si>
    <t>Value</t>
  </si>
  <si>
    <t>Source</t>
  </si>
  <si>
    <t>Metric</t>
  </si>
  <si>
    <t>Recommendation</t>
  </si>
  <si>
    <t>Proceed / Proceed with conditions / Defer / Do not proceed</t>
  </si>
  <si>
    <t>Key Benefits</t>
  </si>
  <si>
    <t>Cloud Provider</t>
  </si>
  <si>
    <t>Service Name / SKU</t>
  </si>
  <si>
    <t>Multi-Cloud Cost Comparison Matrix</t>
  </si>
  <si>
    <t>Compare pricing across AWS, Microsoft Azure, and Google Cloud Platform</t>
  </si>
  <si>
    <t>1. COMPUTE SERVICES</t>
  </si>
  <si>
    <t>Service Type</t>
  </si>
  <si>
    <t>AWS Service</t>
  </si>
  <si>
    <t>Azure Service</t>
  </si>
  <si>
    <t>GCP Service</t>
  </si>
  <si>
    <t>Selected Provider</t>
  </si>
  <si>
    <t>Instance/SKU Details</t>
  </si>
  <si>
    <t>Virtual Machines</t>
  </si>
  <si>
    <t>EC2</t>
  </si>
  <si>
    <t>Compute Engine</t>
  </si>
  <si>
    <t>Containers (Managed)</t>
  </si>
  <si>
    <t>ECS/EKS</t>
  </si>
  <si>
    <t>AKS</t>
  </si>
  <si>
    <t>GKE</t>
  </si>
  <si>
    <t>Serverless Compute</t>
  </si>
  <si>
    <t>Lambda</t>
  </si>
  <si>
    <t>Azure Functions</t>
  </si>
  <si>
    <t>Cloud Functions</t>
  </si>
  <si>
    <t>Batch Processing</t>
  </si>
  <si>
    <t>AWS Batch</t>
  </si>
  <si>
    <t>Azure Batch</t>
  </si>
  <si>
    <t>Cloud Batch</t>
  </si>
  <si>
    <t>Reserved/Committed</t>
  </si>
  <si>
    <t>Savings Plans</t>
  </si>
  <si>
    <t>Reserved Instances</t>
  </si>
  <si>
    <t>Committed Use</t>
  </si>
  <si>
    <t>Compute Subtotal</t>
  </si>
  <si>
    <t>2. DATABASE SERVICES</t>
  </si>
  <si>
    <t>Relational DB (SQL)</t>
  </si>
  <si>
    <t>RDS</t>
  </si>
  <si>
    <t>Azure SQL</t>
  </si>
  <si>
    <t>Cloud SQL</t>
  </si>
  <si>
    <t>NoSQL Database</t>
  </si>
  <si>
    <t>DynamoDB</t>
  </si>
  <si>
    <t>Cosmos DB</t>
  </si>
  <si>
    <t>Firestore/Bigtable</t>
  </si>
  <si>
    <t>Data Warehouse</t>
  </si>
  <si>
    <t>Redshift</t>
  </si>
  <si>
    <t>Synapse Analytics</t>
  </si>
  <si>
    <t>BigQuery</t>
  </si>
  <si>
    <t>In-Memory Cache</t>
  </si>
  <si>
    <t>ElastiCache</t>
  </si>
  <si>
    <t>Azure Cache</t>
  </si>
  <si>
    <t>Memorystore</t>
  </si>
  <si>
    <t>Database Migration</t>
  </si>
  <si>
    <t>DMS</t>
  </si>
  <si>
    <t>Azure DMS</t>
  </si>
  <si>
    <t>Database Subtotal</t>
  </si>
  <si>
    <t>3. STORAGE SERVICES</t>
  </si>
  <si>
    <t>Capacity (TB)</t>
  </si>
  <si>
    <t>Object Storage</t>
  </si>
  <si>
    <t>S3</t>
  </si>
  <si>
    <t>Blob Storage</t>
  </si>
  <si>
    <t>Cloud Storage</t>
  </si>
  <si>
    <t>Block Storage</t>
  </si>
  <si>
    <t>EBS</t>
  </si>
  <si>
    <t>Managed Disks</t>
  </si>
  <si>
    <t>Persistent Disk</t>
  </si>
  <si>
    <t>File Storage</t>
  </si>
  <si>
    <t>EFS</t>
  </si>
  <si>
    <t>Azure Files</t>
  </si>
  <si>
    <t>Filestore</t>
  </si>
  <si>
    <t>Archive Storage</t>
  </si>
  <si>
    <t>S3 Glacier</t>
  </si>
  <si>
    <t>Backup Services</t>
  </si>
  <si>
    <t>AWS Backup</t>
  </si>
  <si>
    <t>Azure Backup</t>
  </si>
  <si>
    <t>Cloud Backup</t>
  </si>
  <si>
    <t>Storage Subtotal</t>
  </si>
  <si>
    <t>4. NETWORKING &amp; DATA TRANSFER</t>
  </si>
  <si>
    <t>Bandwidth (TB)</t>
  </si>
  <si>
    <t>Virtual Network</t>
  </si>
  <si>
    <t>VPC</t>
  </si>
  <si>
    <t>VNet</t>
  </si>
  <si>
    <t>Load Balancer</t>
  </si>
  <si>
    <t>ELB/ALB/NLB</t>
  </si>
  <si>
    <t>Azure LB</t>
  </si>
  <si>
    <t>Cloud LB</t>
  </si>
  <si>
    <t>CDN</t>
  </si>
  <si>
    <t>CloudFront</t>
  </si>
  <si>
    <t>Azure CDN</t>
  </si>
  <si>
    <t>Cloud CDN</t>
  </si>
  <si>
    <t>DNS</t>
  </si>
  <si>
    <t>Route 53</t>
  </si>
  <si>
    <t>Azure DNS</t>
  </si>
  <si>
    <t>Cloud DNS</t>
  </si>
  <si>
    <t>Data Transfer (Egress)</t>
  </si>
  <si>
    <t>Data Transfer</t>
  </si>
  <si>
    <t>Bandwidth</t>
  </si>
  <si>
    <t>Network Egress</t>
  </si>
  <si>
    <t>VPN/Interconnect</t>
  </si>
  <si>
    <t>Direct Connect</t>
  </si>
  <si>
    <t>ExpressRoute</t>
  </si>
  <si>
    <t>Cloud Interconnect</t>
  </si>
  <si>
    <t>Networking Subtotal</t>
  </si>
  <si>
    <t>5. SECURITY &amp; IDENTITY</t>
  </si>
  <si>
    <t>Users/Resources</t>
  </si>
  <si>
    <t>Identity &amp; Access</t>
  </si>
  <si>
    <t>IAM/Cognito</t>
  </si>
  <si>
    <t>Entra ID</t>
  </si>
  <si>
    <t>Cloud IAM</t>
  </si>
  <si>
    <t>Key Management</t>
  </si>
  <si>
    <t>KMS</t>
  </si>
  <si>
    <t>Key Vault</t>
  </si>
  <si>
    <t>Cloud KMS</t>
  </si>
  <si>
    <t>SIEM/Security Analytics</t>
  </si>
  <si>
    <t>Security Hub</t>
  </si>
  <si>
    <t>Sentinel</t>
  </si>
  <si>
    <t>Security Command</t>
  </si>
  <si>
    <t>DDoS Protection</t>
  </si>
  <si>
    <t>Shield</t>
  </si>
  <si>
    <t>Cloud Armor</t>
  </si>
  <si>
    <t>WAF</t>
  </si>
  <si>
    <t>AWS WAF</t>
  </si>
  <si>
    <t>Azure WAF</t>
  </si>
  <si>
    <t>Cloud Armor WAF</t>
  </si>
  <si>
    <t>Security Subtotal</t>
  </si>
  <si>
    <t>Resources Monitored</t>
  </si>
  <si>
    <t>Logging</t>
  </si>
  <si>
    <t>CloudWatch Logs</t>
  </si>
  <si>
    <t>Log Analytics</t>
  </si>
  <si>
    <t>Cloud Logging</t>
  </si>
  <si>
    <t>Cost Management</t>
  </si>
  <si>
    <t>Cost Explorer</t>
  </si>
  <si>
    <t>Automation</t>
  </si>
  <si>
    <t>Systems Manager</t>
  </si>
  <si>
    <t>Cloud Deployment Mgr</t>
  </si>
  <si>
    <t>Management Subtotal</t>
  </si>
  <si>
    <t>7. AI/ML &amp; ANALYTICS SERVICES</t>
  </si>
  <si>
    <t>Usage Units</t>
  </si>
  <si>
    <t>ML Platform</t>
  </si>
  <si>
    <t>SageMaker</t>
  </si>
  <si>
    <t>Azure ML</t>
  </si>
  <si>
    <t>Vertex AI</t>
  </si>
  <si>
    <t>AI Services (Vision/NLP)</t>
  </si>
  <si>
    <t>Rekognition/Comprehend</t>
  </si>
  <si>
    <t>Cognitive Services</t>
  </si>
  <si>
    <t>Vision/Language AI</t>
  </si>
  <si>
    <t>Generative AI</t>
  </si>
  <si>
    <t>Bedrock</t>
  </si>
  <si>
    <t>Azure OpenAI</t>
  </si>
  <si>
    <t>Gemini API</t>
  </si>
  <si>
    <t>Data Analytics</t>
  </si>
  <si>
    <t>Athena/EMR</t>
  </si>
  <si>
    <t>HDInsight/Databricks</t>
  </si>
  <si>
    <t>Dataproc</t>
  </si>
  <si>
    <t>Streaming Analytics</t>
  </si>
  <si>
    <t>Kinesis</t>
  </si>
  <si>
    <t>Stream Analytics</t>
  </si>
  <si>
    <t>Dataflow</t>
  </si>
  <si>
    <t>AI/ML Subtotal</t>
  </si>
  <si>
    <t>MULTI-CLOUD COST SUMMARY</t>
  </si>
  <si>
    <t>Compute Services</t>
  </si>
  <si>
    <t>Database Services</t>
  </si>
  <si>
    <t>Storage Services</t>
  </si>
  <si>
    <t>Networking Services</t>
  </si>
  <si>
    <t>Management Services</t>
  </si>
  <si>
    <t>AI/ML Services</t>
  </si>
  <si>
    <t>MONTHLY TOTAL</t>
  </si>
  <si>
    <t>ANNUAL TOTAL</t>
  </si>
  <si>
    <t>Selection Criteria</t>
  </si>
  <si>
    <t>Weight (%)</t>
  </si>
  <si>
    <t>AWS Score (1-5)</t>
  </si>
  <si>
    <t>Azure Score (1-5)</t>
  </si>
  <si>
    <t>GCP Score (1-5)</t>
  </si>
  <si>
    <t>AWS Weighted</t>
  </si>
  <si>
    <t>Azure Weighted</t>
  </si>
  <si>
    <t>GCP Weighted</t>
  </si>
  <si>
    <t>Cost Competitiveness</t>
  </si>
  <si>
    <t>Technical Fit (Services)</t>
  </si>
  <si>
    <t>Compliance &amp; Security</t>
  </si>
  <si>
    <t>Performance &amp; Reliability</t>
  </si>
  <si>
    <t>Migration Complexity</t>
  </si>
  <si>
    <t>Vendor Support &amp; SLAs</t>
  </si>
  <si>
    <t>Strategic Partnership</t>
  </si>
  <si>
    <t>Innovation &amp; Roadmap</t>
  </si>
  <si>
    <t>TOTAL WEIGHTED SCORE</t>
  </si>
  <si>
    <t>CLOUD PRICING CALCULATOR REFERENCES</t>
  </si>
  <si>
    <t>Pricing Calculator URL</t>
  </si>
  <si>
    <t>TCO Calculator URL</t>
  </si>
  <si>
    <t>Estimate ID/Reference</t>
  </si>
  <si>
    <t>Date Generated</t>
  </si>
  <si>
    <t>Amazon Web Services (AWS)</t>
  </si>
  <si>
    <t>calculator.aws</t>
  </si>
  <si>
    <t>aws.amazon.com/tco-calculator</t>
  </si>
  <si>
    <t>Microsoft Azure</t>
  </si>
  <si>
    <t>azure.microsoft.com/pricing/calculator</t>
  </si>
  <si>
    <t>azure.microsoft.com/pricing/tco</t>
  </si>
  <si>
    <t>Google Cloud Platform</t>
  </si>
  <si>
    <t>cloud.google.com/products/calculator</t>
  </si>
  <si>
    <t>cloud.google.com/tco</t>
  </si>
  <si>
    <t>Provider Options:</t>
  </si>
  <si>
    <t>AWS</t>
  </si>
  <si>
    <t>Azure</t>
  </si>
  <si>
    <t>GCP</t>
  </si>
  <si>
    <t>Service Name</t>
  </si>
  <si>
    <t>SKU/Instance Type</t>
  </si>
  <si>
    <t>Quantity</t>
  </si>
  <si>
    <t>Unit</t>
  </si>
  <si>
    <t>AWS TOTAL</t>
  </si>
  <si>
    <t>AZURE TOTAL</t>
  </si>
  <si>
    <t>GCP TOTAL</t>
  </si>
  <si>
    <t>PROVIDER COST COMPARISON SUMMARY</t>
  </si>
  <si>
    <t>% of Lowest</t>
  </si>
  <si>
    <t>Lowest Cost Provider:</t>
  </si>
  <si>
    <t>Annual Savings vs Highest:</t>
  </si>
  <si>
    <t>Template Version 2.0 — Cloud-Agnostic Business Case Framework | AWS | Azure | Google Cloud</t>
  </si>
  <si>
    <t>Migration Strategy</t>
  </si>
  <si>
    <t>Rationale</t>
  </si>
  <si>
    <t>Primary Cloud Provider</t>
  </si>
  <si>
    <t>CLOUD BUSINESS CASE - EXECUTIVE DASHBOARD</t>
  </si>
  <si>
    <t>Cloud-Agnostic Business Case Summary | Multi-Cloud Comparison</t>
  </si>
  <si>
    <t>KEY FINANCIAL METRICS</t>
  </si>
  <si>
    <t>Status</t>
  </si>
  <si>
    <t>Current Annual IT Cost</t>
  </si>
  <si>
    <t>From Business Case!C40</t>
  </si>
  <si>
    <t>Recommended Cloud Annual Cost</t>
  </si>
  <si>
    <t>Selected provider cost</t>
  </si>
  <si>
    <t>Annual Savings</t>
  </si>
  <si>
    <t>CLOUD PROVIDER COMPARISON</t>
  </si>
  <si>
    <t>Selection Score</t>
  </si>
  <si>
    <t>Google Cloud</t>
  </si>
  <si>
    <t>RISK ASSESSMENT SUMMARY</t>
  </si>
  <si>
    <t>Risk Category</t>
  </si>
  <si>
    <t>Impact (H/M/L)</t>
  </si>
  <si>
    <t>Probability (H/M/L)</t>
  </si>
  <si>
    <t>Mitigation Strategy</t>
  </si>
  <si>
    <t>Cost Overrun</t>
  </si>
  <si>
    <t>Timeline Delay</t>
  </si>
  <si>
    <t>Technical Complexity</t>
  </si>
  <si>
    <t>Vendor Lock-in</t>
  </si>
  <si>
    <t>Skills Gap</t>
  </si>
  <si>
    <t>Business Disruption</t>
  </si>
  <si>
    <t>RECOMMENDATION &amp; DECISION</t>
  </si>
  <si>
    <t>Decision Item</t>
  </si>
  <si>
    <t>Value/Selection</t>
  </si>
  <si>
    <t>Proceed / Defer / More Analysis</t>
  </si>
  <si>
    <t>Investment Required</t>
  </si>
  <si>
    <t>Expected Start Date</t>
  </si>
  <si>
    <t>Go-Live Target</t>
  </si>
  <si>
    <t>Sponsor Approval</t>
  </si>
  <si>
    <t>Approved Date</t>
  </si>
  <si>
    <t>STAKEHOLDER SIGN-OFF</t>
  </si>
  <si>
    <t>Name</t>
  </si>
  <si>
    <t>Signature/Approval</t>
  </si>
  <si>
    <t>Date</t>
  </si>
  <si>
    <t>Executive Sponsor</t>
  </si>
  <si>
    <t>Finance Director / CFO</t>
  </si>
  <si>
    <t>CIO / CTO</t>
  </si>
  <si>
    <t>Cloud Architect Lead</t>
  </si>
  <si>
    <t>Project Manager</t>
  </si>
  <si>
    <t>Security Officer</t>
  </si>
  <si>
    <t>DOCUMENT INFORMATION</t>
  </si>
  <si>
    <t>Field</t>
  </si>
  <si>
    <t>Organization</t>
  </si>
  <si>
    <t>Project Name</t>
  </si>
  <si>
    <t>Document Version</t>
  </si>
  <si>
    <t>Created Date</t>
  </si>
  <si>
    <t>Last Updated</t>
  </si>
  <si>
    <t>Author</t>
  </si>
  <si>
    <t>Draft / Review / Approved</t>
  </si>
  <si>
    <t>WORKBOOK NAVIGATION</t>
  </si>
  <si>
    <t>Sheet Name</t>
  </si>
  <si>
    <t>Purpose</t>
  </si>
  <si>
    <t>Business Case</t>
  </si>
  <si>
    <t>Full business case with TCO &amp; ROI</t>
  </si>
  <si>
    <t>Multi-Cloud Comparison</t>
  </si>
  <si>
    <t>Compare AWS, Azure, GCP costs</t>
  </si>
  <si>
    <t>Cloud Provider Data</t>
  </si>
  <si>
    <t>Input pricing from calculators</t>
  </si>
  <si>
    <t>Workload placement decisions</t>
  </si>
  <si>
    <t>Provider List</t>
  </si>
  <si>
    <t>INSTRUCTIONS FOR USE</t>
  </si>
  <si>
    <t>1. Enter monthly costs from each cloud provider's pricing calculator in the respective columns (AWS, Azure, GCP)</t>
  </si>
  <si>
    <t>2. In the 'Selected Provider' column, enter AWS, Azure, or GCP to indicate your choice for each service</t>
  </si>
  <si>
    <t>3. The 'Selected Cost' column will automatically populate based on your provider selection</t>
  </si>
  <si>
    <t>4. Complete the Selection Criteria scoring (1-5) to generate weighted comparison scores</t>
  </si>
  <si>
    <t>5. Use the Cloud Provider Data sheet for detailed line-item pricing input</t>
  </si>
  <si>
    <t>6. Reference the Executive Dashboard for summary metrics and decision support</t>
  </si>
  <si>
    <t>Compute (EC2)</t>
  </si>
  <si>
    <t>Database (RDS)</t>
  </si>
  <si>
    <t>Compute (VMs)</t>
  </si>
  <si>
    <t>Database (SQL/Cosmos)</t>
  </si>
  <si>
    <t>Storage (Blob/Disks)</t>
  </si>
  <si>
    <t>Compute (GCE/GKE)</t>
  </si>
  <si>
    <t>Database (Cloud SQL)</t>
  </si>
  <si>
    <t>Storage (Cloud Storage)</t>
  </si>
  <si>
    <t>Cloud Provider Pricing Data Input — Multi-Cloud Business Case</t>
  </si>
  <si>
    <t>Enter pricing data from AWS, Azure, and GCP evaluation templates below</t>
  </si>
  <si>
    <t>AMAZON WEB SERVICES (AWS) — From AWS-Evaluation-Template.xlsx</t>
  </si>
  <si>
    <t>Section 3 Row 71</t>
  </si>
  <si>
    <t>Section 3 Row 72</t>
  </si>
  <si>
    <t>Storage (EBS)</t>
  </si>
  <si>
    <t>Section 3 Row 73</t>
  </si>
  <si>
    <t>Storage (S3)</t>
  </si>
  <si>
    <t>Section 3 Row 74</t>
  </si>
  <si>
    <t>Section 3 Row 75</t>
  </si>
  <si>
    <t>AWS Support Plan</t>
  </si>
  <si>
    <t>Section 3 Row 78</t>
  </si>
  <si>
    <t>Reserved/Savings Plan</t>
  </si>
  <si>
    <t>Section 3 Row 83-87</t>
  </si>
  <si>
    <t>Other AWS Services</t>
  </si>
  <si>
    <t>MICROSOFT AZURE — From Azure-Evaluation-Template.xlsx</t>
  </si>
  <si>
    <t>Section 2 Row 72</t>
  </si>
  <si>
    <t>Section 2 Row 74</t>
  </si>
  <si>
    <t>Section 2 Row 73</t>
  </si>
  <si>
    <t>Section 2 Row 75</t>
  </si>
  <si>
    <t>Azure Support Plan</t>
  </si>
  <si>
    <t>Azure Hybrid Benefit (AHB)</t>
  </si>
  <si>
    <t>Section 3 - Negative savings</t>
  </si>
  <si>
    <t>Reserved Instances (RI)</t>
  </si>
  <si>
    <t>Section 3 Row 95-97</t>
  </si>
  <si>
    <t>Other Azure Services</t>
  </si>
  <si>
    <t>GOOGLE CLOUD PLATFORM (GCP) — From GCP-Evaluation-Template.xlsx</t>
  </si>
  <si>
    <t>Section 2 Row 77</t>
  </si>
  <si>
    <t>Section 2 Row 79</t>
  </si>
  <si>
    <t>Section 2 Row 78</t>
  </si>
  <si>
    <t>Section 2 Row 80</t>
  </si>
  <si>
    <t>GCP Support Plan</t>
  </si>
  <si>
    <t>Committed Use Discount (CUD)</t>
  </si>
  <si>
    <t>Sustained Use Discount (SUD)</t>
  </si>
  <si>
    <t>Section 3 - Automatic discount</t>
  </si>
  <si>
    <t>Other GCP Services</t>
  </si>
  <si>
    <t>Fit Score</t>
  </si>
  <si>
    <t>Weighted Score</t>
  </si>
  <si>
    <t>Cost Rank</t>
  </si>
  <si>
    <t>Highest Fit Score Provider:</t>
  </si>
  <si>
    <t>FIT SCORE &amp; SELECTION CRITERIA — From Evaluation Templates &amp; HyperScaler Selection</t>
  </si>
  <si>
    <t>Source Template</t>
  </si>
  <si>
    <t>Fit Score (0-100)</t>
  </si>
  <si>
    <t>[Provider]-Evaluation → Section 5 (D118/D138)</t>
  </si>
  <si>
    <t>Weighted Average (1-5)</t>
  </si>
  <si>
    <t>HyperScaler Selection → ScoringSummary Row 18</t>
  </si>
  <si>
    <t>Absolute Score</t>
  </si>
  <si>
    <t>HyperScaler Selection → ScoringSummary Row 19</t>
  </si>
  <si>
    <t>Provider Placing (1-3)</t>
  </si>
  <si>
    <t>HyperScaler Selection → ScoringSummary Row 20</t>
  </si>
  <si>
    <t>Fit % (Score/5)</t>
  </si>
  <si>
    <t>HyperScaler Selection → Strategic View</t>
  </si>
  <si>
    <t>REGIONAL ASSESSMENT SUMMARY — From Evaluation Templates Section 2</t>
  </si>
  <si>
    <t>Preferred Provider</t>
  </si>
  <si>
    <t>Region A (Primary)</t>
  </si>
  <si>
    <t>Enter from Section 2 of each template</t>
  </si>
  <si>
    <t>Region B (Secondary)</t>
  </si>
  <si>
    <t>Region C (DR)</t>
  </si>
  <si>
    <t>MIGRATION READINESS — From Evaluation Templates &amp; Dependency Mapping</t>
  </si>
  <si>
    <t>Total Servers in Scope</t>
  </si>
  <si>
    <t>[Provider]-Evaluation → Section 1B</t>
  </si>
  <si>
    <t>Servers Ready for Migration</t>
  </si>
  <si>
    <t>Migration Readiness %</t>
  </si>
  <si>
    <t>EOL Servers (Require Action)</t>
  </si>
  <si>
    <t>Dependencies Mapped</t>
  </si>
  <si>
    <t>Dependency-Mapping → Dashboard</t>
  </si>
  <si>
    <t>📋 DATA ENTRY INSTRUCTIONS — How to Populate This Sheet</t>
  </si>
  <si>
    <t>Step</t>
  </si>
  <si>
    <t>Action</t>
  </si>
  <si>
    <t>Source File</t>
  </si>
  <si>
    <t>Source Location</t>
  </si>
  <si>
    <t>Target Cells</t>
  </si>
  <si>
    <t>Enter AWS service costs</t>
  </si>
  <si>
    <t>AWS-Evaluation-Template.xlsx</t>
  </si>
  <si>
    <t>Section 3: Rows 71-78</t>
  </si>
  <si>
    <t>F8:F17</t>
  </si>
  <si>
    <t>Enter Azure service costs</t>
  </si>
  <si>
    <t>Azure-Evaluation-Template.xlsx</t>
  </si>
  <si>
    <t>Section 2: Rows 72-76 &amp; Section 3</t>
  </si>
  <si>
    <t>F22:F31</t>
  </si>
  <si>
    <t>Enter GCP service costs</t>
  </si>
  <si>
    <t>GCP-Evaluation-Template.xlsx</t>
  </si>
  <si>
    <t>Section 2: Rows 77-80 &amp; Section 3</t>
  </si>
  <si>
    <t>F36:F45</t>
  </si>
  <si>
    <t>Enter Fit Scores (0-100)</t>
  </si>
  <si>
    <t>[Provider]-Evaluation-Template.xlsx</t>
  </si>
  <si>
    <t>Section 5: Row 118 or 138</t>
  </si>
  <si>
    <t>B60:D60</t>
  </si>
  <si>
    <t>Enter Weighted Averages</t>
  </si>
  <si>
    <t>HyperScaler Selection Criteria.xlsx</t>
  </si>
  <si>
    <t>ScoringSummary: Row 18</t>
  </si>
  <si>
    <t>B61:D61</t>
  </si>
  <si>
    <t>Enter Regional costs</t>
  </si>
  <si>
    <t>Section 2: Regional Assessment</t>
  </si>
  <si>
    <t>B68:D70</t>
  </si>
  <si>
    <t>Enter Migration Readiness</t>
  </si>
  <si>
    <t>Section 1B: Executive Summary</t>
  </si>
  <si>
    <t>B74:D78</t>
  </si>
  <si>
    <t>Review auto-calculated summaries</t>
  </si>
  <si>
    <t>This sheet</t>
  </si>
  <si>
    <t>Rows 48-56</t>
  </si>
  <si>
    <t>Auto-updates</t>
  </si>
  <si>
    <t>⚠️ IMPORTANT: Since external workbooks cannot be directly linked via formulas, manually copy values from the source templates listed above.</t>
  </si>
  <si>
    <t>💡 TIP: All annual costs auto-calculate (Monthly × 12). Comparison metrics in rows 48-56 update automatically when data is entered.</t>
  </si>
  <si>
    <t>📊 DETAILED FIELD MAPPING REFERENCE — Source Template Locations</t>
  </si>
  <si>
    <t>Sheet</t>
  </si>
  <si>
    <t>Row/Cell</t>
  </si>
  <si>
    <t>EC2 Monthly Cost</t>
  </si>
  <si>
    <t>AWS Evaluation</t>
  </si>
  <si>
    <t>D71</t>
  </si>
  <si>
    <t>EC2 Instances monthly</t>
  </si>
  <si>
    <t>RDS Monthly Cost</t>
  </si>
  <si>
    <t>D72</t>
  </si>
  <si>
    <t>RDS Databases monthly</t>
  </si>
  <si>
    <t>Storage Costs</t>
  </si>
  <si>
    <t>D73-D74</t>
  </si>
  <si>
    <t>EBS + S3 monthly</t>
  </si>
  <si>
    <t>D75</t>
  </si>
  <si>
    <t>Egress costs</t>
  </si>
  <si>
    <t>AWS Fit Score</t>
  </si>
  <si>
    <t>D118</t>
  </si>
  <si>
    <t>Weighted fit score /100</t>
  </si>
  <si>
    <t>Regional Costs</t>
  </si>
  <si>
    <t>B50:D50</t>
  </si>
  <si>
    <t>London/Ireland/Frankfurt</t>
  </si>
  <si>
    <t>Compute Cost</t>
  </si>
  <si>
    <t>Azure Evaluation</t>
  </si>
  <si>
    <t>B72</t>
  </si>
  <si>
    <t>Monthly VM costs</t>
  </si>
  <si>
    <t>Storage Cost</t>
  </si>
  <si>
    <t>B73</t>
  </si>
  <si>
    <t>Monthly storage</t>
  </si>
  <si>
    <t>Database Cost</t>
  </si>
  <si>
    <t>B74</t>
  </si>
  <si>
    <t>SQL/Cosmos monthly</t>
  </si>
  <si>
    <t>AHB Savings</t>
  </si>
  <si>
    <t>B99-B101</t>
  </si>
  <si>
    <t>Hybrid Benefit savings</t>
  </si>
  <si>
    <t>Azure Fit Score</t>
  </si>
  <si>
    <t>D138</t>
  </si>
  <si>
    <t>B72:D79</t>
  </si>
  <si>
    <t>Region A/B/C</t>
  </si>
  <si>
    <t>GCP Evaluation</t>
  </si>
  <si>
    <t>B77</t>
  </si>
  <si>
    <t>Monthly GCE/GKE</t>
  </si>
  <si>
    <t>B78</t>
  </si>
  <si>
    <t>Monthly Cloud Storage</t>
  </si>
  <si>
    <t>B79</t>
  </si>
  <si>
    <t>Cloud SQL monthly</t>
  </si>
  <si>
    <t>CUD/SUD Savings</t>
  </si>
  <si>
    <t>B99-B103</t>
  </si>
  <si>
    <t>Commitment discounts</t>
  </si>
  <si>
    <t>GCP Fit Score</t>
  </si>
  <si>
    <t>D141</t>
  </si>
  <si>
    <t>B77:D84</t>
  </si>
  <si>
    <t>HyperScalar Weighted Selection Criteria.xlsx</t>
  </si>
  <si>
    <t>AWS Weighted Avg</t>
  </si>
  <si>
    <t>ScoringSummary</t>
  </si>
  <si>
    <t>C18</t>
  </si>
  <si>
    <t>Weighted average (1-5)</t>
  </si>
  <si>
    <t>Azure Weighted Avg</t>
  </si>
  <si>
    <t>D18</t>
  </si>
  <si>
    <t>GCP Weighted Avg</t>
  </si>
  <si>
    <t>E18</t>
  </si>
  <si>
    <t>Provider Placing</t>
  </si>
  <si>
    <t>F20:H20</t>
  </si>
  <si>
    <t>Cost rank 1-3</t>
  </si>
  <si>
    <t>Strategic View</t>
  </si>
  <si>
    <t>All</t>
  </si>
  <si>
    <t>Full comparison matrix</t>
  </si>
  <si>
    <t>Dependency-Mapping-Template.xlsx</t>
  </si>
  <si>
    <t>Total Servers</t>
  </si>
  <si>
    <t>Dashboard</t>
  </si>
  <si>
    <t>B13</t>
  </si>
  <si>
    <t>Server count discovered</t>
  </si>
  <si>
    <t>Network Connections</t>
  </si>
  <si>
    <t>B14</t>
  </si>
  <si>
    <t>Dependencies mapped</t>
  </si>
  <si>
    <t>App Dependencies</t>
  </si>
  <si>
    <t>B15</t>
  </si>
  <si>
    <t>App-to-app links</t>
  </si>
  <si>
    <t>Criticality Analysis</t>
  </si>
  <si>
    <t>B26-B29</t>
  </si>
  <si>
    <t>Critical/High/Med/Low</t>
  </si>
  <si>
    <t>6. MANAGEMENT</t>
  </si>
  <si>
    <t>HYPERSCALER DECISION MATRIX DATA — From Hyperscaler-Decision-Matrix-Template.xlsx</t>
  </si>
  <si>
    <t>Enter scores and values from the Decision Matrix template below — These feed into the Selection Criteria section above</t>
  </si>
  <si>
    <t>SECTION 1 — TECHNICAL COMPARISON (Decision Matrix Section 1, Rows 5-14)</t>
  </si>
  <si>
    <t>Criterion</t>
  </si>
  <si>
    <t>AWS Score (0-100)</t>
  </si>
  <si>
    <t>Azure Score (0-100)</t>
  </si>
  <si>
    <t>GCP Score (0-100)</t>
  </si>
  <si>
    <t>Compute service fit</t>
  </si>
  <si>
    <t>Decision Matrix Row 5</t>
  </si>
  <si>
    <t>Database service fit</t>
  </si>
  <si>
    <t>Decision Matrix Row 6</t>
  </si>
  <si>
    <t>Storage service fit</t>
  </si>
  <si>
    <t>Decision Matrix Row 7</t>
  </si>
  <si>
    <t>Networking capabilities</t>
  </si>
  <si>
    <t>Decision Matrix Row 8</t>
  </si>
  <si>
    <t>Migration tooling</t>
  </si>
  <si>
    <t>Decision Matrix Row 9</t>
  </si>
  <si>
    <t>Container/K8s support</t>
  </si>
  <si>
    <t>Decision Matrix Row 10</t>
  </si>
  <si>
    <t>AI/ML services</t>
  </si>
  <si>
    <t>Decision Matrix Row 11</t>
  </si>
  <si>
    <t>Security services</t>
  </si>
  <si>
    <t>Decision Matrix Row 12</t>
  </si>
  <si>
    <t>Regional availability</t>
  </si>
  <si>
    <t>Decision Matrix Row 13</t>
  </si>
  <si>
    <t>Technical Score (Weighted)</t>
  </si>
  <si>
    <t>Auto-calculated</t>
  </si>
  <si>
    <t>SECTION 2 — FINANCIAL COMPARISON (Decision Matrix Section 2, Rows 17-23)</t>
  </si>
  <si>
    <t>Monthly run-rate (PAYG)</t>
  </si>
  <si>
    <t>Decision Matrix Row 18</t>
  </si>
  <si>
    <t>Monthly run-rate (committed)</t>
  </si>
  <si>
    <t>Decision Matrix Row 19</t>
  </si>
  <si>
    <t>Migration cost</t>
  </si>
  <si>
    <t>Decision Matrix Row 20</t>
  </si>
  <si>
    <t>3-Year TCO</t>
  </si>
  <si>
    <t>Decision Matrix Row 21</t>
  </si>
  <si>
    <t>Licensing optimization (savings)</t>
  </si>
  <si>
    <t>Decision Matrix Row 22</t>
  </si>
  <si>
    <t>Support cost</t>
  </si>
  <si>
    <t>Decision Matrix Row 23</t>
  </si>
  <si>
    <t>Sum of costs</t>
  </si>
  <si>
    <t>Financial Score (0-100)</t>
  </si>
  <si>
    <t>Lower cost = Higher score</t>
  </si>
  <si>
    <t>SECTION 3 — ORGANIZATIONAL COMPARISON (Decision Matrix Section 3, Rows 26-33)</t>
  </si>
  <si>
    <t>Existing cloud investment</t>
  </si>
  <si>
    <t>Decision Matrix Row 27</t>
  </si>
  <si>
    <t>Team expertise/skills</t>
  </si>
  <si>
    <t>Decision Matrix Row 28</t>
  </si>
  <si>
    <t>Vendor relationship</t>
  </si>
  <si>
    <t>Decision Matrix Row 29</t>
  </si>
  <si>
    <t>Training availability</t>
  </si>
  <si>
    <t>Decision Matrix Row 30</t>
  </si>
  <si>
    <t>Partner ecosystem</t>
  </si>
  <si>
    <t>Decision Matrix Row 31</t>
  </si>
  <si>
    <t>Enterprise agreement</t>
  </si>
  <si>
    <t>Decision Matrix Row 32</t>
  </si>
  <si>
    <t>Strategic alignment</t>
  </si>
  <si>
    <t>Decision Matrix Row 33</t>
  </si>
  <si>
    <t>Organizational Score (Weighted)</t>
  </si>
  <si>
    <t>SECTION 4 — COMPLIANCE &amp; RISK COMPARISON (Decision Matrix Section 4, Rows 36-44)</t>
  </si>
  <si>
    <t>Required (Yes/No)</t>
  </si>
  <si>
    <t>AWS (Yes/No)</t>
  </si>
  <si>
    <t>Azure (Yes/No)</t>
  </si>
  <si>
    <t>GCP (Yes/No)</t>
  </si>
  <si>
    <t>SOC 2 Type II</t>
  </si>
  <si>
    <t>Decision Matrix Row 38</t>
  </si>
  <si>
    <t>ISO 27001</t>
  </si>
  <si>
    <t>Decision Matrix Row 39</t>
  </si>
  <si>
    <t>PCI DSS</t>
  </si>
  <si>
    <t>Decision Matrix Row 40</t>
  </si>
  <si>
    <t>HIPAA</t>
  </si>
  <si>
    <t>Decision Matrix Row 41</t>
  </si>
  <si>
    <t>GDPR</t>
  </si>
  <si>
    <t>Decision Matrix Row 42</t>
  </si>
  <si>
    <t>UK G-Cloud</t>
  </si>
  <si>
    <t>Decision Matrix Row 43</t>
  </si>
  <si>
    <t>Data residency (required regions)</t>
  </si>
  <si>
    <t>Decision Matrix Row 44</t>
  </si>
  <si>
    <t>Compliance Score (0-100)</t>
  </si>
  <si>
    <t>% of requirements met</t>
  </si>
  <si>
    <t>SECTION 5 — OVERALL DECISION MATRIX SUMMARY (Decision Matrix Section 5, Rows 47-52)</t>
  </si>
  <si>
    <t>AWS Score</t>
  </si>
  <si>
    <t>Azure Score</t>
  </si>
  <si>
    <t>GCP Score</t>
  </si>
  <si>
    <t>Source Reference</t>
  </si>
  <si>
    <t>Technical Fit</t>
  </si>
  <si>
    <t>→ Row 119 (Technical Score)</t>
  </si>
  <si>
    <t>Financial Fit</t>
  </si>
  <si>
    <t>→ Row 130 (Financial Score)</t>
  </si>
  <si>
    <t>Organizational Fit</t>
  </si>
  <si>
    <t>→ Row 141 (Organizational Score)</t>
  </si>
  <si>
    <t>Compliance Fit</t>
  </si>
  <si>
    <t>→ Row 152 (Compliance Score)</t>
  </si>
  <si>
    <t>OVERALL WEIGHTED SCORE</t>
  </si>
  <si>
    <t>SECTION 6 — RECOMMENDATION &amp; DECISION (Decision Matrix Section 6, Rows 55-58)</t>
  </si>
  <si>
    <t>Selection/Value</t>
  </si>
  <si>
    <t>Primary Recommendation</t>
  </si>
  <si>
    <t>Decision Matrix Row 56</t>
  </si>
  <si>
    <t>Enter provider name</t>
  </si>
  <si>
    <t>Secondary / Hybrid Provider</t>
  </si>
  <si>
    <t>Decision Matrix Row 57</t>
  </si>
  <si>
    <t>If multi-cloud</t>
  </si>
  <si>
    <t>Decision Matrix Row 58</t>
  </si>
  <si>
    <t>Key justification</t>
  </si>
  <si>
    <t>🏆 Recommended Provider (Auto)</t>
  </si>
  <si>
    <t>Based on highest overall score</t>
  </si>
  <si>
    <t>AWS Overall Score</t>
  </si>
  <si>
    <t>Azure Overall Score</t>
  </si>
  <si>
    <t>GCP Overall Score</t>
  </si>
  <si>
    <t>Score Difference (1st vs 2nd)</t>
  </si>
  <si>
    <t>MULTI-CLOUD SCENARIO (Decision Matrix Section 6, Rows 61-68)</t>
  </si>
  <si>
    <t>Workload Type</t>
  </si>
  <si>
    <t>Recommended Platform</t>
  </si>
  <si>
    <t>Migration Wave</t>
  </si>
  <si>
    <t>Decision Matrix Row 63</t>
  </si>
  <si>
    <t>Decision Matrix Row 64</t>
  </si>
  <si>
    <t>Decision Matrix Row 65</t>
  </si>
  <si>
    <t>Decision Matrix Row 66</t>
  </si>
  <si>
    <t>Decision Matrix Row 67</t>
  </si>
  <si>
    <t>Decision Matrix Row 68</t>
  </si>
  <si>
    <t>CLOUD PROVIDER SELECTION CRITERIA — Linked to Hyperscaler Decision Matrix (Rows 105-180)</t>
  </si>
  <si>
    <t>📋 DATA ENTRY INSTRUCTIONS — How to Use This Section</t>
  </si>
  <si>
    <t>Target Cells in This Sheet</t>
  </si>
  <si>
    <t>Enter Technical scores (0-100) for each criterion</t>
  </si>
  <si>
    <t>Decision Matrix Section 1 (Rows 5-13)</t>
  </si>
  <si>
    <t>C110:E118</t>
  </si>
  <si>
    <t>Decision Matrix Section 2 (Rows 18-23)</t>
  </si>
  <si>
    <t>C123:E128</t>
  </si>
  <si>
    <t>Enter Organizational scores (0-100) for each criterion</t>
  </si>
  <si>
    <t>Decision Matrix Section 3 (Rows 27-33)</t>
  </si>
  <si>
    <t>C134:E140</t>
  </si>
  <si>
    <t>Enter Compliance status (Yes/No) for Required and each provider</t>
  </si>
  <si>
    <t>Decision Matrix Section 4 (Rows 38-44)</t>
  </si>
  <si>
    <t>B145:E151</t>
  </si>
  <si>
    <t>Enter Primary/Secondary provider recommendations</t>
  </si>
  <si>
    <t>Decision Matrix Section 6 (Rows 56-58)</t>
  </si>
  <si>
    <t>B164:B166</t>
  </si>
  <si>
    <t>Enter Multi-Cloud workload assignments</t>
  </si>
  <si>
    <t>Decision Matrix Section 6 (Rows 63-68)</t>
  </si>
  <si>
    <t>A175:E180</t>
  </si>
  <si>
    <t>Review auto-calculated Overall Scores in Row 160</t>
  </si>
  <si>
    <t>Auto-calculated from above data</t>
  </si>
  <si>
    <t>C160:E160</t>
  </si>
  <si>
    <t>Check auto-recommended provider in Row 167</t>
  </si>
  <si>
    <t>B167</t>
  </si>
  <si>
    <t>⚠️ IMPORTANT: Since Hyperscaler-Decision-Matrix-Template.xlsx is an external file, manually copy values from that template to this sheet.</t>
  </si>
  <si>
    <t>💡 TIP: All weighted scores and recommendations auto-calculate when you enter data. The Overall Scores feed directly into the Selection Criteria section above (Row 89).</t>
  </si>
  <si>
    <t>Template Version 2.0 — Cloud-Agnostic Business Case with Hyperscaler Decision Matrix Integration | AWS | Azure | Google Cloud</t>
  </si>
  <si>
    <t>☁️ SECTION 2 — MULTI-CLOUD COST ESTIMATION (AWS / Azure / Google Cloud)</t>
  </si>
  <si>
    <t>💰 SECTION 1 — CURRENT-STATE COST CAPTURE</t>
  </si>
  <si>
    <t>📗 BENEFITS</t>
  </si>
  <si>
    <t>📕 COSTS</t>
  </si>
  <si>
    <t>☁️  CLOUD BUSINESS CASE  |  MULTI-CLOUD STRATEGY ANALYSIS</t>
  </si>
  <si>
    <t>Executive Business Case Template  •  AWS  |  Microsoft Azure  |  Google Cloud Platform  •  Version 2.0</t>
  </si>
  <si>
    <t>📊 EXECUTIVE SUMMARY — KEY PERFORMANCE INDICATORS</t>
  </si>
  <si>
    <t>Current Annual Cost</t>
  </si>
  <si>
    <t>Cloud Annual Cost</t>
  </si>
  <si>
    <t>Annual Cost ($)</t>
  </si>
  <si>
    <t>✓ Lowest Cost</t>
  </si>
  <si>
    <t>-</t>
  </si>
  <si>
    <t>Avg Cost / FTE ($)</t>
  </si>
  <si>
    <t>Monthly Cost ($)</t>
  </si>
  <si>
    <t>Current State ($)</t>
  </si>
  <si>
    <t>Cloud State ($)</t>
  </si>
  <si>
    <t>Value ($)</t>
  </si>
  <si>
    <t>Current Annual Cost ($)</t>
  </si>
  <si>
    <t>Cloud Annual Cost ($)</t>
  </si>
  <si>
    <t>Annual Savings ($)</t>
  </si>
  <si>
    <t>AWS Monthly ($)</t>
  </si>
  <si>
    <t>Azure Monthly ($)</t>
  </si>
  <si>
    <t>GCP Monthly ($)</t>
  </si>
  <si>
    <t>Selected Cost ($)</t>
  </si>
  <si>
    <t>AWS Total ($)</t>
  </si>
  <si>
    <t>Azure Total ($)</t>
  </si>
  <si>
    <t>GCP Total ($)</t>
  </si>
  <si>
    <t>Selected Total ($)</t>
  </si>
  <si>
    <t>AWS ($)</t>
  </si>
  <si>
    <t>Azure ($)</t>
  </si>
  <si>
    <t>GCP ($)</t>
  </si>
  <si>
    <t>Financial Total ($)</t>
  </si>
  <si>
    <t>Enter Financial costs ($) for each criterion</t>
  </si>
  <si>
    <t>Variance ($)</t>
  </si>
  <si>
    <t>📊 SECTION 3 — TCO CALCULATION (3 YEAR)</t>
  </si>
  <si>
    <t>📈 SECTION 4 — ROI CALCULATION</t>
  </si>
  <si>
    <t>✅ SECTION 5 — BUSINESS CASE SUMMARY</t>
  </si>
  <si>
    <t>3-Year TCO Savings</t>
  </si>
  <si>
    <t>From Section 3 - Cloud State Total</t>
  </si>
  <si>
    <t>3-Year Net Savings</t>
  </si>
  <si>
    <t>Total Benefits minus Total Costs</t>
  </si>
  <si>
    <t>3-Year Net Savings ($)</t>
  </si>
  <si>
    <t>From Business Case Section 4</t>
  </si>
  <si>
    <t>Current minus Cloud Annual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</si>
</sst>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5" formatCode="#,##0.0;\(#,##0.0\);\-"/>
    <numFmt numFmtId="168" formatCode="0.0%"/>
    <numFmt numFmtId="170" formatCode="0.0"/>
    <numFmt numFmtId="171" formatCode="&quot;₹&quot;#,##0"/>
    <numFmt numFmtId="173" formatCode="[$$-409]#,##0"/>
  </numFmts>
  <fonts count="27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6"/>
      <color rgb="FFFFFFFF"/>
      <name val="Calibri"/>
      <family val="2"/>
      <charset val="1"/>
    </font>
    <font>
      <i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4"/>
      <color theme="1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8"/>
      <color rgb="FFFFFFFF"/>
      <name val="Calibri"/>
      <family val="2"/>
      <charset val="1"/>
    </font>
    <font>
      <b/>
      <i/>
      <sz val="12"/>
      <color rgb="FFFFFFFF"/>
      <name val="Calibri"/>
      <family val="2"/>
      <charset val="1"/>
    </font>
    <font>
      <sz val="11"/>
      <color rgb="FF000000"/>
      <name val="Segoe UI"/>
    </font>
    <font>
      <b/>
      <sz val="13"/>
      <color rgb="FFFFFFFF"/>
      <name val="Segoe UI"/>
    </font>
    <font>
      <b/>
      <sz val="11"/>
      <color rgb="FF1B4F72"/>
      <name val="Segoe UI"/>
    </font>
    <font>
      <b/>
      <sz val="10"/>
      <color rgb="FFFFFFFF"/>
      <name val="Segoe UI"/>
    </font>
    <font>
      <b/>
      <sz val="10"/>
      <color rgb="FF1B4F72"/>
      <name val="Segoe UI"/>
    </font>
    <font>
      <b/>
      <sz val="11"/>
      <color rgb="FFFFFFFF"/>
      <name val="Segoe UI"/>
    </font>
    <font>
      <b/>
      <sz val="12"/>
      <color rgb="FFFFFFFF"/>
      <name val="Segoe UI"/>
    </font>
    <font>
      <sz val="10"/>
      <color rgb="FF1E8449"/>
      <name val="Segoe UI"/>
    </font>
    <font>
      <b/>
      <sz val="14"/>
      <color rgb="FFFFFFFF"/>
      <name val="Segoe UI"/>
    </font>
    <font>
      <b/>
      <sz val="10"/>
      <color rgb="FFF7DC6F"/>
      <name val="Segoe UI"/>
    </font>
    <font>
      <b/>
      <sz val="16"/>
      <color rgb="FFFFFFFF"/>
      <name val="Segoe UI"/>
    </font>
    <font>
      <i/>
      <sz val="11"/>
      <color rgb="FFD4E6F1"/>
      <name val="Segoe UI"/>
    </font>
    <font>
      <sz val="10"/>
      <color rgb="FF2C3E50"/>
      <name val="Segoe UI"/>
    </font>
    <font>
      <sz val="11"/>
      <color rgb="FF1B4F72"/>
      <name val="Segoe UI"/>
    </font>
    <font>
      <sz val="10"/>
      <color rgb="FF922B21"/>
      <name val="Segoe UI"/>
    </font>
    <font>
      <b/>
      <sz val="10"/>
      <color rgb="FF2C3E50"/>
      <name val="Segoe UI"/>
    </font>
    <font>
      <i/>
      <sz val="9"/>
      <color rgb="FFD4E6F1"/>
      <name val="Segoe UI"/>
    </font>
    <font>
      <b/>
      <sz val="12"/>
      <color rgb="FF1B4F72"/>
      <name val="Segoe UI"/>
    </font>
  </fonts>
  <fills count="58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AD47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0078D4"/>
        <bgColor indexed="64"/>
      </patternFill>
    </fill>
    <fill>
      <patternFill patternType="solid">
        <fgColor rgb="FFDEEBF7"/>
        <bgColor indexed="64"/>
      </patternFill>
    </fill>
    <fill>
      <patternFill patternType="solid">
        <fgColor rgb="FF4285F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DEADA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2D4F0"/>
        <bgColor indexed="64"/>
      </patternFill>
    </fill>
    <fill>
      <patternFill patternType="solid">
        <fgColor rgb="FF203864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385723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E2D1F0"/>
        <bgColor indexed="64"/>
      </patternFill>
    </fill>
    <fill>
      <patternFill patternType="solid">
        <fgColor rgb="FF9966CC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333333"/>
        <bgColor indexed="64"/>
      </patternFill>
    </fill>
    <fill>
      <patternFill patternType="solid">
        <fgColor rgb="FF0F2540"/>
        <bgColor indexed="64"/>
      </patternFill>
    </fill>
    <fill>
      <patternFill patternType="solid">
        <fgColor rgb="FF1B4F72"/>
        <bgColor indexed="64"/>
      </patternFill>
    </fill>
    <fill>
      <patternFill patternType="solid">
        <fgColor rgb="FF2E86AB"/>
        <bgColor indexed="64"/>
      </patternFill>
    </fill>
    <fill>
      <patternFill patternType="solid">
        <fgColor rgb="FFD4E6F1"/>
        <bgColor indexed="64"/>
      </patternFill>
    </fill>
    <fill>
      <patternFill patternType="solid">
        <fgColor rgb="FF34495E"/>
        <bgColor indexed="64"/>
      </patternFill>
    </fill>
    <fill>
      <patternFill patternType="solid">
        <fgColor rgb="FFEBF5FB"/>
        <bgColor indexed="64"/>
      </patternFill>
    </fill>
    <fill>
      <patternFill patternType="solid">
        <fgColor rgb="FFF7DC6F"/>
        <bgColor indexed="64"/>
      </patternFill>
    </fill>
    <fill>
      <patternFill patternType="solid">
        <fgColor rgb="FFE8F8F5"/>
        <bgColor indexed="64"/>
      </patternFill>
    </fill>
    <fill>
      <patternFill patternType="solid">
        <fgColor rgb="FF27AE60"/>
        <bgColor indexed="64"/>
      </patternFill>
    </fill>
    <fill>
      <patternFill patternType="solid">
        <fgColor rgb="FFD5F5E3"/>
        <bgColor indexed="64"/>
      </patternFill>
    </fill>
    <fill>
      <patternFill patternType="solid">
        <fgColor rgb="FFE74C3C"/>
        <bgColor indexed="64"/>
      </patternFill>
    </fill>
    <fill>
      <patternFill patternType="solid">
        <fgColor rgb="FFFDEDEC"/>
        <bgColor indexed="64"/>
      </patternFill>
    </fill>
    <fill>
      <patternFill patternType="solid">
        <fgColor rgb="FFFADBD8"/>
        <bgColor indexed="64"/>
      </patternFill>
    </fill>
    <fill>
      <patternFill patternType="solid">
        <fgColor rgb="FF8E44A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1E8449"/>
        <bgColor indexed="64"/>
      </patternFill>
    </fill>
    <fill>
      <patternFill patternType="solid">
        <fgColor rgb="FF922B21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C0392B"/>
        <bgColor indexed="64"/>
      </patternFill>
    </fill>
  </fills>
  <borders count="30">
    <border>
      <left/>
      <right/>
      <top/>
      <bottom/>
      <diagonal/>
    </border>
    <border>
      <left/>
      <right/>
      <top/>
      <bottom style="thick">
        <color rgb="FFF7DC6F"/>
      </bottom>
      <diagonal/>
    </border>
    <border>
      <left style="thin">
        <color rgb="FF1B4F72"/>
      </left>
      <right style="thin">
        <color rgb="FFD5DBDB"/>
      </right>
      <top style="medium">
        <color rgb="FFF7DC6F"/>
      </top>
      <bottom style="thin">
        <color rgb="FF1B4F72"/>
      </bottom>
      <diagonal/>
    </border>
    <border>
      <left style="thin">
        <color rgb="FFD5DBDB"/>
      </left>
      <right style="thin">
        <color rgb="FFD5DBDB"/>
      </right>
      <top style="medium">
        <color rgb="FFF7DC6F"/>
      </top>
      <bottom style="thin">
        <color rgb="FF1B4F72"/>
      </bottom>
      <diagonal/>
    </border>
    <border>
      <left style="thin">
        <color rgb="FFD5DBDB"/>
      </left>
      <right style="thin">
        <color rgb="FF1B4F72"/>
      </right>
      <top style="medium">
        <color rgb="FFF7DC6F"/>
      </top>
      <bottom style="thin">
        <color rgb="FF1B4F72"/>
      </bottom>
      <diagonal/>
    </border>
    <border>
      <left/>
      <right/>
      <top style="medium">
        <color rgb="FFF7DC6F"/>
      </top>
      <bottom/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2C3E50"/>
      </top>
      <bottom style="thin">
        <color rgb="FFD5D8DC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2C3E50"/>
      </bottom>
      <diagonal/>
    </border>
    <border>
      <left style="thin">
        <color rgb="FF2C3E50"/>
      </left>
      <right style="thin">
        <color rgb="FFD5D8DC"/>
      </right>
      <top style="thin">
        <color rgb="FF2C3E50"/>
      </top>
      <bottom style="thin">
        <color rgb="FFD5D8DC"/>
      </bottom>
      <diagonal/>
    </border>
    <border>
      <left style="thin">
        <color rgb="FF2C3E50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 style="thin">
        <color rgb="FF2C3E50"/>
      </left>
      <right style="thin">
        <color rgb="FFD5D8DC"/>
      </right>
      <top style="thin">
        <color rgb="FFD5D8DC"/>
      </top>
      <bottom style="thin">
        <color rgb="FF2C3E50"/>
      </bottom>
      <diagonal/>
    </border>
    <border>
      <left style="thin">
        <color rgb="FFD5D8DC"/>
      </left>
      <right style="thin">
        <color rgb="FF2C3E50"/>
      </right>
      <top style="thin">
        <color rgb="FF2C3E50"/>
      </top>
      <bottom style="thin">
        <color rgb="FFD5D8DC"/>
      </bottom>
      <diagonal/>
    </border>
    <border>
      <left style="thin">
        <color rgb="FFD5D8DC"/>
      </left>
      <right style="thin">
        <color rgb="FF2C3E50"/>
      </right>
      <top style="thin">
        <color rgb="FFD5D8DC"/>
      </top>
      <bottom style="thin">
        <color rgb="FFD5D8DC"/>
      </bottom>
      <diagonal/>
    </border>
    <border>
      <left style="thin">
        <color rgb="FFD5D8DC"/>
      </left>
      <right style="thin">
        <color rgb="FF2C3E50"/>
      </right>
      <top style="thin">
        <color rgb="FFD5D8DC"/>
      </top>
      <bottom style="thin">
        <color rgb="FF2C3E50"/>
      </bottom>
      <diagonal/>
    </border>
    <border>
      <left style="thick">
        <color rgb="FF0F2540"/>
      </left>
      <right/>
      <top style="thick">
        <color rgb="FF0F2540"/>
      </top>
      <bottom style="medium">
        <color rgb="FFF7DC6F"/>
      </bottom>
      <diagonal/>
    </border>
    <border>
      <left/>
      <right/>
      <top style="thick">
        <color rgb="FF0F2540"/>
      </top>
      <bottom style="medium">
        <color rgb="FFF7DC6F"/>
      </bottom>
      <diagonal/>
    </border>
    <border>
      <left/>
      <right style="thick">
        <color rgb="FF0F2540"/>
      </right>
      <top style="thick">
        <color rgb="FF0F2540"/>
      </top>
      <bottom style="medium">
        <color rgb="FFF7DC6F"/>
      </bottom>
      <diagonal/>
    </border>
    <border>
      <left style="thin">
        <color rgb="FF2C3E50"/>
      </left>
      <right style="thin">
        <color rgb="FFD5D8DC"/>
      </right>
      <top/>
      <bottom style="thin">
        <color rgb="FFD5D8DC"/>
      </bottom>
      <diagonal/>
    </border>
    <border>
      <left style="thin">
        <color rgb="FFD5D8DC"/>
      </left>
      <right style="thin">
        <color rgb="FFD5D8DC"/>
      </right>
      <top/>
      <bottom style="thin">
        <color rgb="FFD5D8DC"/>
      </bottom>
      <diagonal/>
    </border>
    <border>
      <left style="thin">
        <color rgb="FFD5D8DC"/>
      </left>
      <right style="thin">
        <color rgb="FF2C3E50"/>
      </right>
      <top/>
      <bottom style="thin">
        <color rgb="FFD5D8DC"/>
      </bottom>
      <diagonal/>
    </border>
    <border>
      <left style="thick">
        <color rgb="FF0F2540"/>
      </left>
      <right/>
      <top style="thick">
        <color rgb="FF0F2540"/>
      </top>
      <bottom style="medium">
        <color rgb="FF2C3E50"/>
      </bottom>
      <diagonal/>
    </border>
    <border>
      <left/>
      <right/>
      <top style="thick">
        <color rgb="FF0F2540"/>
      </top>
      <bottom style="medium">
        <color rgb="FF2C3E50"/>
      </bottom>
      <diagonal/>
    </border>
    <border>
      <left/>
      <right style="thick">
        <color rgb="FF0F2540"/>
      </right>
      <top style="thick">
        <color rgb="FF0F2540"/>
      </top>
      <bottom style="medium">
        <color rgb="FF2C3E50"/>
      </bottom>
      <diagonal/>
    </border>
    <border>
      <left style="thick">
        <color rgb="FFF7DC6F"/>
      </left>
      <right/>
      <top/>
      <bottom style="thick">
        <color rgb="FFF7DC6F"/>
      </bottom>
      <diagonal/>
    </border>
    <border>
      <left style="thick">
        <color rgb="FFF7DC6F"/>
      </left>
      <right/>
      <top/>
      <bottom/>
      <diagonal/>
    </border>
    <border>
      <left/>
      <right style="thick">
        <color rgb="FFF7DC6F"/>
      </right>
      <top/>
      <bottom/>
      <diagonal/>
    </border>
    <border>
      <left style="thick">
        <color rgb="FFF7DC6F"/>
      </left>
      <right/>
      <top style="thick">
        <color rgb="FFF7DC6F"/>
      </top>
      <bottom/>
      <diagonal/>
    </border>
    <border>
      <left/>
      <right/>
      <top style="thick">
        <color rgb="FFF7DC6F"/>
      </top>
      <bottom/>
      <diagonal/>
    </border>
    <border>
      <left/>
      <right style="thick">
        <color rgb="FFF7DC6F"/>
      </right>
      <top style="thick">
        <color rgb="FFF7DC6F"/>
      </top>
      <bottom/>
      <diagonal/>
    </border>
  </borders>
  <cellStyleXfs count="1">
    <xf numFmtId="0" fontId="0" fillId="0" borderId="0"/>
  </cellStyleXfs>
  <cellXfs count="210">
    <xf numFmtId="0" fontId="0" fillId="0" borderId="0" xfId="0"/>
    <xf numFmtId="9" fontId="0" fillId="0" borderId="0" xfId="0" applyNumberFormat="1"/>
    <xf numFmtId="168" fontId="0" fillId="0" borderId="0" xfId="0" applyNumberFormat="1"/>
    <xf numFmtId="170" fontId="0" fillId="0" borderId="0" xfId="0" applyNumberFormat="1"/>
    <xf numFmtId="170" fontId="1" fillId="27" borderId="0" xfId="0" applyNumberFormat="1" applyFont="1" applyFill="1"/>
    <xf numFmtId="170" fontId="4" fillId="7" borderId="0" xfId="0" applyNumberFormat="1" applyFont="1" applyFill="1"/>
    <xf numFmtId="170" fontId="4" fillId="33" borderId="0" xfId="0" applyNumberFormat="1" applyFont="1" applyFill="1"/>
    <xf numFmtId="170" fontId="4" fillId="15" borderId="0" xfId="0" applyNumberFormat="1" applyFont="1" applyFill="1"/>
    <xf numFmtId="170" fontId="4" fillId="2" borderId="0" xfId="0" applyNumberFormat="1" applyFont="1" applyFill="1"/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9" fontId="4" fillId="7" borderId="0" xfId="0" applyNumberFormat="1" applyFont="1" applyFill="1" applyAlignment="1">
      <alignment horizontal="center"/>
    </xf>
    <xf numFmtId="9" fontId="1" fillId="27" borderId="0" xfId="0" applyNumberFormat="1" applyFont="1" applyFill="1" applyAlignment="1">
      <alignment horizontal="center"/>
    </xf>
    <xf numFmtId="9" fontId="1" fillId="31" borderId="0" xfId="0" applyNumberFormat="1" applyFont="1" applyFill="1" applyAlignment="1">
      <alignment horizontal="center"/>
    </xf>
    <xf numFmtId="9" fontId="4" fillId="33" borderId="0" xfId="0" applyNumberFormat="1" applyFont="1" applyFill="1" applyAlignment="1">
      <alignment horizontal="center"/>
    </xf>
    <xf numFmtId="9" fontId="4" fillId="2" borderId="0" xfId="0" applyNumberFormat="1" applyFont="1" applyFill="1" applyAlignment="1">
      <alignment horizontal="center"/>
    </xf>
    <xf numFmtId="170" fontId="0" fillId="0" borderId="0" xfId="0" applyNumberFormat="1" applyAlignment="1">
      <alignment horizontal="center"/>
    </xf>
    <xf numFmtId="170" fontId="1" fillId="0" borderId="0" xfId="0" applyNumberFormat="1" applyFont="1" applyAlignment="1">
      <alignment horizontal="center"/>
    </xf>
    <xf numFmtId="0" fontId="7" fillId="2" borderId="0" xfId="0" applyNumberFormat="1" applyFont="1" applyFill="1" applyAlignment="1">
      <alignment horizontal="center"/>
    </xf>
    <xf numFmtId="0" fontId="0" fillId="0" borderId="0" xfId="0" applyNumberFormat="1"/>
    <xf numFmtId="0" fontId="3" fillId="0" borderId="0" xfId="0" applyNumberFormat="1" applyFont="1" applyAlignment="1">
      <alignment horizontal="center"/>
    </xf>
    <xf numFmtId="0" fontId="0" fillId="0" borderId="0" xfId="0" applyNumberFormat="1"/>
    <xf numFmtId="0" fontId="4" fillId="3" borderId="0" xfId="0" applyNumberFormat="1" applyFont="1" applyFill="1"/>
    <xf numFmtId="0" fontId="4" fillId="8" borderId="0" xfId="0" applyNumberFormat="1" applyFont="1" applyFill="1"/>
    <xf numFmtId="0" fontId="1" fillId="4" borderId="0" xfId="0" applyNumberFormat="1" applyFont="1" applyFill="1"/>
    <xf numFmtId="171" fontId="0" fillId="0" borderId="0" xfId="0" applyNumberFormat="1"/>
    <xf numFmtId="0" fontId="1" fillId="14" borderId="0" xfId="0" applyNumberFormat="1" applyFont="1" applyFill="1"/>
    <xf numFmtId="0" fontId="4" fillId="15" borderId="0" xfId="0" applyNumberFormat="1" applyFont="1" applyFill="1"/>
    <xf numFmtId="0" fontId="1" fillId="16" borderId="0" xfId="0" applyNumberFormat="1" applyFont="1" applyFill="1"/>
    <xf numFmtId="0" fontId="4" fillId="7" borderId="0" xfId="0" applyNumberFormat="1" applyFont="1" applyFill="1"/>
    <xf numFmtId="0" fontId="1" fillId="5" borderId="0" xfId="0" applyNumberFormat="1" applyFont="1" applyFill="1"/>
    <xf numFmtId="0" fontId="0" fillId="53" borderId="0" xfId="0" applyNumberFormat="1" applyFill="1"/>
    <xf numFmtId="0" fontId="9" fillId="53" borderId="0" xfId="0" applyNumberFormat="1" applyFont="1" applyFill="1" applyBorder="1"/>
    <xf numFmtId="0" fontId="11" fillId="42" borderId="0" xfId="0" applyNumberFormat="1" applyFont="1" applyFill="1" applyBorder="1" applyAlignment="1">
      <alignment horizontal="left" vertical="center" indent="1"/>
    </xf>
    <xf numFmtId="0" fontId="9" fillId="53" borderId="0" xfId="0" applyNumberFormat="1" applyFont="1" applyFill="1" applyBorder="1" applyAlignment="1">
      <alignment horizontal="left"/>
    </xf>
    <xf numFmtId="0" fontId="9" fillId="53" borderId="0" xfId="0" applyNumberFormat="1" applyFont="1" applyFill="1" applyBorder="1" applyAlignment="1">
      <alignment horizontal="center"/>
    </xf>
    <xf numFmtId="0" fontId="11" fillId="42" borderId="0" xfId="0" applyNumberFormat="1" applyFont="1" applyFill="1" applyBorder="1" applyAlignment="1">
      <alignment horizontal="center" vertical="center" indent="1"/>
    </xf>
    <xf numFmtId="0" fontId="2" fillId="2" borderId="0" xfId="0" applyNumberFormat="1" applyFont="1" applyFill="1"/>
    <xf numFmtId="0" fontId="1" fillId="0" borderId="0" xfId="0" applyNumberFormat="1" applyFont="1"/>
    <xf numFmtId="0" fontId="3" fillId="0" borderId="0" xfId="0" applyNumberFormat="1" applyFont="1"/>
    <xf numFmtId="0" fontId="0" fillId="0" borderId="0" xfId="0" applyNumberFormat="1" applyAlignment="1">
      <alignment horizontal="center"/>
    </xf>
    <xf numFmtId="0" fontId="1" fillId="4" borderId="0" xfId="0" applyNumberFormat="1" applyFont="1" applyFill="1" applyAlignment="1">
      <alignment horizontal="center"/>
    </xf>
    <xf numFmtId="0" fontId="1" fillId="5" borderId="0" xfId="0" applyNumberFormat="1" applyFont="1" applyFill="1" applyAlignment="1">
      <alignment horizontal="center"/>
    </xf>
    <xf numFmtId="0" fontId="6" fillId="2" borderId="0" xfId="0" applyNumberFormat="1" applyFont="1" applyFill="1"/>
    <xf numFmtId="0" fontId="1" fillId="6" borderId="0" xfId="0" applyNumberFormat="1" applyFont="1" applyFill="1" applyAlignment="1">
      <alignment horizontal="center"/>
    </xf>
    <xf numFmtId="0" fontId="1" fillId="6" borderId="0" xfId="0" applyNumberFormat="1" applyFont="1" applyFill="1"/>
    <xf numFmtId="0" fontId="4" fillId="7" borderId="0" xfId="0" applyNumberFormat="1" applyFont="1" applyFill="1" applyAlignment="1">
      <alignment horizontal="center"/>
    </xf>
    <xf numFmtId="0" fontId="4" fillId="7" borderId="0" xfId="0" applyNumberFormat="1" applyFont="1" applyFill="1"/>
    <xf numFmtId="0" fontId="3" fillId="0" borderId="0" xfId="0" applyNumberFormat="1" applyFont="1" applyAlignment="1">
      <alignment horizontal="center"/>
    </xf>
    <xf numFmtId="0" fontId="3" fillId="0" borderId="0" xfId="0" applyNumberFormat="1" applyFont="1"/>
    <xf numFmtId="0" fontId="8" fillId="2" borderId="0" xfId="0" applyNumberFormat="1" applyFont="1" applyFill="1"/>
    <xf numFmtId="0" fontId="3" fillId="23" borderId="0" xfId="0" applyNumberFormat="1" applyFont="1" applyFill="1" applyBorder="1"/>
    <xf numFmtId="0" fontId="1" fillId="18" borderId="0" xfId="0" applyNumberFormat="1" applyFont="1" applyFill="1" applyAlignment="1">
      <alignment horizontal="center"/>
    </xf>
    <xf numFmtId="0" fontId="1" fillId="18" borderId="0" xfId="0" applyNumberFormat="1" applyFont="1" applyFill="1"/>
    <xf numFmtId="0" fontId="1" fillId="27" borderId="0" xfId="0" applyNumberFormat="1" applyFont="1" applyFill="1" applyAlignment="1">
      <alignment horizontal="center"/>
    </xf>
    <xf numFmtId="0" fontId="1" fillId="27" borderId="0" xfId="0" applyNumberFormat="1" applyFont="1" applyFill="1"/>
    <xf numFmtId="0" fontId="4" fillId="28" borderId="0" xfId="0" applyNumberFormat="1" applyFont="1" applyFill="1"/>
    <xf numFmtId="0" fontId="1" fillId="19" borderId="0" xfId="0" applyNumberFormat="1" applyFont="1" applyFill="1" applyAlignment="1">
      <alignment horizontal="center"/>
    </xf>
    <xf numFmtId="0" fontId="1" fillId="19" borderId="0" xfId="0" applyNumberFormat="1" applyFont="1" applyFill="1"/>
    <xf numFmtId="0" fontId="1" fillId="31" borderId="0" xfId="0" applyNumberFormat="1" applyFont="1" applyFill="1" applyAlignment="1">
      <alignment horizontal="center"/>
    </xf>
    <xf numFmtId="171" fontId="1" fillId="31" borderId="0" xfId="0" applyNumberFormat="1" applyFont="1" applyFill="1"/>
    <xf numFmtId="0" fontId="1" fillId="31" borderId="0" xfId="0" applyNumberFormat="1" applyFont="1" applyFill="1"/>
    <xf numFmtId="0" fontId="4" fillId="20" borderId="0" xfId="0" applyNumberFormat="1" applyFont="1" applyFill="1"/>
    <xf numFmtId="0" fontId="1" fillId="32" borderId="0" xfId="0" applyNumberFormat="1" applyFont="1" applyFill="1" applyAlignment="1">
      <alignment horizontal="center"/>
    </xf>
    <xf numFmtId="0" fontId="1" fillId="32" borderId="0" xfId="0" applyNumberFormat="1" applyFont="1" applyFill="1"/>
    <xf numFmtId="0" fontId="4" fillId="33" borderId="0" xfId="0" applyNumberFormat="1" applyFont="1" applyFill="1" applyAlignment="1">
      <alignment horizontal="center"/>
    </xf>
    <xf numFmtId="0" fontId="4" fillId="33" borderId="0" xfId="0" applyNumberFormat="1" applyFont="1" applyFill="1"/>
    <xf numFmtId="0" fontId="1" fillId="34" borderId="0" xfId="0" applyNumberFormat="1" applyFont="1" applyFill="1" applyAlignment="1">
      <alignment horizontal="center"/>
    </xf>
    <xf numFmtId="0" fontId="1" fillId="34" borderId="0" xfId="0" applyNumberFormat="1" applyFont="1" applyFill="1"/>
    <xf numFmtId="0" fontId="4" fillId="15" borderId="0" xfId="0" applyNumberFormat="1" applyFont="1" applyFill="1" applyAlignment="1">
      <alignment horizontal="center"/>
    </xf>
    <xf numFmtId="0" fontId="4" fillId="15" borderId="0" xfId="0" applyNumberFormat="1" applyFont="1" applyFill="1"/>
    <xf numFmtId="0" fontId="4" fillId="2" borderId="0" xfId="0" applyNumberFormat="1" applyFont="1" applyFill="1"/>
    <xf numFmtId="0" fontId="4" fillId="2" borderId="0" xfId="0" applyNumberFormat="1" applyFont="1" applyFill="1" applyAlignment="1">
      <alignment horizontal="center"/>
    </xf>
    <xf numFmtId="0" fontId="4" fillId="2" borderId="0" xfId="0" applyNumberFormat="1" applyFont="1" applyFill="1"/>
    <xf numFmtId="0" fontId="4" fillId="35" borderId="0" xfId="0" applyNumberFormat="1" applyFont="1" applyFill="1"/>
    <xf numFmtId="0" fontId="1" fillId="0" borderId="0" xfId="0" applyNumberFormat="1" applyFont="1" applyAlignment="1">
      <alignment horizontal="center"/>
    </xf>
    <xf numFmtId="0" fontId="4" fillId="36" borderId="0" xfId="0" applyNumberFormat="1" applyFont="1" applyFill="1"/>
    <xf numFmtId="0" fontId="1" fillId="37" borderId="0" xfId="0" applyNumberFormat="1" applyFont="1" applyFill="1" applyAlignment="1">
      <alignment horizontal="center"/>
    </xf>
    <xf numFmtId="0" fontId="1" fillId="37" borderId="0" xfId="0" applyNumberFormat="1" applyFont="1" applyFill="1"/>
    <xf numFmtId="0" fontId="1" fillId="6" borderId="0" xfId="0" applyNumberFormat="1" applyFont="1" applyFill="1"/>
    <xf numFmtId="0" fontId="1" fillId="17" borderId="0" xfId="0" applyNumberFormat="1" applyFont="1" applyFill="1" applyAlignment="1">
      <alignment horizontal="center"/>
    </xf>
    <xf numFmtId="0" fontId="1" fillId="17" borderId="0" xfId="0" applyNumberFormat="1" applyFont="1" applyFill="1"/>
    <xf numFmtId="0" fontId="0" fillId="0" borderId="0" xfId="0" applyNumberFormat="1" applyAlignment="1">
      <alignment horizontal="left"/>
    </xf>
    <xf numFmtId="0" fontId="3" fillId="30" borderId="0" xfId="0" applyNumberFormat="1" applyFont="1" applyFill="1"/>
    <xf numFmtId="0" fontId="3" fillId="5" borderId="0" xfId="0" applyNumberFormat="1" applyFont="1" applyFill="1"/>
    <xf numFmtId="0" fontId="4" fillId="38" borderId="0" xfId="0" applyNumberFormat="1" applyFont="1" applyFill="1"/>
    <xf numFmtId="0" fontId="5" fillId="0" borderId="0" xfId="0" applyNumberFormat="1" applyFont="1"/>
    <xf numFmtId="0" fontId="4" fillId="9" borderId="0" xfId="0" applyNumberFormat="1" applyFont="1" applyFill="1"/>
    <xf numFmtId="0" fontId="1" fillId="10" borderId="0" xfId="0" applyNumberFormat="1" applyFont="1" applyFill="1"/>
    <xf numFmtId="0" fontId="4" fillId="11" borderId="0" xfId="0" applyNumberFormat="1" applyFont="1" applyFill="1"/>
    <xf numFmtId="0" fontId="1" fillId="12" borderId="0" xfId="0" applyNumberFormat="1" applyFont="1" applyFill="1"/>
    <xf numFmtId="0" fontId="4" fillId="13" borderId="0" xfId="0" applyNumberFormat="1" applyFont="1" applyFill="1"/>
    <xf numFmtId="0" fontId="1" fillId="21" borderId="0" xfId="0" applyNumberFormat="1" applyFont="1" applyFill="1"/>
    <xf numFmtId="0" fontId="0" fillId="10" borderId="0" xfId="0" applyNumberFormat="1" applyFill="1"/>
    <xf numFmtId="0" fontId="0" fillId="12" borderId="0" xfId="0" applyNumberFormat="1" applyFill="1"/>
    <xf numFmtId="0" fontId="0" fillId="5" borderId="0" xfId="0" applyNumberFormat="1" applyFill="1"/>
    <xf numFmtId="0" fontId="4" fillId="22" borderId="0" xfId="0" applyNumberFormat="1" applyFont="1" applyFill="1"/>
    <xf numFmtId="0" fontId="1" fillId="23" borderId="0" xfId="0" applyNumberFormat="1" applyFont="1" applyFill="1"/>
    <xf numFmtId="0" fontId="4" fillId="24" borderId="0" xfId="0" applyNumberFormat="1" applyFont="1" applyFill="1"/>
    <xf numFmtId="0" fontId="4" fillId="25" borderId="0" xfId="0" applyNumberFormat="1" applyFont="1" applyFill="1"/>
    <xf numFmtId="0" fontId="1" fillId="26" borderId="0" xfId="0" applyNumberFormat="1" applyFont="1" applyFill="1"/>
    <xf numFmtId="0" fontId="1" fillId="29" borderId="0" xfId="0" applyNumberFormat="1" applyFont="1" applyFill="1"/>
    <xf numFmtId="0" fontId="1" fillId="30" borderId="0" xfId="0" applyNumberFormat="1" applyFont="1" applyFill="1"/>
    <xf numFmtId="173" fontId="0" fillId="0" borderId="0" xfId="0" applyNumberFormat="1"/>
    <xf numFmtId="173" fontId="1" fillId="14" borderId="0" xfId="0" applyNumberFormat="1" applyFont="1" applyFill="1"/>
    <xf numFmtId="173" fontId="1" fillId="5" borderId="0" xfId="0" applyNumberFormat="1" applyFont="1" applyFill="1"/>
    <xf numFmtId="173" fontId="1" fillId="6" borderId="0" xfId="0" applyNumberFormat="1" applyFont="1" applyFill="1"/>
    <xf numFmtId="173" fontId="4" fillId="7" borderId="0" xfId="0" applyNumberFormat="1" applyFont="1" applyFill="1"/>
    <xf numFmtId="173" fontId="1" fillId="17" borderId="0" xfId="0" applyNumberFormat="1" applyFont="1" applyFill="1"/>
    <xf numFmtId="173" fontId="1" fillId="18" borderId="0" xfId="0" applyNumberFormat="1" applyFont="1" applyFill="1"/>
    <xf numFmtId="173" fontId="1" fillId="19" borderId="0" xfId="0" applyNumberFormat="1" applyFont="1" applyFill="1"/>
    <xf numFmtId="173" fontId="19" fillId="41" borderId="1" xfId="0" applyNumberFormat="1" applyFont="1" applyFill="1" applyBorder="1" applyAlignment="1">
      <alignment horizontal="center" vertical="center"/>
    </xf>
    <xf numFmtId="0" fontId="19" fillId="39" borderId="0" xfId="0" applyNumberFormat="1" applyFont="1" applyFill="1" applyBorder="1" applyAlignment="1">
      <alignment horizontal="center" vertical="center" indent="1"/>
    </xf>
    <xf numFmtId="0" fontId="20" fillId="43" borderId="0" xfId="0" applyNumberFormat="1" applyFont="1" applyFill="1" applyBorder="1" applyAlignment="1">
      <alignment horizontal="center" vertical="center" indent="1"/>
    </xf>
    <xf numFmtId="0" fontId="15" fillId="40" borderId="2" xfId="0" applyNumberFormat="1" applyFont="1" applyFill="1" applyBorder="1" applyAlignment="1">
      <alignment horizontal="left" vertical="center" wrapText="1"/>
    </xf>
    <xf numFmtId="173" fontId="15" fillId="40" borderId="3" xfId="0" applyNumberFormat="1" applyFont="1" applyFill="1" applyBorder="1" applyAlignment="1">
      <alignment horizontal="right" vertical="center" wrapText="1"/>
    </xf>
    <xf numFmtId="0" fontId="15" fillId="40" borderId="3" xfId="0" applyNumberFormat="1" applyFont="1" applyFill="1" applyBorder="1" applyAlignment="1">
      <alignment horizontal="center" vertical="center" wrapText="1"/>
    </xf>
    <xf numFmtId="0" fontId="15" fillId="40" borderId="4" xfId="0" applyNumberFormat="1" applyFont="1" applyFill="1" applyBorder="1" applyAlignment="1">
      <alignment horizontal="center" vertical="center" wrapText="1"/>
    </xf>
    <xf numFmtId="0" fontId="25" fillId="39" borderId="5" xfId="0" applyNumberFormat="1" applyFont="1" applyFill="1" applyBorder="1" applyAlignment="1">
      <alignment horizontal="center" vertical="center"/>
    </xf>
    <xf numFmtId="173" fontId="21" fillId="53" borderId="6" xfId="0" applyNumberFormat="1" applyFont="1" applyFill="1" applyBorder="1" applyAlignment="1">
      <alignment horizontal="right" vertical="center" wrapText="1"/>
    </xf>
    <xf numFmtId="0" fontId="21" fillId="53" borderId="6" xfId="0" applyNumberFormat="1" applyFont="1" applyFill="1" applyBorder="1" applyAlignment="1">
      <alignment horizontal="center" vertical="center" wrapText="1"/>
    </xf>
    <xf numFmtId="173" fontId="21" fillId="56" borderId="6" xfId="0" applyNumberFormat="1" applyFont="1" applyFill="1" applyBorder="1" applyAlignment="1">
      <alignment horizontal="right" vertical="center" wrapText="1"/>
    </xf>
    <xf numFmtId="0" fontId="21" fillId="56" borderId="6" xfId="0" applyNumberFormat="1" applyFont="1" applyFill="1" applyBorder="1" applyAlignment="1">
      <alignment horizontal="center" vertical="center" wrapText="1"/>
    </xf>
    <xf numFmtId="0" fontId="12" fillId="43" borderId="7" xfId="0" applyNumberFormat="1" applyFont="1" applyFill="1" applyBorder="1" applyAlignment="1">
      <alignment horizontal="center" vertical="center" wrapText="1"/>
    </xf>
    <xf numFmtId="173" fontId="13" fillId="45" borderId="8" xfId="0" applyNumberFormat="1" applyFont="1" applyFill="1" applyBorder="1" applyAlignment="1">
      <alignment horizontal="right" vertical="center" wrapText="1"/>
    </xf>
    <xf numFmtId="0" fontId="13" fillId="45" borderId="8" xfId="0" applyNumberFormat="1" applyFont="1" applyFill="1" applyBorder="1" applyAlignment="1">
      <alignment horizontal="center" vertical="center" wrapText="1"/>
    </xf>
    <xf numFmtId="0" fontId="21" fillId="53" borderId="10" xfId="0" applyNumberFormat="1" applyFont="1" applyFill="1" applyBorder="1" applyAlignment="1">
      <alignment horizontal="left" vertical="center" wrapText="1"/>
    </xf>
    <xf numFmtId="0" fontId="21" fillId="56" borderId="10" xfId="0" applyNumberFormat="1" applyFont="1" applyFill="1" applyBorder="1" applyAlignment="1">
      <alignment horizontal="left" vertical="center" wrapText="1"/>
    </xf>
    <xf numFmtId="0" fontId="13" fillId="45" borderId="11" xfId="0" applyNumberFormat="1" applyFont="1" applyFill="1" applyBorder="1" applyAlignment="1">
      <alignment horizontal="left" vertical="center" wrapText="1"/>
    </xf>
    <xf numFmtId="0" fontId="12" fillId="43" borderId="12" xfId="0" applyNumberFormat="1" applyFont="1" applyFill="1" applyBorder="1" applyAlignment="1">
      <alignment horizontal="center" vertical="center" wrapText="1"/>
    </xf>
    <xf numFmtId="0" fontId="21" fillId="53" borderId="13" xfId="0" applyNumberFormat="1" applyFont="1" applyFill="1" applyBorder="1" applyAlignment="1">
      <alignment horizontal="center" vertical="center" wrapText="1"/>
    </xf>
    <xf numFmtId="0" fontId="21" fillId="56" borderId="13" xfId="0" applyNumberFormat="1" applyFont="1" applyFill="1" applyBorder="1" applyAlignment="1">
      <alignment horizontal="center" vertical="center" wrapText="1"/>
    </xf>
    <xf numFmtId="0" fontId="13" fillId="45" borderId="14" xfId="0" applyNumberFormat="1" applyFont="1" applyFill="1" applyBorder="1" applyAlignment="1">
      <alignment horizontal="center" vertical="center" wrapText="1"/>
    </xf>
    <xf numFmtId="173" fontId="21" fillId="53" borderId="6" xfId="0" applyNumberFormat="1" applyFont="1" applyFill="1" applyBorder="1" applyAlignment="1">
      <alignment horizontal="center" vertical="center" wrapText="1"/>
    </xf>
    <xf numFmtId="173" fontId="21" fillId="56" borderId="6" xfId="0" applyNumberFormat="1" applyFont="1" applyFill="1" applyBorder="1" applyAlignment="1">
      <alignment horizontal="center" vertical="center" wrapText="1"/>
    </xf>
    <xf numFmtId="173" fontId="13" fillId="45" borderId="8" xfId="0" applyNumberFormat="1" applyFont="1" applyFill="1" applyBorder="1" applyAlignment="1">
      <alignment horizontal="center" vertical="center" wrapText="1"/>
    </xf>
    <xf numFmtId="173" fontId="15" fillId="40" borderId="8" xfId="0" applyNumberFormat="1" applyFont="1" applyFill="1" applyBorder="1" applyAlignment="1">
      <alignment horizontal="right" vertical="center" wrapText="1"/>
    </xf>
    <xf numFmtId="0" fontId="15" fillId="40" borderId="8" xfId="0" applyNumberFormat="1" applyFont="1" applyFill="1" applyBorder="1" applyAlignment="1">
      <alignment horizontal="center" vertical="center" wrapText="1"/>
    </xf>
    <xf numFmtId="0" fontId="15" fillId="40" borderId="11" xfId="0" applyNumberFormat="1" applyFont="1" applyFill="1" applyBorder="1" applyAlignment="1">
      <alignment horizontal="left" vertical="center" wrapText="1"/>
    </xf>
    <xf numFmtId="0" fontId="15" fillId="40" borderId="14" xfId="0" applyNumberFormat="1" applyFont="1" applyFill="1" applyBorder="1" applyAlignment="1">
      <alignment horizontal="center" vertical="center" wrapText="1"/>
    </xf>
    <xf numFmtId="173" fontId="16" fillId="46" borderId="6" xfId="0" applyNumberFormat="1" applyFont="1" applyFill="1" applyBorder="1" applyAlignment="1">
      <alignment horizontal="right" vertical="center" wrapText="1"/>
    </xf>
    <xf numFmtId="173" fontId="14" fillId="54" borderId="6" xfId="0" applyNumberFormat="1" applyFont="1" applyFill="1" applyBorder="1" applyAlignment="1">
      <alignment horizontal="right" vertical="center" wrapText="1"/>
    </xf>
    <xf numFmtId="173" fontId="14" fillId="49" borderId="6" xfId="0" applyNumberFormat="1" applyFont="1" applyFill="1" applyBorder="1" applyAlignment="1">
      <alignment horizontal="right" vertical="center" wrapText="1"/>
    </xf>
    <xf numFmtId="173" fontId="23" fillId="50" borderId="6" xfId="0" applyNumberFormat="1" applyFont="1" applyFill="1" applyBorder="1" applyAlignment="1">
      <alignment horizontal="right" vertical="center" wrapText="1"/>
    </xf>
    <xf numFmtId="168" fontId="15" fillId="52" borderId="6" xfId="0" applyNumberFormat="1" applyFont="1" applyFill="1" applyBorder="1" applyAlignment="1">
      <alignment horizontal="right" vertical="center" wrapText="1"/>
    </xf>
    <xf numFmtId="0" fontId="14" fillId="47" borderId="10" xfId="0" applyNumberFormat="1" applyFont="1" applyFill="1" applyBorder="1" applyAlignment="1">
      <alignment horizontal="left" vertical="center" wrapText="1"/>
    </xf>
    <xf numFmtId="0" fontId="16" fillId="46" borderId="10" xfId="0" applyNumberFormat="1" applyFont="1" applyFill="1" applyBorder="1" applyAlignment="1">
      <alignment horizontal="left" vertical="center" wrapText="1"/>
    </xf>
    <xf numFmtId="0" fontId="14" fillId="54" borderId="10" xfId="0" applyNumberFormat="1" applyFont="1" applyFill="1" applyBorder="1" applyAlignment="1">
      <alignment horizontal="left" vertical="center" wrapText="1"/>
    </xf>
    <xf numFmtId="0" fontId="14" fillId="49" borderId="10" xfId="0" applyNumberFormat="1" applyFont="1" applyFill="1" applyBorder="1" applyAlignment="1">
      <alignment horizontal="left" vertical="center" wrapText="1"/>
    </xf>
    <xf numFmtId="0" fontId="23" fillId="50" borderId="10" xfId="0" applyNumberFormat="1" applyFont="1" applyFill="1" applyBorder="1" applyAlignment="1">
      <alignment horizontal="left" vertical="center" wrapText="1"/>
    </xf>
    <xf numFmtId="0" fontId="15" fillId="52" borderId="10" xfId="0" applyNumberFormat="1" applyFont="1" applyFill="1" applyBorder="1" applyAlignment="1">
      <alignment horizontal="left" vertical="center" wrapText="1"/>
    </xf>
    <xf numFmtId="0" fontId="11" fillId="45" borderId="6" xfId="0" applyNumberFormat="1" applyFont="1" applyFill="1" applyBorder="1" applyAlignment="1">
      <alignment horizontal="center" vertical="center" wrapText="1"/>
    </xf>
    <xf numFmtId="0" fontId="21" fillId="56" borderId="11" xfId="0" applyNumberFormat="1" applyFont="1" applyFill="1" applyBorder="1" applyAlignment="1">
      <alignment horizontal="left" vertical="center" wrapText="1"/>
    </xf>
    <xf numFmtId="0" fontId="10" fillId="41" borderId="15" xfId="0" applyNumberFormat="1" applyFont="1" applyFill="1" applyBorder="1" applyAlignment="1">
      <alignment horizontal="left" vertical="center" indent="1"/>
    </xf>
    <xf numFmtId="0" fontId="10" fillId="41" borderId="16" xfId="0" applyNumberFormat="1" applyFont="1" applyFill="1" applyBorder="1" applyAlignment="1">
      <alignment horizontal="left" vertical="center" indent="1"/>
    </xf>
    <xf numFmtId="0" fontId="10" fillId="41" borderId="17" xfId="0" applyNumberFormat="1" applyFont="1" applyFill="1" applyBorder="1" applyAlignment="1">
      <alignment horizontal="left" vertical="center" indent="1"/>
    </xf>
    <xf numFmtId="0" fontId="12" fillId="43" borderId="18" xfId="0" applyNumberFormat="1" applyFont="1" applyFill="1" applyBorder="1" applyAlignment="1">
      <alignment horizontal="center" vertical="center" wrapText="1"/>
    </xf>
    <xf numFmtId="0" fontId="12" fillId="43" borderId="19" xfId="0" applyNumberFormat="1" applyFont="1" applyFill="1" applyBorder="1" applyAlignment="1">
      <alignment horizontal="center" vertical="center" wrapText="1"/>
    </xf>
    <xf numFmtId="0" fontId="12" fillId="43" borderId="20" xfId="0" applyNumberFormat="1" applyFont="1" applyFill="1" applyBorder="1" applyAlignment="1">
      <alignment horizontal="center" vertical="center" wrapText="1"/>
    </xf>
    <xf numFmtId="0" fontId="10" fillId="41" borderId="21" xfId="0" applyNumberFormat="1" applyFont="1" applyFill="1" applyBorder="1" applyAlignment="1">
      <alignment horizontal="left" vertical="center" indent="1"/>
    </xf>
    <xf numFmtId="0" fontId="18" fillId="40" borderId="0" xfId="0" applyNumberFormat="1" applyFont="1" applyFill="1" applyBorder="1" applyAlignment="1">
      <alignment horizontal="center" vertical="center"/>
    </xf>
    <xf numFmtId="0" fontId="18" fillId="40" borderId="25" xfId="0" applyNumberFormat="1" applyFont="1" applyFill="1" applyBorder="1" applyAlignment="1">
      <alignment horizontal="center" vertical="center"/>
    </xf>
    <xf numFmtId="173" fontId="19" fillId="41" borderId="24" xfId="0" applyNumberFormat="1" applyFont="1" applyFill="1" applyBorder="1" applyAlignment="1">
      <alignment horizontal="center" vertical="center"/>
    </xf>
    <xf numFmtId="0" fontId="18" fillId="40" borderId="26" xfId="0" applyNumberFormat="1" applyFont="1" applyFill="1" applyBorder="1" applyAlignment="1">
      <alignment horizontal="center" vertical="center"/>
    </xf>
    <xf numFmtId="0" fontId="17" fillId="39" borderId="27" xfId="0" applyNumberFormat="1" applyFont="1" applyFill="1" applyBorder="1" applyAlignment="1">
      <alignment horizontal="center" vertical="center"/>
    </xf>
    <xf numFmtId="0" fontId="17" fillId="39" borderId="28" xfId="0" applyNumberFormat="1" applyFont="1" applyFill="1" applyBorder="1" applyAlignment="1">
      <alignment horizontal="center" vertical="center"/>
    </xf>
    <xf numFmtId="0" fontId="17" fillId="39" borderId="29" xfId="0" applyNumberFormat="1" applyFont="1" applyFill="1" applyBorder="1" applyAlignment="1">
      <alignment horizontal="center" vertical="center"/>
    </xf>
    <xf numFmtId="0" fontId="12" fillId="43" borderId="9" xfId="0" applyNumberFormat="1" applyFont="1" applyFill="1" applyBorder="1" applyAlignment="1">
      <alignment horizontal="left" vertical="center" wrapText="1"/>
    </xf>
    <xf numFmtId="0" fontId="12" fillId="43" borderId="18" xfId="0" applyNumberFormat="1" applyFont="1" applyFill="1" applyBorder="1" applyAlignment="1">
      <alignment horizontal="left" vertical="center" wrapText="1"/>
    </xf>
    <xf numFmtId="0" fontId="11" fillId="45" borderId="10" xfId="0" applyNumberFormat="1" applyFont="1" applyFill="1" applyBorder="1" applyAlignment="1">
      <alignment horizontal="left" vertical="center" wrapText="1"/>
    </xf>
    <xf numFmtId="0" fontId="25" fillId="39" borderId="5" xfId="0" applyNumberFormat="1" applyFont="1" applyFill="1" applyBorder="1" applyAlignment="1">
      <alignment horizontal="left" vertical="center"/>
    </xf>
    <xf numFmtId="165" fontId="21" fillId="53" borderId="6" xfId="0" applyNumberFormat="1" applyFont="1" applyFill="1" applyBorder="1" applyAlignment="1">
      <alignment horizontal="center" vertical="center" wrapText="1"/>
    </xf>
    <xf numFmtId="165" fontId="21" fillId="56" borderId="6" xfId="0" applyNumberFormat="1" applyFont="1" applyFill="1" applyBorder="1" applyAlignment="1">
      <alignment horizontal="center" vertical="center" wrapText="1"/>
    </xf>
    <xf numFmtId="0" fontId="10" fillId="41" borderId="22" xfId="0" applyNumberFormat="1" applyFont="1" applyFill="1" applyBorder="1" applyAlignment="1">
      <alignment horizontal="center" vertical="center" indent="1"/>
    </xf>
    <xf numFmtId="0" fontId="10" fillId="41" borderId="23" xfId="0" applyNumberFormat="1" applyFont="1" applyFill="1" applyBorder="1" applyAlignment="1">
      <alignment horizontal="center" vertical="center" indent="1"/>
    </xf>
    <xf numFmtId="0" fontId="14" fillId="47" borderId="6" xfId="0" applyNumberFormat="1" applyFont="1" applyFill="1" applyBorder="1" applyAlignment="1">
      <alignment horizontal="center" vertical="center" wrapText="1"/>
    </xf>
    <xf numFmtId="0" fontId="14" fillId="47" borderId="13" xfId="0" applyNumberFormat="1" applyFont="1" applyFill="1" applyBorder="1" applyAlignment="1">
      <alignment horizontal="center" vertical="center" wrapText="1"/>
    </xf>
    <xf numFmtId="0" fontId="16" fillId="46" borderId="6" xfId="0" applyNumberFormat="1" applyFont="1" applyFill="1" applyBorder="1" applyAlignment="1">
      <alignment horizontal="center" vertical="center" wrapText="1"/>
    </xf>
    <xf numFmtId="0" fontId="16" fillId="46" borderId="13" xfId="0" applyNumberFormat="1" applyFont="1" applyFill="1" applyBorder="1" applyAlignment="1">
      <alignment horizontal="center" vertical="center" wrapText="1"/>
    </xf>
    <xf numFmtId="0" fontId="16" fillId="48" borderId="6" xfId="0" applyNumberFormat="1" applyFont="1" applyFill="1" applyBorder="1" applyAlignment="1">
      <alignment horizontal="center" vertical="center" wrapText="1"/>
    </xf>
    <xf numFmtId="0" fontId="16" fillId="48" borderId="13" xfId="0" applyNumberFormat="1" applyFont="1" applyFill="1" applyBorder="1" applyAlignment="1">
      <alignment horizontal="center" vertical="center" wrapText="1"/>
    </xf>
    <xf numFmtId="0" fontId="16" fillId="46" borderId="6" xfId="0" applyNumberFormat="1" applyFont="1" applyFill="1" applyBorder="1" applyAlignment="1">
      <alignment horizontal="center" vertical="top" wrapText="1"/>
    </xf>
    <xf numFmtId="0" fontId="14" fillId="54" borderId="6" xfId="0" applyNumberFormat="1" applyFont="1" applyFill="1" applyBorder="1" applyAlignment="1">
      <alignment horizontal="center" vertical="center" wrapText="1"/>
    </xf>
    <xf numFmtId="0" fontId="14" fillId="54" borderId="13" xfId="0" applyNumberFormat="1" applyFont="1" applyFill="1" applyBorder="1" applyAlignment="1">
      <alignment horizontal="center" vertical="center" wrapText="1"/>
    </xf>
    <xf numFmtId="0" fontId="14" fillId="49" borderId="6" xfId="0" applyNumberFormat="1" applyFont="1" applyFill="1" applyBorder="1" applyAlignment="1">
      <alignment horizontal="center" vertical="center" wrapText="1"/>
    </xf>
    <xf numFmtId="0" fontId="14" fillId="49" borderId="13" xfId="0" applyNumberFormat="1" applyFont="1" applyFill="1" applyBorder="1" applyAlignment="1">
      <alignment horizontal="center" vertical="center" wrapText="1"/>
    </xf>
    <xf numFmtId="0" fontId="23" fillId="50" borderId="6" xfId="0" applyNumberFormat="1" applyFont="1" applyFill="1" applyBorder="1" applyAlignment="1">
      <alignment horizontal="center" vertical="center" wrapText="1"/>
    </xf>
    <xf numFmtId="0" fontId="23" fillId="50" borderId="13" xfId="0" applyNumberFormat="1" applyFont="1" applyFill="1" applyBorder="1" applyAlignment="1">
      <alignment horizontal="center" vertical="center" wrapText="1"/>
    </xf>
    <xf numFmtId="0" fontId="23" fillId="51" borderId="6" xfId="0" applyNumberFormat="1" applyFont="1" applyFill="1" applyBorder="1" applyAlignment="1">
      <alignment horizontal="center" vertical="center" wrapText="1"/>
    </xf>
    <xf numFmtId="0" fontId="23" fillId="51" borderId="13" xfId="0" applyNumberFormat="1" applyFont="1" applyFill="1" applyBorder="1" applyAlignment="1">
      <alignment horizontal="center" vertical="center" wrapText="1"/>
    </xf>
    <xf numFmtId="0" fontId="14" fillId="55" borderId="6" xfId="0" applyNumberFormat="1" applyFont="1" applyFill="1" applyBorder="1" applyAlignment="1">
      <alignment horizontal="center" vertical="center" wrapText="1"/>
    </xf>
    <xf numFmtId="0" fontId="14" fillId="55" borderId="13" xfId="0" applyNumberFormat="1" applyFont="1" applyFill="1" applyBorder="1" applyAlignment="1">
      <alignment horizontal="center" vertical="center" wrapText="1"/>
    </xf>
    <xf numFmtId="0" fontId="15" fillId="52" borderId="6" xfId="0" applyNumberFormat="1" applyFont="1" applyFill="1" applyBorder="1" applyAlignment="1">
      <alignment horizontal="center" vertical="center" wrapText="1"/>
    </xf>
    <xf numFmtId="0" fontId="15" fillId="52" borderId="13" xfId="0" applyNumberFormat="1" applyFont="1" applyFill="1" applyBorder="1" applyAlignment="1">
      <alignment horizontal="center" vertical="center" wrapText="1"/>
    </xf>
    <xf numFmtId="0" fontId="11" fillId="45" borderId="13" xfId="0" applyNumberFormat="1" applyFont="1" applyFill="1" applyBorder="1" applyAlignment="1">
      <alignment horizontal="center" vertical="center" wrapText="1"/>
    </xf>
    <xf numFmtId="0" fontId="21" fillId="56" borderId="8" xfId="0" applyNumberFormat="1" applyFont="1" applyFill="1" applyBorder="1" applyAlignment="1">
      <alignment horizontal="center" vertical="center" wrapText="1"/>
    </xf>
    <xf numFmtId="0" fontId="21" fillId="56" borderId="14" xfId="0" applyNumberFormat="1" applyFont="1" applyFill="1" applyBorder="1" applyAlignment="1">
      <alignment horizontal="center" vertical="center" wrapText="1"/>
    </xf>
    <xf numFmtId="173" fontId="24" fillId="53" borderId="6" xfId="0" applyNumberFormat="1" applyFont="1" applyFill="1" applyBorder="1" applyAlignment="1">
      <alignment horizontal="right" vertical="center" wrapText="1"/>
    </xf>
    <xf numFmtId="173" fontId="24" fillId="56" borderId="6" xfId="0" applyNumberFormat="1" applyFont="1" applyFill="1" applyBorder="1" applyAlignment="1">
      <alignment horizontal="right" vertical="center" wrapText="1"/>
    </xf>
    <xf numFmtId="168" fontId="21" fillId="53" borderId="6" xfId="0" applyNumberFormat="1" applyFont="1" applyFill="1" applyBorder="1" applyAlignment="1">
      <alignment horizontal="center" vertical="center" wrapText="1"/>
    </xf>
    <xf numFmtId="0" fontId="22" fillId="44" borderId="10" xfId="0" applyNumberFormat="1" applyFont="1" applyFill="1" applyBorder="1" applyAlignment="1">
      <alignment horizontal="left" vertical="center" wrapText="1"/>
    </xf>
    <xf numFmtId="173" fontId="22" fillId="44" borderId="6" xfId="0" applyNumberFormat="1" applyFont="1" applyFill="1" applyBorder="1" applyAlignment="1">
      <alignment horizontal="right" vertical="center" wrapText="1"/>
    </xf>
    <xf numFmtId="0" fontId="22" fillId="53" borderId="10" xfId="0" applyNumberFormat="1" applyFont="1" applyFill="1" applyBorder="1" applyAlignment="1">
      <alignment horizontal="left" vertical="center" wrapText="1"/>
    </xf>
    <xf numFmtId="173" fontId="22" fillId="53" borderId="6" xfId="0" applyNumberFormat="1" applyFont="1" applyFill="1" applyBorder="1" applyAlignment="1">
      <alignment horizontal="right" vertical="center" wrapText="1"/>
    </xf>
    <xf numFmtId="0" fontId="12" fillId="57" borderId="10" xfId="0" applyNumberFormat="1" applyFont="1" applyFill="1" applyBorder="1" applyAlignment="1">
      <alignment horizontal="left" vertical="center" wrapText="1"/>
    </xf>
    <xf numFmtId="173" fontId="12" fillId="57" borderId="6" xfId="0" applyNumberFormat="1" applyFont="1" applyFill="1" applyBorder="1" applyAlignment="1">
      <alignment horizontal="right" vertical="center" wrapText="1"/>
    </xf>
    <xf numFmtId="0" fontId="12" fillId="57" borderId="6" xfId="0" applyNumberFormat="1" applyFont="1" applyFill="1" applyBorder="1" applyAlignment="1">
      <alignment horizontal="center" vertical="center" wrapText="1"/>
    </xf>
    <xf numFmtId="0" fontId="26" fillId="45" borderId="10" xfId="0" applyNumberFormat="1" applyFont="1" applyFill="1" applyBorder="1" applyAlignment="1">
      <alignment horizontal="left" vertical="center" wrapText="1"/>
    </xf>
    <xf numFmtId="173" fontId="26" fillId="45" borderId="6" xfId="0" applyNumberFormat="1" applyFont="1" applyFill="1" applyBorder="1" applyAlignment="1">
      <alignment horizontal="center" vertical="center" wrapText="1"/>
    </xf>
    <xf numFmtId="0" fontId="26" fillId="45" borderId="6" xfId="0" applyNumberFormat="1" applyFont="1" applyFill="1" applyBorder="1" applyAlignment="1">
      <alignment horizontal="center" vertical="top" wrapText="1"/>
    </xf>
  </cellXfs>
  <cellStyles count="1">
    <cellStyle name="Normal" xfId="0" builtinId="0"/>
  </cellStyles>
  <dxfs count="4">
    <dxf>
      <font>
        <color rgb="FFFFFFFF"/>
      </font>
      <fill>
        <patternFill patternType="solid">
          <fgColor indexed="64"/>
          <bgColor rgb="FFE74C3C"/>
        </patternFill>
      </fill>
    </dxf>
    <dxf>
      <font>
        <color rgb="FFFFFFFF"/>
      </font>
      <fill>
        <patternFill patternType="solid">
          <fgColor indexed="64"/>
          <bgColor rgb="FF27AE60"/>
        </patternFill>
      </fill>
    </dxf>
    <dxf>
      <font>
        <color rgb="FFFFFFFF"/>
      </font>
      <fill>
        <patternFill patternType="solid">
          <fgColor indexed="64"/>
          <bgColor rgb="FFE74C3C"/>
        </patternFill>
      </fill>
    </dxf>
    <dxf>
      <font>
        <color rgb="FFFFFFFF"/>
      </font>
      <fill>
        <patternFill patternType="solid">
          <fgColor indexed="64"/>
          <bgColor rgb="FF27AE6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6802-19E3-4AF9-BCD7-3141EAA5C793}">
  <dimension ref="A1:H47"/>
  <sheetViews>
    <sheetView workbookViewId="0">
      <selection sqref="A1:K1"/>
    </sheetView>
  </sheetViews>
  <sheetFormatPr defaultRowHeight="14.5" x14ac:dyDescent="0.35"/>
  <cols>
    <col min="1" max="1" width="29.08984375" customWidth="1"/>
    <col min="2" max="3" width="25.453125" customWidth="1"/>
    <col min="4" max="4" width="36.36328125" customWidth="1"/>
    <col min="6" max="6" width="27.26953125" customWidth="1"/>
    <col min="7" max="7" width="36.36328125" customWidth="1"/>
    <col min="8" max="8" width="27.26953125" customWidth="1"/>
  </cols>
  <sheetData>
    <row r="1" spans="1:8" ht="23.5" x14ac:dyDescent="0.55000000000000004">
      <c r="A1" s="18" t="s">
        <v>297</v>
      </c>
      <c r="B1" s="19"/>
      <c r="C1" s="19"/>
      <c r="D1" s="19"/>
      <c r="E1" s="19"/>
      <c r="F1" s="19"/>
      <c r="G1" s="19"/>
      <c r="H1" s="19"/>
    </row>
    <row r="2" spans="1:8" x14ac:dyDescent="0.35">
      <c r="A2" s="20" t="s">
        <v>298</v>
      </c>
      <c r="B2" s="19"/>
      <c r="C2" s="19"/>
      <c r="D2" s="19"/>
      <c r="E2" s="19"/>
      <c r="F2" s="19"/>
      <c r="G2" s="19"/>
      <c r="H2" s="19"/>
    </row>
    <row r="3" spans="1:8" x14ac:dyDescent="0.35">
      <c r="A3" s="21"/>
      <c r="B3" s="21"/>
      <c r="C3" s="21"/>
      <c r="D3" s="21"/>
      <c r="E3" s="21"/>
      <c r="F3" s="21"/>
      <c r="G3" s="21"/>
      <c r="H3" s="21"/>
    </row>
    <row r="4" spans="1:8" x14ac:dyDescent="0.35">
      <c r="A4" s="22" t="s">
        <v>299</v>
      </c>
      <c r="B4" s="19"/>
      <c r="C4" s="19"/>
      <c r="D4" s="19"/>
      <c r="E4" s="21"/>
      <c r="F4" s="23" t="s">
        <v>339</v>
      </c>
      <c r="G4" s="19"/>
      <c r="H4" s="19"/>
    </row>
    <row r="5" spans="1:8" x14ac:dyDescent="0.35">
      <c r="A5" s="24" t="s">
        <v>79</v>
      </c>
      <c r="B5" s="24" t="s">
        <v>77</v>
      </c>
      <c r="C5" s="24" t="s">
        <v>300</v>
      </c>
      <c r="D5" s="24" t="s">
        <v>5</v>
      </c>
      <c r="E5" s="21"/>
      <c r="F5" s="24" t="s">
        <v>340</v>
      </c>
      <c r="G5" s="24" t="s">
        <v>77</v>
      </c>
      <c r="H5" s="24"/>
    </row>
    <row r="6" spans="1:8" x14ac:dyDescent="0.35">
      <c r="A6" s="21" t="s">
        <v>301</v>
      </c>
      <c r="B6" s="103">
        <v>0</v>
      </c>
      <c r="C6" s="21"/>
      <c r="D6" s="21" t="s">
        <v>302</v>
      </c>
      <c r="E6" s="21"/>
      <c r="F6" s="21" t="s">
        <v>341</v>
      </c>
      <c r="G6" s="21"/>
      <c r="H6" s="21"/>
    </row>
    <row r="7" spans="1:8" x14ac:dyDescent="0.35">
      <c r="A7" s="21" t="s">
        <v>303</v>
      </c>
      <c r="B7" s="103"/>
      <c r="C7" s="21"/>
      <c r="D7" s="21" t="s">
        <v>304</v>
      </c>
      <c r="E7" s="21"/>
      <c r="F7" s="21" t="s">
        <v>342</v>
      </c>
      <c r="G7" s="21"/>
      <c r="H7" s="21"/>
    </row>
    <row r="8" spans="1:8" x14ac:dyDescent="0.35">
      <c r="A8" s="21" t="s">
        <v>305</v>
      </c>
      <c r="B8" s="103">
        <v>0</v>
      </c>
      <c r="C8" s="21"/>
      <c r="D8" s="21"/>
      <c r="E8" s="21"/>
      <c r="F8" s="21" t="s">
        <v>343</v>
      </c>
      <c r="G8" s="21">
        <v>2</v>
      </c>
      <c r="H8" s="21"/>
    </row>
    <row r="9" spans="1:8" x14ac:dyDescent="0.35">
      <c r="A9" s="21" t="s">
        <v>744</v>
      </c>
      <c r="B9" s="103">
        <f>'Business Case'!F62</f>
        <v>0</v>
      </c>
      <c r="C9" s="21"/>
      <c r="D9" s="21"/>
      <c r="E9" s="21"/>
      <c r="F9" s="21" t="s">
        <v>344</v>
      </c>
      <c r="G9" s="21"/>
      <c r="H9" s="21"/>
    </row>
    <row r="10" spans="1:8" x14ac:dyDescent="0.35">
      <c r="A10" s="21" t="s">
        <v>746</v>
      </c>
      <c r="B10" s="103">
        <v>0</v>
      </c>
      <c r="C10" s="21"/>
      <c r="D10" s="21" t="s">
        <v>749</v>
      </c>
      <c r="E10" s="21"/>
      <c r="F10" s="21" t="s">
        <v>345</v>
      </c>
      <c r="G10" s="21"/>
      <c r="H10" s="21"/>
    </row>
    <row r="11" spans="1:8" x14ac:dyDescent="0.35">
      <c r="A11" s="21" t="s">
        <v>305</v>
      </c>
      <c r="B11" s="103">
        <f>'Business Case'!B75</f>
        <v>0</v>
      </c>
      <c r="C11" s="21"/>
      <c r="D11" s="21" t="s">
        <v>750</v>
      </c>
      <c r="E11" s="21"/>
      <c r="F11" s="21" t="s">
        <v>346</v>
      </c>
      <c r="G11" s="21"/>
      <c r="H11" s="21"/>
    </row>
    <row r="12" spans="1:8" x14ac:dyDescent="0.35">
      <c r="A12" s="21" t="s">
        <v>75</v>
      </c>
      <c r="B12" s="2" t="e">
        <f>'Business Case'!#REF!</f>
        <v>#REF!</v>
      </c>
      <c r="C12" s="21"/>
      <c r="D12" s="21" t="s">
        <v>749</v>
      </c>
      <c r="E12" s="21"/>
      <c r="F12" s="21" t="s">
        <v>300</v>
      </c>
      <c r="G12" s="21"/>
      <c r="H12" s="21" t="s">
        <v>347</v>
      </c>
    </row>
    <row r="13" spans="1:8" x14ac:dyDescent="0.35">
      <c r="A13" s="21"/>
      <c r="B13" s="21"/>
      <c r="C13" s="21"/>
      <c r="D13" s="21"/>
      <c r="E13" s="21"/>
      <c r="F13" s="21"/>
      <c r="G13" s="21"/>
      <c r="H13" s="21"/>
    </row>
    <row r="14" spans="1:8" x14ac:dyDescent="0.35">
      <c r="A14" s="22" t="s">
        <v>306</v>
      </c>
      <c r="B14" s="19"/>
      <c r="C14" s="19"/>
      <c r="D14" s="19"/>
      <c r="E14" s="21"/>
      <c r="F14" s="23" t="s">
        <v>348</v>
      </c>
      <c r="G14" s="19"/>
      <c r="H14" s="19"/>
    </row>
    <row r="15" spans="1:8" x14ac:dyDescent="0.35">
      <c r="A15" s="24" t="s">
        <v>51</v>
      </c>
      <c r="B15" s="24" t="s">
        <v>716</v>
      </c>
      <c r="C15" s="24" t="s">
        <v>307</v>
      </c>
      <c r="D15" s="24" t="s">
        <v>80</v>
      </c>
      <c r="E15" s="21"/>
      <c r="F15" s="24" t="s">
        <v>349</v>
      </c>
      <c r="G15" s="24" t="s">
        <v>350</v>
      </c>
      <c r="H15" s="24"/>
    </row>
    <row r="16" spans="1:8" x14ac:dyDescent="0.35">
      <c r="A16" s="21" t="s">
        <v>279</v>
      </c>
      <c r="B16" s="103">
        <v>0</v>
      </c>
      <c r="C16" s="21">
        <v>0</v>
      </c>
      <c r="D16" s="21" t="s">
        <v>717</v>
      </c>
      <c r="E16" s="21"/>
      <c r="F16" s="21" t="s">
        <v>351</v>
      </c>
      <c r="G16" s="21" t="s">
        <v>352</v>
      </c>
      <c r="H16" s="21"/>
    </row>
    <row r="17" spans="1:8" x14ac:dyDescent="0.35">
      <c r="A17" s="21" t="s">
        <v>280</v>
      </c>
      <c r="B17" s="103">
        <v>0</v>
      </c>
      <c r="C17" s="21">
        <v>0</v>
      </c>
      <c r="D17" s="21" t="s">
        <v>717</v>
      </c>
      <c r="E17" s="21"/>
      <c r="F17" s="21" t="s">
        <v>353</v>
      </c>
      <c r="G17" s="21" t="s">
        <v>354</v>
      </c>
      <c r="H17" s="21"/>
    </row>
    <row r="18" spans="1:8" x14ac:dyDescent="0.35">
      <c r="A18" s="21" t="s">
        <v>308</v>
      </c>
      <c r="B18" s="103">
        <v>0</v>
      </c>
      <c r="C18" s="21">
        <v>0</v>
      </c>
      <c r="D18" s="21" t="s">
        <v>717</v>
      </c>
      <c r="E18" s="21"/>
      <c r="F18" s="21" t="s">
        <v>355</v>
      </c>
      <c r="G18" s="21" t="s">
        <v>356</v>
      </c>
      <c r="H18" s="21"/>
    </row>
    <row r="19" spans="1:8" x14ac:dyDescent="0.35">
      <c r="A19" s="26" t="s">
        <v>718</v>
      </c>
      <c r="B19" s="104">
        <v>0</v>
      </c>
      <c r="C19" s="26"/>
      <c r="D19" s="26"/>
      <c r="E19" s="21"/>
      <c r="F19" s="21" t="s">
        <v>294</v>
      </c>
      <c r="G19" s="21" t="s">
        <v>357</v>
      </c>
      <c r="H19" s="21"/>
    </row>
    <row r="20" spans="1:8" x14ac:dyDescent="0.35">
      <c r="A20" s="21"/>
      <c r="B20" s="21"/>
      <c r="C20" s="21"/>
      <c r="D20" s="21"/>
      <c r="E20" s="21"/>
      <c r="F20" s="21"/>
      <c r="G20" s="21"/>
      <c r="H20" s="21"/>
    </row>
    <row r="21" spans="1:8" x14ac:dyDescent="0.35">
      <c r="A21" s="27" t="s">
        <v>309</v>
      </c>
      <c r="B21" s="19"/>
      <c r="C21" s="19"/>
      <c r="D21" s="19"/>
      <c r="E21" s="21"/>
      <c r="F21" s="21"/>
      <c r="G21" s="21"/>
      <c r="H21" s="21"/>
    </row>
    <row r="22" spans="1:8" x14ac:dyDescent="0.35">
      <c r="A22" s="28" t="s">
        <v>310</v>
      </c>
      <c r="B22" s="28" t="s">
        <v>311</v>
      </c>
      <c r="C22" s="28" t="s">
        <v>312</v>
      </c>
      <c r="D22" s="28" t="s">
        <v>313</v>
      </c>
      <c r="E22" s="21"/>
      <c r="F22" s="21"/>
      <c r="G22" s="21"/>
      <c r="H22" s="21"/>
    </row>
    <row r="23" spans="1:8" x14ac:dyDescent="0.35">
      <c r="A23" s="21" t="s">
        <v>314</v>
      </c>
      <c r="B23" s="21"/>
      <c r="C23" s="21"/>
      <c r="D23" s="21"/>
      <c r="E23" s="21"/>
      <c r="F23" s="21"/>
      <c r="G23" s="21"/>
      <c r="H23" s="21"/>
    </row>
    <row r="24" spans="1:8" x14ac:dyDescent="0.35">
      <c r="A24" s="21" t="s">
        <v>315</v>
      </c>
      <c r="B24" s="21"/>
      <c r="C24" s="21"/>
      <c r="D24" s="21"/>
      <c r="E24" s="21"/>
      <c r="F24" s="21"/>
      <c r="G24" s="21"/>
      <c r="H24" s="21"/>
    </row>
    <row r="25" spans="1:8" x14ac:dyDescent="0.35">
      <c r="A25" s="21" t="s">
        <v>316</v>
      </c>
      <c r="B25" s="21"/>
      <c r="C25" s="21"/>
      <c r="D25" s="21"/>
      <c r="E25" s="21"/>
      <c r="F25" s="21"/>
      <c r="G25" s="21"/>
      <c r="H25" s="21"/>
    </row>
    <row r="26" spans="1:8" x14ac:dyDescent="0.35">
      <c r="A26" s="21" t="s">
        <v>317</v>
      </c>
      <c r="B26" s="21"/>
      <c r="C26" s="21"/>
      <c r="D26" s="21"/>
      <c r="E26" s="21"/>
      <c r="F26" s="21"/>
      <c r="G26" s="21"/>
      <c r="H26" s="21"/>
    </row>
    <row r="27" spans="1:8" x14ac:dyDescent="0.35">
      <c r="A27" s="21" t="s">
        <v>318</v>
      </c>
      <c r="B27" s="21"/>
      <c r="C27" s="21"/>
      <c r="D27" s="21"/>
      <c r="E27" s="21"/>
      <c r="F27" s="21"/>
      <c r="G27" s="21"/>
      <c r="H27" s="21"/>
    </row>
    <row r="28" spans="1:8" x14ac:dyDescent="0.35">
      <c r="A28" s="21" t="s">
        <v>319</v>
      </c>
      <c r="B28" s="21"/>
      <c r="C28" s="21"/>
      <c r="D28" s="21"/>
      <c r="E28" s="21"/>
      <c r="F28" s="21"/>
      <c r="G28" s="21"/>
      <c r="H28" s="21"/>
    </row>
    <row r="29" spans="1:8" x14ac:dyDescent="0.35">
      <c r="A29" s="21"/>
      <c r="B29" s="21"/>
      <c r="C29" s="21"/>
      <c r="D29" s="21"/>
      <c r="E29" s="21"/>
      <c r="F29" s="21"/>
      <c r="G29" s="21"/>
      <c r="H29" s="21"/>
    </row>
    <row r="30" spans="1:8" x14ac:dyDescent="0.35">
      <c r="A30" s="29" t="s">
        <v>320</v>
      </c>
      <c r="B30" s="19"/>
      <c r="C30" s="19"/>
      <c r="D30" s="19"/>
      <c r="E30" s="21"/>
      <c r="F30" s="21"/>
      <c r="G30" s="21"/>
      <c r="H30" s="21"/>
    </row>
    <row r="31" spans="1:8" x14ac:dyDescent="0.35">
      <c r="A31" s="30" t="s">
        <v>321</v>
      </c>
      <c r="B31" s="30" t="s">
        <v>322</v>
      </c>
      <c r="C31" s="30" t="s">
        <v>295</v>
      </c>
      <c r="D31" s="30"/>
      <c r="E31" s="21"/>
      <c r="F31" s="21"/>
      <c r="G31" s="21"/>
      <c r="H31" s="21"/>
    </row>
    <row r="32" spans="1:8" x14ac:dyDescent="0.35">
      <c r="A32" s="21" t="s">
        <v>296</v>
      </c>
      <c r="B32" s="21"/>
      <c r="C32" s="21"/>
      <c r="D32" s="21"/>
      <c r="E32" s="21"/>
      <c r="F32" s="21"/>
      <c r="G32" s="21"/>
      <c r="H32" s="21"/>
    </row>
    <row r="33" spans="1:8" x14ac:dyDescent="0.35">
      <c r="A33" s="21" t="s">
        <v>80</v>
      </c>
      <c r="B33" s="103">
        <v>0</v>
      </c>
      <c r="C33" s="21"/>
      <c r="D33" s="21" t="s">
        <v>323</v>
      </c>
      <c r="E33" s="21"/>
      <c r="F33" s="21"/>
      <c r="G33" s="21"/>
      <c r="H33" s="21"/>
    </row>
    <row r="34" spans="1:8" x14ac:dyDescent="0.35">
      <c r="A34" s="21" t="s">
        <v>324</v>
      </c>
      <c r="B34" s="103"/>
      <c r="C34" s="21"/>
      <c r="D34" s="21"/>
      <c r="E34" s="21"/>
      <c r="F34" s="21"/>
      <c r="G34" s="21"/>
      <c r="H34" s="21"/>
    </row>
    <row r="35" spans="1:8" x14ac:dyDescent="0.35">
      <c r="A35" s="21" t="s">
        <v>325</v>
      </c>
      <c r="B35" s="21"/>
      <c r="C35" s="21"/>
      <c r="D35" s="21"/>
      <c r="E35" s="21"/>
      <c r="F35" s="21"/>
      <c r="G35" s="21"/>
      <c r="H35" s="21"/>
    </row>
    <row r="36" spans="1:8" x14ac:dyDescent="0.35">
      <c r="A36" s="21" t="s">
        <v>326</v>
      </c>
      <c r="B36" s="21"/>
      <c r="C36" s="21"/>
      <c r="D36" s="21"/>
      <c r="E36" s="21"/>
      <c r="F36" s="21"/>
      <c r="G36" s="21"/>
      <c r="H36" s="21"/>
    </row>
    <row r="37" spans="1:8" x14ac:dyDescent="0.35">
      <c r="A37" s="21" t="s">
        <v>327</v>
      </c>
      <c r="B37" s="21"/>
      <c r="C37" s="21"/>
      <c r="D37" s="21"/>
      <c r="E37" s="21"/>
      <c r="F37" s="21"/>
      <c r="G37" s="21"/>
      <c r="H37" s="21"/>
    </row>
    <row r="38" spans="1:8" x14ac:dyDescent="0.35">
      <c r="A38" s="21" t="s">
        <v>328</v>
      </c>
      <c r="B38" s="21"/>
      <c r="C38" s="21"/>
      <c r="D38" s="21"/>
      <c r="E38" s="21"/>
      <c r="F38" s="21"/>
      <c r="G38" s="21"/>
      <c r="H38" s="21"/>
    </row>
    <row r="39" spans="1:8" x14ac:dyDescent="0.35">
      <c r="A39" s="21"/>
      <c r="B39" s="21"/>
      <c r="C39" s="21"/>
      <c r="D39" s="21"/>
      <c r="E39" s="21"/>
      <c r="F39" s="21"/>
      <c r="G39" s="21"/>
      <c r="H39" s="21"/>
    </row>
    <row r="40" spans="1:8" x14ac:dyDescent="0.35">
      <c r="A40" s="23" t="s">
        <v>329</v>
      </c>
      <c r="B40" s="19"/>
      <c r="C40" s="19"/>
      <c r="D40" s="19"/>
      <c r="E40" s="21"/>
      <c r="F40" s="21"/>
      <c r="G40" s="21"/>
      <c r="H40" s="21"/>
    </row>
    <row r="41" spans="1:8" x14ac:dyDescent="0.35">
      <c r="A41" s="24" t="s">
        <v>34</v>
      </c>
      <c r="B41" s="24" t="s">
        <v>330</v>
      </c>
      <c r="C41" s="24" t="s">
        <v>331</v>
      </c>
      <c r="D41" s="24" t="s">
        <v>332</v>
      </c>
      <c r="E41" s="21"/>
      <c r="F41" s="21"/>
      <c r="G41" s="21"/>
      <c r="H41" s="21"/>
    </row>
    <row r="42" spans="1:8" x14ac:dyDescent="0.35">
      <c r="A42" s="21" t="s">
        <v>333</v>
      </c>
      <c r="B42" s="21"/>
      <c r="C42" s="21"/>
      <c r="D42" s="21"/>
      <c r="E42" s="21"/>
      <c r="F42" s="21"/>
      <c r="G42" s="21"/>
      <c r="H42" s="21"/>
    </row>
    <row r="43" spans="1:8" x14ac:dyDescent="0.35">
      <c r="A43" s="21" t="s">
        <v>334</v>
      </c>
      <c r="B43" s="21"/>
      <c r="C43" s="21"/>
      <c r="D43" s="21"/>
      <c r="E43" s="21"/>
      <c r="F43" s="21"/>
      <c r="G43" s="21"/>
      <c r="H43" s="21"/>
    </row>
    <row r="44" spans="1:8" x14ac:dyDescent="0.35">
      <c r="A44" s="21" t="s">
        <v>335</v>
      </c>
      <c r="B44" s="21"/>
      <c r="C44" s="21"/>
      <c r="D44" s="21"/>
      <c r="E44" s="21"/>
      <c r="F44" s="21"/>
      <c r="G44" s="21"/>
      <c r="H44" s="21"/>
    </row>
    <row r="45" spans="1:8" x14ac:dyDescent="0.35">
      <c r="A45" s="21" t="s">
        <v>336</v>
      </c>
      <c r="B45" s="21"/>
      <c r="C45" s="21"/>
      <c r="D45" s="21"/>
      <c r="E45" s="21"/>
      <c r="F45" s="21"/>
      <c r="G45" s="21"/>
      <c r="H45" s="21"/>
    </row>
    <row r="46" spans="1:8" x14ac:dyDescent="0.35">
      <c r="A46" s="21" t="s">
        <v>337</v>
      </c>
      <c r="B46" s="21"/>
      <c r="C46" s="21"/>
      <c r="D46" s="21"/>
      <c r="E46" s="21"/>
      <c r="F46" s="21"/>
      <c r="G46" s="21"/>
      <c r="H46" s="21"/>
    </row>
    <row r="47" spans="1:8" x14ac:dyDescent="0.35">
      <c r="A47" s="21" t="s">
        <v>338</v>
      </c>
      <c r="B47" s="21"/>
      <c r="C47" s="21"/>
      <c r="D47" s="21"/>
      <c r="E47" s="21"/>
      <c r="F47" s="21"/>
      <c r="G47" s="21"/>
      <c r="H47" s="21"/>
    </row>
  </sheetData>
  <mergeCells count="9">
    <mergeCell ref="A40:D40"/>
    <mergeCell ref="F4:H4"/>
    <mergeCell ref="F14:H14"/>
    <mergeCell ref="A1:H1"/>
    <mergeCell ref="A2:H2"/>
    <mergeCell ref="A4:D4"/>
    <mergeCell ref="A14:D14"/>
    <mergeCell ref="A21:D21"/>
    <mergeCell ref="A30:D30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1"/>
  <sheetViews>
    <sheetView showGridLines="0" zoomScaleNormal="100" workbookViewId="0">
      <pane ySplit="3" topLeftCell="A4" activePane="bottomLeft" state="frozen"/>
      <selection pane="bottomLeft" activeCell="B74" sqref="B74"/>
    </sheetView>
  </sheetViews>
  <sheetFormatPr defaultColWidth="8.6328125" defaultRowHeight="14.5" x14ac:dyDescent="0.35"/>
  <cols>
    <col min="1" max="1" width="36.36328125" customWidth="1"/>
    <col min="2" max="2" width="27.26953125" customWidth="1"/>
    <col min="3" max="3" width="21.26953125" bestFit="1" customWidth="1"/>
    <col min="4" max="5" width="18.1796875" customWidth="1"/>
    <col min="6" max="6" width="27.26953125" customWidth="1"/>
  </cols>
  <sheetData>
    <row r="1" spans="1:6" ht="35" customHeight="1" thickTop="1" x14ac:dyDescent="0.35">
      <c r="A1" s="164" t="s">
        <v>713</v>
      </c>
      <c r="B1" s="165"/>
      <c r="C1" s="165"/>
      <c r="D1" s="165"/>
      <c r="E1" s="165"/>
      <c r="F1" s="166"/>
    </row>
    <row r="2" spans="1:6" ht="22" customHeight="1" x14ac:dyDescent="0.35">
      <c r="A2" s="161" t="s">
        <v>714</v>
      </c>
      <c r="B2" s="160" t="s">
        <v>715</v>
      </c>
      <c r="C2" s="160" t="s">
        <v>305</v>
      </c>
      <c r="D2" s="160"/>
      <c r="E2" s="160"/>
      <c r="F2" s="163"/>
    </row>
    <row r="3" spans="1:6" ht="40" customHeight="1" thickBot="1" x14ac:dyDescent="0.4">
      <c r="A3" s="162">
        <f>C44</f>
        <v>0</v>
      </c>
      <c r="B3" s="111">
        <f>C55</f>
        <v>0</v>
      </c>
      <c r="C3" s="111">
        <f>A3-B3</f>
        <v>0</v>
      </c>
    </row>
    <row r="4" spans="1:6" ht="12" customHeight="1" thickTop="1" x14ac:dyDescent="0.35">
      <c r="A4" s="31"/>
      <c r="B4" s="31"/>
      <c r="C4" s="31"/>
      <c r="D4" s="31"/>
      <c r="E4" s="31"/>
      <c r="F4" s="31"/>
    </row>
    <row r="5" spans="1:6" ht="40" customHeight="1" x14ac:dyDescent="0.35">
      <c r="A5" s="112" t="s">
        <v>711</v>
      </c>
      <c r="B5" s="112"/>
      <c r="C5" s="112"/>
      <c r="D5" s="112"/>
      <c r="E5" s="112"/>
      <c r="F5" s="112"/>
    </row>
    <row r="6" spans="1:6" ht="25" customHeight="1" x14ac:dyDescent="0.35">
      <c r="A6" s="113" t="s">
        <v>712</v>
      </c>
      <c r="B6" s="113"/>
      <c r="C6" s="113"/>
      <c r="D6" s="113"/>
      <c r="E6" s="113"/>
      <c r="F6" s="113"/>
    </row>
    <row r="7" spans="1:6" ht="12" customHeight="1" thickBot="1" x14ac:dyDescent="0.5">
      <c r="A7" s="32"/>
      <c r="B7" s="32"/>
      <c r="C7" s="32"/>
      <c r="D7" s="32"/>
      <c r="E7" s="32"/>
      <c r="F7" s="32"/>
    </row>
    <row r="8" spans="1:6" ht="30" customHeight="1" thickTop="1" thickBot="1" x14ac:dyDescent="0.4">
      <c r="A8" s="153" t="s">
        <v>708</v>
      </c>
      <c r="B8" s="154"/>
      <c r="C8" s="154"/>
      <c r="D8" s="154"/>
      <c r="E8" s="154"/>
      <c r="F8" s="155"/>
    </row>
    <row r="9" spans="1:6" ht="22" customHeight="1" x14ac:dyDescent="0.35">
      <c r="A9" s="33" t="s">
        <v>0</v>
      </c>
      <c r="B9" s="33"/>
      <c r="C9" s="33"/>
      <c r="D9" s="33"/>
      <c r="E9" s="33"/>
      <c r="F9" s="33"/>
    </row>
    <row r="10" spans="1:6" ht="22" customHeight="1" x14ac:dyDescent="0.35">
      <c r="A10" s="167" t="s">
        <v>1</v>
      </c>
      <c r="B10" s="123" t="s">
        <v>2</v>
      </c>
      <c r="C10" s="123" t="s">
        <v>716</v>
      </c>
      <c r="D10" s="123" t="s">
        <v>3</v>
      </c>
      <c r="E10" s="123" t="s">
        <v>4</v>
      </c>
      <c r="F10" s="129" t="s">
        <v>5</v>
      </c>
    </row>
    <row r="11" spans="1:6" ht="20" customHeight="1" x14ac:dyDescent="0.35">
      <c r="A11" s="126" t="s">
        <v>6</v>
      </c>
      <c r="B11" s="120" t="s">
        <v>7</v>
      </c>
      <c r="C11" s="119"/>
      <c r="D11" s="120"/>
      <c r="E11" s="120"/>
      <c r="F11" s="130"/>
    </row>
    <row r="12" spans="1:6" ht="16" x14ac:dyDescent="0.35">
      <c r="A12" s="127" t="s">
        <v>8</v>
      </c>
      <c r="B12" s="122" t="s">
        <v>9</v>
      </c>
      <c r="C12" s="121"/>
      <c r="D12" s="122"/>
      <c r="E12" s="122"/>
      <c r="F12" s="131"/>
    </row>
    <row r="13" spans="1:6" ht="32" x14ac:dyDescent="0.35">
      <c r="A13" s="126" t="s">
        <v>10</v>
      </c>
      <c r="B13" s="120" t="s">
        <v>11</v>
      </c>
      <c r="C13" s="119"/>
      <c r="D13" s="120"/>
      <c r="E13" s="120"/>
      <c r="F13" s="130"/>
    </row>
    <row r="14" spans="1:6" ht="20" customHeight="1" x14ac:dyDescent="0.35">
      <c r="A14" s="127" t="s">
        <v>12</v>
      </c>
      <c r="B14" s="122" t="s">
        <v>13</v>
      </c>
      <c r="C14" s="121"/>
      <c r="D14" s="122"/>
      <c r="E14" s="122"/>
      <c r="F14" s="131"/>
    </row>
    <row r="15" spans="1:6" ht="20" customHeight="1" x14ac:dyDescent="0.35">
      <c r="A15" s="126" t="s">
        <v>14</v>
      </c>
      <c r="B15" s="120" t="s">
        <v>15</v>
      </c>
      <c r="C15" s="119"/>
      <c r="D15" s="120"/>
      <c r="E15" s="120"/>
      <c r="F15" s="130"/>
    </row>
    <row r="16" spans="1:6" ht="22" customHeight="1" x14ac:dyDescent="0.35">
      <c r="A16" s="128" t="s">
        <v>16</v>
      </c>
      <c r="B16" s="125"/>
      <c r="C16" s="124">
        <v>0</v>
      </c>
      <c r="D16" s="125"/>
      <c r="E16" s="125"/>
      <c r="F16" s="132"/>
    </row>
    <row r="17" spans="1:6" ht="12" customHeight="1" x14ac:dyDescent="0.45">
      <c r="A17" s="34"/>
      <c r="B17" s="35"/>
      <c r="C17" s="35"/>
      <c r="D17" s="35"/>
      <c r="E17" s="35"/>
      <c r="F17" s="35"/>
    </row>
    <row r="18" spans="1:6" ht="22" customHeight="1" x14ac:dyDescent="0.35">
      <c r="A18" s="33" t="s">
        <v>17</v>
      </c>
      <c r="B18" s="36"/>
      <c r="C18" s="36"/>
      <c r="D18" s="36"/>
      <c r="E18" s="36"/>
      <c r="F18" s="36"/>
    </row>
    <row r="19" spans="1:6" ht="22" customHeight="1" x14ac:dyDescent="0.35">
      <c r="A19" s="167" t="s">
        <v>1</v>
      </c>
      <c r="B19" s="123" t="s">
        <v>2</v>
      </c>
      <c r="C19" s="123" t="s">
        <v>716</v>
      </c>
      <c r="D19" s="123" t="s">
        <v>18</v>
      </c>
      <c r="E19" s="123" t="s">
        <v>19</v>
      </c>
      <c r="F19" s="129" t="s">
        <v>5</v>
      </c>
    </row>
    <row r="20" spans="1:6" ht="32" x14ac:dyDescent="0.35">
      <c r="A20" s="126" t="s">
        <v>20</v>
      </c>
      <c r="B20" s="120" t="s">
        <v>21</v>
      </c>
      <c r="C20" s="119"/>
      <c r="D20" s="120"/>
      <c r="E20" s="120"/>
      <c r="F20" s="130"/>
    </row>
    <row r="21" spans="1:6" ht="22" customHeight="1" x14ac:dyDescent="0.35">
      <c r="A21" s="127" t="s">
        <v>22</v>
      </c>
      <c r="B21" s="122" t="s">
        <v>23</v>
      </c>
      <c r="C21" s="121"/>
      <c r="D21" s="122"/>
      <c r="E21" s="122"/>
      <c r="F21" s="131"/>
    </row>
    <row r="22" spans="1:6" ht="22" customHeight="1" x14ac:dyDescent="0.35">
      <c r="A22" s="126" t="s">
        <v>24</v>
      </c>
      <c r="B22" s="120" t="s">
        <v>25</v>
      </c>
      <c r="C22" s="119"/>
      <c r="D22" s="120"/>
      <c r="E22" s="120"/>
      <c r="F22" s="130"/>
    </row>
    <row r="23" spans="1:6" ht="22" customHeight="1" x14ac:dyDescent="0.35">
      <c r="A23" s="127" t="s">
        <v>26</v>
      </c>
      <c r="B23" s="122" t="s">
        <v>27</v>
      </c>
      <c r="C23" s="121"/>
      <c r="D23" s="122"/>
      <c r="E23" s="122"/>
      <c r="F23" s="131"/>
    </row>
    <row r="24" spans="1:6" ht="22" customHeight="1" x14ac:dyDescent="0.35">
      <c r="A24" s="126" t="s">
        <v>28</v>
      </c>
      <c r="B24" s="120" t="s">
        <v>29</v>
      </c>
      <c r="C24" s="119"/>
      <c r="D24" s="120"/>
      <c r="E24" s="120"/>
      <c r="F24" s="130"/>
    </row>
    <row r="25" spans="1:6" ht="22" customHeight="1" x14ac:dyDescent="0.35">
      <c r="A25" s="127" t="s">
        <v>30</v>
      </c>
      <c r="B25" s="122" t="s">
        <v>31</v>
      </c>
      <c r="C25" s="121"/>
      <c r="D25" s="122"/>
      <c r="E25" s="122"/>
      <c r="F25" s="131"/>
    </row>
    <row r="26" spans="1:6" ht="22" customHeight="1" x14ac:dyDescent="0.35">
      <c r="A26" s="128" t="s">
        <v>32</v>
      </c>
      <c r="B26" s="125"/>
      <c r="C26" s="124">
        <v>0</v>
      </c>
      <c r="D26" s="125"/>
      <c r="E26" s="125"/>
      <c r="F26" s="132"/>
    </row>
    <row r="27" spans="1:6" ht="12" customHeight="1" x14ac:dyDescent="0.45">
      <c r="A27" s="34"/>
      <c r="B27" s="35"/>
      <c r="C27" s="35"/>
      <c r="D27" s="35"/>
      <c r="E27" s="35"/>
      <c r="F27" s="35"/>
    </row>
    <row r="28" spans="1:6" ht="22" customHeight="1" x14ac:dyDescent="0.35">
      <c r="A28" s="33" t="s">
        <v>33</v>
      </c>
      <c r="B28" s="36"/>
      <c r="C28" s="36"/>
      <c r="D28" s="36"/>
      <c r="E28" s="36"/>
      <c r="F28" s="36"/>
    </row>
    <row r="29" spans="1:6" ht="22" customHeight="1" x14ac:dyDescent="0.35">
      <c r="A29" s="167" t="s">
        <v>34</v>
      </c>
      <c r="B29" s="123" t="s">
        <v>35</v>
      </c>
      <c r="C29" s="123" t="s">
        <v>719</v>
      </c>
      <c r="D29" s="123" t="s">
        <v>716</v>
      </c>
      <c r="E29" s="123" t="s">
        <v>36</v>
      </c>
      <c r="F29" s="129" t="s">
        <v>5</v>
      </c>
    </row>
    <row r="30" spans="1:6" ht="22" customHeight="1" x14ac:dyDescent="0.35">
      <c r="A30" s="126" t="s">
        <v>37</v>
      </c>
      <c r="B30" s="171"/>
      <c r="C30" s="133"/>
      <c r="D30" s="119">
        <v>0</v>
      </c>
      <c r="E30" s="120"/>
      <c r="F30" s="130"/>
    </row>
    <row r="31" spans="1:6" ht="22" customHeight="1" x14ac:dyDescent="0.35">
      <c r="A31" s="127" t="s">
        <v>38</v>
      </c>
      <c r="B31" s="172"/>
      <c r="C31" s="134"/>
      <c r="D31" s="121">
        <v>0</v>
      </c>
      <c r="E31" s="122"/>
      <c r="F31" s="131"/>
    </row>
    <row r="32" spans="1:6" ht="22" customHeight="1" x14ac:dyDescent="0.35">
      <c r="A32" s="126" t="s">
        <v>39</v>
      </c>
      <c r="B32" s="171"/>
      <c r="C32" s="133"/>
      <c r="D32" s="119">
        <v>0</v>
      </c>
      <c r="E32" s="120"/>
      <c r="F32" s="130"/>
    </row>
    <row r="33" spans="1:6" ht="22" customHeight="1" x14ac:dyDescent="0.35">
      <c r="A33" s="127" t="s">
        <v>40</v>
      </c>
      <c r="B33" s="172"/>
      <c r="C33" s="134"/>
      <c r="D33" s="121">
        <v>0</v>
      </c>
      <c r="E33" s="122"/>
      <c r="F33" s="131"/>
    </row>
    <row r="34" spans="1:6" ht="22" customHeight="1" x14ac:dyDescent="0.35">
      <c r="A34" s="128" t="s">
        <v>41</v>
      </c>
      <c r="B34" s="125"/>
      <c r="C34" s="135"/>
      <c r="D34" s="124">
        <v>0</v>
      </c>
      <c r="E34" s="125"/>
      <c r="F34" s="132"/>
    </row>
    <row r="35" spans="1:6" ht="12" customHeight="1" x14ac:dyDescent="0.45">
      <c r="A35" s="34"/>
      <c r="B35" s="35"/>
      <c r="C35" s="35"/>
      <c r="D35" s="35"/>
      <c r="E35" s="35"/>
      <c r="F35" s="35"/>
    </row>
    <row r="36" spans="1:6" ht="22" customHeight="1" x14ac:dyDescent="0.35">
      <c r="A36" s="33" t="s">
        <v>42</v>
      </c>
      <c r="B36" s="36"/>
      <c r="C36" s="36"/>
      <c r="D36" s="36"/>
      <c r="E36" s="36"/>
      <c r="F36" s="36"/>
    </row>
    <row r="37" spans="1:6" ht="22" customHeight="1" x14ac:dyDescent="0.35">
      <c r="A37" s="167" t="s">
        <v>1</v>
      </c>
      <c r="B37" s="123" t="s">
        <v>716</v>
      </c>
      <c r="C37" s="123" t="s">
        <v>18</v>
      </c>
      <c r="D37" s="123" t="s">
        <v>43</v>
      </c>
      <c r="E37" s="123" t="s">
        <v>4</v>
      </c>
      <c r="F37" s="129" t="s">
        <v>5</v>
      </c>
    </row>
    <row r="38" spans="1:6" ht="22" customHeight="1" x14ac:dyDescent="0.35">
      <c r="A38" s="126" t="s">
        <v>44</v>
      </c>
      <c r="B38" s="119"/>
      <c r="C38" s="120"/>
      <c r="D38" s="120"/>
      <c r="E38" s="120"/>
      <c r="F38" s="130"/>
    </row>
    <row r="39" spans="1:6" ht="22" customHeight="1" x14ac:dyDescent="0.35">
      <c r="A39" s="127" t="s">
        <v>45</v>
      </c>
      <c r="B39" s="121"/>
      <c r="C39" s="122"/>
      <c r="D39" s="122"/>
      <c r="E39" s="122"/>
      <c r="F39" s="131"/>
    </row>
    <row r="40" spans="1:6" ht="22" customHeight="1" x14ac:dyDescent="0.35">
      <c r="A40" s="126" t="s">
        <v>46</v>
      </c>
      <c r="B40" s="119"/>
      <c r="C40" s="120"/>
      <c r="D40" s="120"/>
      <c r="E40" s="120"/>
      <c r="F40" s="130"/>
    </row>
    <row r="41" spans="1:6" ht="22" customHeight="1" x14ac:dyDescent="0.35">
      <c r="A41" s="127" t="s">
        <v>47</v>
      </c>
      <c r="B41" s="121"/>
      <c r="C41" s="122"/>
      <c r="D41" s="122"/>
      <c r="E41" s="122"/>
      <c r="F41" s="131"/>
    </row>
    <row r="42" spans="1:6" ht="22" customHeight="1" x14ac:dyDescent="0.35">
      <c r="A42" s="128" t="s">
        <v>48</v>
      </c>
      <c r="B42" s="124">
        <v>0</v>
      </c>
      <c r="C42" s="125"/>
      <c r="D42" s="125"/>
      <c r="E42" s="125"/>
      <c r="F42" s="132"/>
    </row>
    <row r="43" spans="1:6" ht="12" customHeight="1" thickBot="1" x14ac:dyDescent="0.5">
      <c r="A43" s="34"/>
      <c r="B43" s="35"/>
      <c r="C43" s="35"/>
      <c r="D43" s="35"/>
      <c r="E43" s="35"/>
      <c r="F43" s="35"/>
    </row>
    <row r="44" spans="1:6" ht="28" customHeight="1" x14ac:dyDescent="0.35">
      <c r="A44" s="114" t="s">
        <v>49</v>
      </c>
      <c r="B44" s="116"/>
      <c r="C44" s="115">
        <v>0</v>
      </c>
      <c r="D44" s="116"/>
      <c r="E44" s="116"/>
      <c r="F44" s="117"/>
    </row>
    <row r="45" spans="1:6" ht="12" customHeight="1" thickBot="1" x14ac:dyDescent="0.5">
      <c r="A45" s="34"/>
      <c r="B45" s="35"/>
      <c r="C45" s="35"/>
      <c r="D45" s="35"/>
      <c r="E45" s="35"/>
      <c r="F45" s="35"/>
    </row>
    <row r="46" spans="1:6" ht="30" customHeight="1" thickTop="1" thickBot="1" x14ac:dyDescent="0.4">
      <c r="A46" s="159" t="s">
        <v>707</v>
      </c>
      <c r="B46" s="173"/>
      <c r="C46" s="173"/>
      <c r="D46" s="173"/>
      <c r="E46" s="173"/>
      <c r="F46" s="174"/>
    </row>
    <row r="47" spans="1:6" ht="22" customHeight="1" x14ac:dyDescent="0.35">
      <c r="A47" s="168" t="s">
        <v>50</v>
      </c>
      <c r="B47" s="157" t="s">
        <v>720</v>
      </c>
      <c r="C47" s="157" t="s">
        <v>716</v>
      </c>
      <c r="D47" s="157" t="s">
        <v>83</v>
      </c>
      <c r="E47" s="157" t="s">
        <v>52</v>
      </c>
      <c r="F47" s="158" t="s">
        <v>84</v>
      </c>
    </row>
    <row r="48" spans="1:6" ht="22" customHeight="1" x14ac:dyDescent="0.35">
      <c r="A48" s="126" t="s">
        <v>53</v>
      </c>
      <c r="B48" s="119"/>
      <c r="C48" s="119">
        <v>0</v>
      </c>
      <c r="D48" s="120"/>
      <c r="E48" s="120"/>
      <c r="F48" s="130"/>
    </row>
    <row r="49" spans="1:6" ht="22" customHeight="1" x14ac:dyDescent="0.35">
      <c r="A49" s="127" t="s">
        <v>54</v>
      </c>
      <c r="B49" s="121"/>
      <c r="C49" s="121">
        <v>0</v>
      </c>
      <c r="D49" s="122"/>
      <c r="E49" s="122"/>
      <c r="F49" s="131"/>
    </row>
    <row r="50" spans="1:6" ht="22" customHeight="1" x14ac:dyDescent="0.35">
      <c r="A50" s="126" t="s">
        <v>8</v>
      </c>
      <c r="B50" s="119"/>
      <c r="C50" s="119">
        <v>0</v>
      </c>
      <c r="D50" s="120"/>
      <c r="E50" s="120"/>
      <c r="F50" s="130"/>
    </row>
    <row r="51" spans="1:6" ht="22" customHeight="1" x14ac:dyDescent="0.35">
      <c r="A51" s="127" t="s">
        <v>55</v>
      </c>
      <c r="B51" s="121"/>
      <c r="C51" s="121">
        <v>0</v>
      </c>
      <c r="D51" s="122"/>
      <c r="E51" s="122"/>
      <c r="F51" s="131"/>
    </row>
    <row r="52" spans="1:6" ht="22" customHeight="1" x14ac:dyDescent="0.35">
      <c r="A52" s="126" t="s">
        <v>56</v>
      </c>
      <c r="B52" s="119"/>
      <c r="C52" s="119">
        <v>0</v>
      </c>
      <c r="D52" s="120"/>
      <c r="E52" s="120"/>
      <c r="F52" s="130"/>
    </row>
    <row r="53" spans="1:6" ht="22" customHeight="1" x14ac:dyDescent="0.35">
      <c r="A53" s="126" t="s">
        <v>57</v>
      </c>
      <c r="B53" s="119"/>
      <c r="C53" s="119">
        <v>0</v>
      </c>
      <c r="D53" s="120"/>
      <c r="E53" s="120"/>
      <c r="F53" s="130"/>
    </row>
    <row r="54" spans="1:6" ht="22" customHeight="1" x14ac:dyDescent="0.35">
      <c r="A54" s="127" t="s">
        <v>58</v>
      </c>
      <c r="B54" s="121"/>
      <c r="C54" s="121">
        <v>0</v>
      </c>
      <c r="D54" s="122"/>
      <c r="E54" s="122"/>
      <c r="F54" s="131"/>
    </row>
    <row r="55" spans="1:6" ht="28" customHeight="1" x14ac:dyDescent="0.35">
      <c r="A55" s="138" t="s">
        <v>59</v>
      </c>
      <c r="B55" s="136"/>
      <c r="C55" s="136">
        <v>0</v>
      </c>
      <c r="D55" s="137"/>
      <c r="E55" s="137"/>
      <c r="F55" s="139"/>
    </row>
    <row r="56" spans="1:6" ht="12" customHeight="1" thickBot="1" x14ac:dyDescent="0.5">
      <c r="A56" s="34"/>
      <c r="B56" s="35"/>
      <c r="C56" s="35"/>
      <c r="D56" s="35"/>
      <c r="E56" s="35"/>
      <c r="F56" s="35"/>
    </row>
    <row r="57" spans="1:6" ht="30" customHeight="1" thickTop="1" thickBot="1" x14ac:dyDescent="0.4">
      <c r="A57" s="159" t="s">
        <v>741</v>
      </c>
      <c r="B57" s="173"/>
      <c r="C57" s="173"/>
      <c r="D57" s="173"/>
      <c r="E57" s="173"/>
      <c r="F57" s="174"/>
    </row>
    <row r="58" spans="1:6" ht="22" customHeight="1" x14ac:dyDescent="0.35">
      <c r="A58" s="156" t="s">
        <v>60</v>
      </c>
      <c r="B58" s="157" t="s">
        <v>721</v>
      </c>
      <c r="C58" s="157" t="s">
        <v>722</v>
      </c>
    </row>
    <row r="59" spans="1:6" ht="22" customHeight="1" x14ac:dyDescent="0.35">
      <c r="A59" s="200" t="s">
        <v>61</v>
      </c>
      <c r="B59" s="201">
        <f>C44</f>
        <v>0</v>
      </c>
      <c r="C59" s="201">
        <f>C55</f>
        <v>0</v>
      </c>
    </row>
    <row r="60" spans="1:6" ht="22" customHeight="1" x14ac:dyDescent="0.35">
      <c r="A60" s="202" t="s">
        <v>62</v>
      </c>
      <c r="B60" s="203">
        <f>C44</f>
        <v>0</v>
      </c>
      <c r="C60" s="203">
        <f>C55</f>
        <v>0</v>
      </c>
    </row>
    <row r="61" spans="1:6" ht="22" customHeight="1" x14ac:dyDescent="0.35">
      <c r="A61" s="200" t="s">
        <v>63</v>
      </c>
      <c r="B61" s="201">
        <f>C44</f>
        <v>0</v>
      </c>
      <c r="C61" s="201">
        <f>C55</f>
        <v>0</v>
      </c>
    </row>
    <row r="62" spans="1:6" ht="28" customHeight="1" x14ac:dyDescent="0.35">
      <c r="A62" s="138" t="s">
        <v>64</v>
      </c>
      <c r="B62" s="136">
        <f>SUM(B59:B61)</f>
        <v>0</v>
      </c>
      <c r="C62" s="136">
        <f>SUM(C59:C61)</f>
        <v>0</v>
      </c>
    </row>
    <row r="63" spans="1:6" ht="12" customHeight="1" thickBot="1" x14ac:dyDescent="0.5">
      <c r="A63" s="34"/>
      <c r="B63" s="35"/>
      <c r="C63" s="35"/>
      <c r="D63" s="35"/>
      <c r="E63" s="35"/>
      <c r="F63" s="35"/>
    </row>
    <row r="64" spans="1:6" ht="30" customHeight="1" thickTop="1" thickBot="1" x14ac:dyDescent="0.4">
      <c r="A64" s="159" t="s">
        <v>742</v>
      </c>
      <c r="B64" s="173"/>
      <c r="C64" s="173"/>
      <c r="D64" s="173"/>
      <c r="E64" s="173"/>
      <c r="F64" s="174"/>
    </row>
    <row r="65" spans="1:6" ht="22" customHeight="1" x14ac:dyDescent="0.35">
      <c r="A65" s="168" t="s">
        <v>65</v>
      </c>
      <c r="B65" s="157" t="s">
        <v>723</v>
      </c>
      <c r="C65" s="157" t="s">
        <v>5</v>
      </c>
      <c r="D65" s="157"/>
      <c r="E65" s="157"/>
      <c r="F65" s="158"/>
    </row>
    <row r="66" spans="1:6" ht="24" customHeight="1" x14ac:dyDescent="0.35">
      <c r="A66" s="145" t="s">
        <v>709</v>
      </c>
      <c r="B66" s="175"/>
      <c r="C66" s="175"/>
      <c r="D66" s="175"/>
      <c r="E66" s="175"/>
      <c r="F66" s="176"/>
    </row>
    <row r="67" spans="1:6" ht="32" x14ac:dyDescent="0.35">
      <c r="A67" s="146" t="s">
        <v>66</v>
      </c>
      <c r="B67" s="140">
        <f>B62-C62</f>
        <v>0</v>
      </c>
      <c r="C67" s="177" t="s">
        <v>67</v>
      </c>
      <c r="D67" s="177"/>
      <c r="E67" s="177"/>
      <c r="F67" s="178"/>
    </row>
    <row r="68" spans="1:6" ht="32" x14ac:dyDescent="0.35">
      <c r="A68" s="146" t="s">
        <v>68</v>
      </c>
      <c r="B68" s="140"/>
      <c r="C68" s="181" t="s">
        <v>69</v>
      </c>
      <c r="D68" s="179"/>
      <c r="E68" s="179"/>
      <c r="F68" s="180"/>
    </row>
    <row r="69" spans="1:6" ht="32" x14ac:dyDescent="0.35">
      <c r="A69" s="146" t="s">
        <v>70</v>
      </c>
      <c r="B69" s="140"/>
      <c r="C69" s="181" t="s">
        <v>71</v>
      </c>
      <c r="D69" s="177"/>
      <c r="E69" s="177"/>
      <c r="F69" s="178"/>
    </row>
    <row r="70" spans="1:6" ht="24" customHeight="1" x14ac:dyDescent="0.35">
      <c r="A70" s="147" t="s">
        <v>72</v>
      </c>
      <c r="B70" s="141">
        <f>B67+B68+B69</f>
        <v>0</v>
      </c>
      <c r="C70" s="182"/>
      <c r="D70" s="182"/>
      <c r="E70" s="182"/>
      <c r="F70" s="183"/>
    </row>
    <row r="71" spans="1:6" ht="24" customHeight="1" x14ac:dyDescent="0.35">
      <c r="A71" s="148" t="s">
        <v>710</v>
      </c>
      <c r="B71" s="142"/>
      <c r="C71" s="184"/>
      <c r="D71" s="184"/>
      <c r="E71" s="184"/>
      <c r="F71" s="185"/>
    </row>
    <row r="72" spans="1:6" ht="32" x14ac:dyDescent="0.35">
      <c r="A72" s="149" t="s">
        <v>73</v>
      </c>
      <c r="B72" s="143">
        <f>D62</f>
        <v>0</v>
      </c>
      <c r="C72" s="186" t="s">
        <v>745</v>
      </c>
      <c r="D72" s="186"/>
      <c r="E72" s="186"/>
      <c r="F72" s="187"/>
    </row>
    <row r="73" spans="1:6" ht="16" x14ac:dyDescent="0.35">
      <c r="A73" s="204" t="s">
        <v>74</v>
      </c>
      <c r="B73" s="205">
        <f>C62</f>
        <v>0</v>
      </c>
      <c r="C73" s="206"/>
      <c r="D73" s="188"/>
      <c r="E73" s="188"/>
      <c r="F73" s="189"/>
    </row>
    <row r="74" spans="1:6" ht="35" x14ac:dyDescent="0.35">
      <c r="A74" s="150" t="s">
        <v>75</v>
      </c>
      <c r="B74" s="144">
        <f>B72+B73</f>
        <v>0</v>
      </c>
      <c r="C74" s="192" t="s">
        <v>76</v>
      </c>
      <c r="D74" s="190"/>
      <c r="E74" s="190"/>
      <c r="F74" s="191"/>
    </row>
    <row r="75" spans="1:6" ht="35" x14ac:dyDescent="0.35">
      <c r="A75" s="207" t="s">
        <v>746</v>
      </c>
      <c r="B75" s="208">
        <f>IF(B74=0,0,(B70-B74)/B74*100)</f>
        <v>0</v>
      </c>
      <c r="C75" s="209" t="s">
        <v>747</v>
      </c>
      <c r="D75" s="192"/>
      <c r="E75" s="192"/>
      <c r="F75" s="193"/>
    </row>
    <row r="76" spans="1:6" ht="17" thickBot="1" x14ac:dyDescent="0.5">
      <c r="A76" s="34"/>
      <c r="B76" s="35"/>
      <c r="C76" s="35"/>
      <c r="D76" s="35"/>
      <c r="E76" s="35"/>
      <c r="F76" s="35"/>
    </row>
    <row r="77" spans="1:6" ht="30" customHeight="1" thickTop="1" thickBot="1" x14ac:dyDescent="0.4">
      <c r="A77" s="159" t="s">
        <v>743</v>
      </c>
      <c r="B77" s="173"/>
      <c r="C77" s="173"/>
      <c r="D77" s="173"/>
      <c r="E77" s="173"/>
      <c r="F77" s="174"/>
    </row>
    <row r="78" spans="1:6" ht="22" customHeight="1" x14ac:dyDescent="0.35">
      <c r="A78" s="168" t="s">
        <v>79</v>
      </c>
      <c r="B78" s="157" t="s">
        <v>77</v>
      </c>
      <c r="C78" s="157" t="s">
        <v>5</v>
      </c>
      <c r="D78" s="157"/>
      <c r="E78" s="157"/>
      <c r="F78" s="158"/>
    </row>
    <row r="79" spans="1:6" ht="66" x14ac:dyDescent="0.35">
      <c r="A79" s="169" t="s">
        <v>80</v>
      </c>
      <c r="B79" s="151"/>
      <c r="C79" s="151" t="s">
        <v>81</v>
      </c>
      <c r="D79" s="151"/>
      <c r="E79" s="151"/>
      <c r="F79" s="194"/>
    </row>
    <row r="80" spans="1:6" ht="24" customHeight="1" x14ac:dyDescent="0.35">
      <c r="A80" s="126" t="s">
        <v>724</v>
      </c>
      <c r="B80" s="197">
        <f>C44</f>
        <v>0</v>
      </c>
      <c r="C80" s="120"/>
      <c r="D80" s="120"/>
      <c r="E80" s="120"/>
      <c r="F80" s="130"/>
    </row>
    <row r="81" spans="1:6" ht="16" x14ac:dyDescent="0.35">
      <c r="A81" s="127" t="s">
        <v>725</v>
      </c>
      <c r="B81" s="198">
        <f>C55</f>
        <v>0</v>
      </c>
      <c r="C81" s="122"/>
      <c r="D81" s="122"/>
      <c r="E81" s="122"/>
      <c r="F81" s="131"/>
    </row>
    <row r="82" spans="1:6" ht="22" customHeight="1" x14ac:dyDescent="0.35">
      <c r="A82" s="126" t="s">
        <v>726</v>
      </c>
      <c r="B82" s="197">
        <f>C44-C55</f>
        <v>0</v>
      </c>
      <c r="C82" s="120"/>
      <c r="D82" s="120"/>
      <c r="E82" s="120"/>
      <c r="F82" s="130"/>
    </row>
    <row r="83" spans="1:6" ht="22" customHeight="1" x14ac:dyDescent="0.35">
      <c r="A83" s="127" t="s">
        <v>748</v>
      </c>
      <c r="B83" s="134"/>
      <c r="C83" s="122"/>
      <c r="D83" s="122"/>
      <c r="E83" s="122"/>
      <c r="F83" s="131"/>
    </row>
    <row r="84" spans="1:6" ht="22" customHeight="1" x14ac:dyDescent="0.35">
      <c r="A84" s="126" t="s">
        <v>75</v>
      </c>
      <c r="B84" s="199"/>
      <c r="C84" s="120"/>
      <c r="D84" s="120"/>
      <c r="E84" s="120"/>
      <c r="F84" s="130"/>
    </row>
    <row r="85" spans="1:6" ht="22" customHeight="1" x14ac:dyDescent="0.35">
      <c r="A85" s="152" t="s">
        <v>82</v>
      </c>
      <c r="B85" s="195"/>
      <c r="C85" s="195"/>
      <c r="D85" s="195"/>
      <c r="E85" s="195"/>
      <c r="F85" s="196"/>
    </row>
    <row r="86" spans="1:6" ht="12" customHeight="1" thickBot="1" x14ac:dyDescent="0.5">
      <c r="A86" s="34"/>
      <c r="B86" s="35"/>
      <c r="C86" s="35"/>
      <c r="D86" s="35"/>
      <c r="E86" s="35"/>
      <c r="F86" s="35"/>
    </row>
    <row r="87" spans="1:6" ht="25" customHeight="1" x14ac:dyDescent="0.35">
      <c r="A87" s="170" t="s">
        <v>293</v>
      </c>
      <c r="B87" s="118"/>
      <c r="C87" s="118"/>
      <c r="D87" s="118"/>
      <c r="E87" s="118"/>
      <c r="F87" s="118"/>
    </row>
    <row r="88" spans="1:6" ht="28" customHeight="1" x14ac:dyDescent="0.35"/>
    <row r="89" spans="1:6" ht="22" customHeight="1" x14ac:dyDescent="0.35"/>
    <row r="90" spans="1:6" ht="22" customHeight="1" x14ac:dyDescent="0.35"/>
    <row r="91" spans="1:6" ht="8" customHeight="1" x14ac:dyDescent="0.35"/>
    <row r="92" spans="1:6" ht="32" customHeight="1" x14ac:dyDescent="0.35"/>
    <row r="93" spans="1:6" ht="24" customHeight="1" x14ac:dyDescent="0.35"/>
    <row r="94" spans="1:6" ht="22" customHeight="1" x14ac:dyDescent="0.35"/>
    <row r="95" spans="1:6" ht="22" customHeight="1" x14ac:dyDescent="0.35"/>
    <row r="96" spans="1:6" ht="22" customHeight="1" x14ac:dyDescent="0.35"/>
    <row r="97" ht="22" customHeight="1" x14ac:dyDescent="0.35"/>
    <row r="98" ht="22" customHeight="1" x14ac:dyDescent="0.35"/>
    <row r="99" ht="8" customHeight="1" x14ac:dyDescent="0.35"/>
    <row r="100" ht="32" customHeight="1" x14ac:dyDescent="0.35"/>
    <row r="101" ht="24" customHeight="1" x14ac:dyDescent="0.35"/>
    <row r="102" ht="22" customHeight="1" x14ac:dyDescent="0.35"/>
    <row r="103" ht="22" customHeight="1" x14ac:dyDescent="0.35"/>
    <row r="104" ht="22" customHeight="1" x14ac:dyDescent="0.35"/>
    <row r="105" ht="22" customHeight="1" x14ac:dyDescent="0.35"/>
    <row r="106" ht="22" customHeight="1" x14ac:dyDescent="0.35"/>
    <row r="107" ht="22" customHeight="1" x14ac:dyDescent="0.35"/>
    <row r="108" ht="22" customHeight="1" x14ac:dyDescent="0.35"/>
    <row r="109" ht="8" customHeight="1" x14ac:dyDescent="0.35"/>
    <row r="110" ht="32" customHeight="1" x14ac:dyDescent="0.35"/>
    <row r="111" ht="24" customHeight="1" x14ac:dyDescent="0.35"/>
    <row r="112" ht="28" customHeight="1" x14ac:dyDescent="0.35"/>
    <row r="113" ht="22" customHeight="1" x14ac:dyDescent="0.35"/>
    <row r="114" ht="22" customHeight="1" x14ac:dyDescent="0.35"/>
    <row r="115" ht="22" customHeight="1" x14ac:dyDescent="0.35"/>
    <row r="116" ht="22" customHeight="1" x14ac:dyDescent="0.35"/>
    <row r="117" ht="22" customHeight="1" x14ac:dyDescent="0.35"/>
    <row r="118" ht="22" customHeight="1" x14ac:dyDescent="0.35"/>
    <row r="119" ht="22" customHeight="1" x14ac:dyDescent="0.35"/>
    <row r="120" ht="8" customHeight="1" x14ac:dyDescent="0.35"/>
    <row r="121" ht="25" customHeight="1" x14ac:dyDescent="0.35"/>
  </sheetData>
  <mergeCells count="13">
    <mergeCell ref="A1:F1"/>
    <mergeCell ref="A64:F64"/>
    <mergeCell ref="A77:F77"/>
    <mergeCell ref="A87:F87"/>
    <mergeCell ref="A28:F28"/>
    <mergeCell ref="A36:F36"/>
    <mergeCell ref="A46:F46"/>
    <mergeCell ref="A57:F57"/>
    <mergeCell ref="A5:F5"/>
    <mergeCell ref="A6:F6"/>
    <mergeCell ref="A8:F8"/>
    <mergeCell ref="A9:F9"/>
    <mergeCell ref="A18:F18"/>
  </mergeCells>
  <conditionalFormatting sqref="B75">
    <cfRule type="cellIs" dxfId="3" priority="1" operator="greaterThan">
      <formula>0</formula>
    </cfRule>
  </conditionalFormatting>
  <conditionalFormatting sqref="B75">
    <cfRule type="cellIs" dxfId="2" priority="2" operator="lessThan">
      <formula>0</formula>
    </cfRule>
  </conditionalFormatting>
  <conditionalFormatting sqref="C3">
    <cfRule type="cellIs" dxfId="1" priority="8" operator="greaterThan">
      <formula>0</formula>
    </cfRule>
  </conditionalFormatting>
  <conditionalFormatting sqref="C3">
    <cfRule type="cellIs" dxfId="0" priority="9" operator="lessThanOrEqual">
      <formula>0</formula>
    </cfRule>
  </conditionalFormatting>
  <dataValidations count="2">
    <dataValidation type="list" allowBlank="1" sqref="B79" xr:uid="{00000000-0002-0000-0000-000001000000}">
      <formula1>"Proceed,Proceed with Conditions,Defer,Do Not Proceed,Pending Analysis"</formula1>
    </dataValidation>
    <dataValidation type="list" allowBlank="1" showInputMessage="1" showErrorMessage="1" sqref="D48:D54" xr:uid="{30C2CFB2-8D4C-46F2-8BD4-D0B173E224AB}">
      <formula1>"AWS,Azure,GCP,Multi-Cloud,TBD"</formula1>
    </dataValidation>
  </dataValidations>
  <printOptions horizontalCentered="1"/>
  <pageMargins left="6.9444444444444441E-3" right="6.9444444444444441E-3" top="6.9444444444444441E-3" bottom="6.9444444444444441E-3" header="0.511811023622047" footer="0.511811023622047"/>
  <pageSetup paperSize="9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E3A08E-8433-4C38-AA58-8E3FA2AD4E2D}">
  <dimension ref="A1:M196"/>
  <sheetViews>
    <sheetView tabSelected="1" topLeftCell="B86" workbookViewId="0">
      <selection activeCell="C187" sqref="C187"/>
    </sheetView>
  </sheetViews>
  <sheetFormatPr defaultRowHeight="14.5" x14ac:dyDescent="0.35"/>
  <cols>
    <col min="1" max="1" width="76.453125" style="9" customWidth="1"/>
    <col min="2" max="2" width="57.36328125" style="9" bestFit="1" customWidth="1"/>
    <col min="3" max="3" width="34.08984375" bestFit="1" customWidth="1"/>
    <col min="4" max="4" width="25.453125" customWidth="1"/>
    <col min="5" max="5" width="18.1796875" customWidth="1"/>
    <col min="6" max="6" width="25.453125" customWidth="1"/>
    <col min="7" max="7" width="18.1796875" customWidth="1"/>
    <col min="8" max="8" width="20" customWidth="1"/>
    <col min="9" max="9" width="18.1796875" customWidth="1"/>
    <col min="10" max="10" width="23.6328125" customWidth="1"/>
    <col min="11" max="11" width="27.26953125" customWidth="1"/>
  </cols>
  <sheetData>
    <row r="1" spans="1:13" ht="21" x14ac:dyDescent="0.5">
      <c r="A1" s="37" t="s">
        <v>85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21"/>
      <c r="M1" s="38" t="s">
        <v>358</v>
      </c>
    </row>
    <row r="2" spans="1:13" x14ac:dyDescent="0.35">
      <c r="A2" s="39" t="s">
        <v>86</v>
      </c>
      <c r="B2" s="19"/>
      <c r="C2" s="19"/>
      <c r="D2" s="19"/>
      <c r="E2" s="19"/>
      <c r="F2" s="19"/>
      <c r="G2" s="19"/>
      <c r="H2" s="19"/>
      <c r="I2" s="19"/>
      <c r="J2" s="19"/>
      <c r="K2" s="19"/>
      <c r="L2" s="21"/>
      <c r="M2" s="21" t="s">
        <v>279</v>
      </c>
    </row>
    <row r="3" spans="1:13" x14ac:dyDescent="0.35">
      <c r="A3" s="40"/>
      <c r="B3" s="40"/>
      <c r="C3" s="21"/>
      <c r="D3" s="21"/>
      <c r="E3" s="21"/>
      <c r="F3" s="21"/>
      <c r="G3" s="21"/>
      <c r="H3" s="21"/>
      <c r="I3" s="21"/>
      <c r="J3" s="21"/>
      <c r="K3" s="21"/>
      <c r="L3" s="21"/>
      <c r="M3" s="21" t="s">
        <v>280</v>
      </c>
    </row>
    <row r="4" spans="1:13" x14ac:dyDescent="0.35">
      <c r="A4" s="22" t="s">
        <v>87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21"/>
      <c r="M4" s="21" t="s">
        <v>281</v>
      </c>
    </row>
    <row r="5" spans="1:13" x14ac:dyDescent="0.35">
      <c r="A5" s="41" t="s">
        <v>88</v>
      </c>
      <c r="B5" s="41" t="s">
        <v>89</v>
      </c>
      <c r="C5" s="24" t="s">
        <v>727</v>
      </c>
      <c r="D5" s="24" t="s">
        <v>90</v>
      </c>
      <c r="E5" s="24" t="s">
        <v>728</v>
      </c>
      <c r="F5" s="24" t="s">
        <v>91</v>
      </c>
      <c r="G5" s="24" t="s">
        <v>729</v>
      </c>
      <c r="H5" s="24" t="s">
        <v>92</v>
      </c>
      <c r="I5" s="24" t="s">
        <v>730</v>
      </c>
      <c r="J5" s="24" t="s">
        <v>93</v>
      </c>
      <c r="K5" s="24" t="s">
        <v>5</v>
      </c>
      <c r="L5" s="21"/>
      <c r="M5" s="21"/>
    </row>
    <row r="6" spans="1:13" x14ac:dyDescent="0.35">
      <c r="A6" s="40" t="s">
        <v>94</v>
      </c>
      <c r="B6" s="40" t="s">
        <v>95</v>
      </c>
      <c r="C6" s="103"/>
      <c r="D6" s="21" t="s">
        <v>94</v>
      </c>
      <c r="E6" s="103"/>
      <c r="F6" s="21" t="s">
        <v>96</v>
      </c>
      <c r="G6" s="103"/>
      <c r="H6" s="21"/>
      <c r="I6" s="103"/>
      <c r="J6" s="21"/>
      <c r="K6" s="21"/>
      <c r="L6" s="21"/>
      <c r="M6" s="21"/>
    </row>
    <row r="7" spans="1:13" x14ac:dyDescent="0.35">
      <c r="A7" s="40" t="s">
        <v>97</v>
      </c>
      <c r="B7" s="40" t="s">
        <v>98</v>
      </c>
      <c r="C7" s="103"/>
      <c r="D7" s="21" t="s">
        <v>99</v>
      </c>
      <c r="E7" s="103"/>
      <c r="F7" s="21" t="s">
        <v>100</v>
      </c>
      <c r="G7" s="103"/>
      <c r="H7" s="21"/>
      <c r="I7" s="103"/>
      <c r="J7" s="21"/>
      <c r="K7" s="21"/>
      <c r="L7" s="21"/>
      <c r="M7" s="21"/>
    </row>
    <row r="8" spans="1:13" x14ac:dyDescent="0.35">
      <c r="A8" s="40" t="s">
        <v>101</v>
      </c>
      <c r="B8" s="40" t="s">
        <v>102</v>
      </c>
      <c r="C8" s="103"/>
      <c r="D8" s="21" t="s">
        <v>103</v>
      </c>
      <c r="E8" s="103"/>
      <c r="F8" s="21" t="s">
        <v>104</v>
      </c>
      <c r="G8" s="103"/>
      <c r="H8" s="21"/>
      <c r="I8" s="103"/>
      <c r="J8" s="21"/>
      <c r="K8" s="21"/>
      <c r="L8" s="21"/>
      <c r="M8" s="21"/>
    </row>
    <row r="9" spans="1:13" x14ac:dyDescent="0.35">
      <c r="A9" s="40" t="s">
        <v>105</v>
      </c>
      <c r="B9" s="40" t="s">
        <v>106</v>
      </c>
      <c r="C9" s="103"/>
      <c r="D9" s="21" t="s">
        <v>107</v>
      </c>
      <c r="E9" s="103"/>
      <c r="F9" s="21" t="s">
        <v>108</v>
      </c>
      <c r="G9" s="103"/>
      <c r="H9" s="21"/>
      <c r="I9" s="103"/>
      <c r="J9" s="21"/>
      <c r="K9" s="21"/>
      <c r="L9" s="21"/>
      <c r="M9" s="21"/>
    </row>
    <row r="10" spans="1:13" x14ac:dyDescent="0.35">
      <c r="A10" s="40" t="s">
        <v>109</v>
      </c>
      <c r="B10" s="40" t="s">
        <v>110</v>
      </c>
      <c r="C10" s="103"/>
      <c r="D10" s="21" t="s">
        <v>111</v>
      </c>
      <c r="E10" s="103"/>
      <c r="F10" s="21" t="s">
        <v>112</v>
      </c>
      <c r="G10" s="103"/>
      <c r="H10" s="21"/>
      <c r="I10" s="103"/>
      <c r="J10" s="21"/>
      <c r="K10" s="21"/>
      <c r="L10" s="21"/>
      <c r="M10" s="21"/>
    </row>
    <row r="11" spans="1:13" x14ac:dyDescent="0.35">
      <c r="A11" s="42" t="s">
        <v>113</v>
      </c>
      <c r="B11" s="42"/>
      <c r="C11" s="105">
        <v>0</v>
      </c>
      <c r="D11" s="30"/>
      <c r="E11" s="105">
        <v>0</v>
      </c>
      <c r="F11" s="30"/>
      <c r="G11" s="105">
        <v>0</v>
      </c>
      <c r="H11" s="30"/>
      <c r="I11" s="105">
        <v>0</v>
      </c>
      <c r="J11" s="30"/>
      <c r="K11" s="30"/>
      <c r="L11" s="21"/>
      <c r="M11" s="21"/>
    </row>
    <row r="12" spans="1:13" x14ac:dyDescent="0.35">
      <c r="A12" s="40"/>
      <c r="B12" s="40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21"/>
    </row>
    <row r="13" spans="1:13" x14ac:dyDescent="0.35">
      <c r="A13" s="22" t="s">
        <v>114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21"/>
      <c r="M13" s="21"/>
    </row>
    <row r="14" spans="1:13" x14ac:dyDescent="0.35">
      <c r="A14" s="41" t="s">
        <v>88</v>
      </c>
      <c r="B14" s="41" t="s">
        <v>89</v>
      </c>
      <c r="C14" s="24" t="s">
        <v>727</v>
      </c>
      <c r="D14" s="24" t="s">
        <v>90</v>
      </c>
      <c r="E14" s="24" t="s">
        <v>728</v>
      </c>
      <c r="F14" s="24" t="s">
        <v>91</v>
      </c>
      <c r="G14" s="24" t="s">
        <v>729</v>
      </c>
      <c r="H14" s="24" t="s">
        <v>92</v>
      </c>
      <c r="I14" s="24" t="s">
        <v>730</v>
      </c>
      <c r="J14" s="24" t="s">
        <v>93</v>
      </c>
      <c r="K14" s="24" t="s">
        <v>5</v>
      </c>
      <c r="L14" s="21"/>
      <c r="M14" s="21"/>
    </row>
    <row r="15" spans="1:13" x14ac:dyDescent="0.35">
      <c r="A15" s="40" t="s">
        <v>115</v>
      </c>
      <c r="B15" s="40" t="s">
        <v>116</v>
      </c>
      <c r="C15" s="103"/>
      <c r="D15" s="21" t="s">
        <v>117</v>
      </c>
      <c r="E15" s="103"/>
      <c r="F15" s="21" t="s">
        <v>118</v>
      </c>
      <c r="G15" s="103"/>
      <c r="H15" s="21"/>
      <c r="I15" s="103"/>
      <c r="J15" s="21"/>
      <c r="K15" s="21"/>
      <c r="L15" s="21"/>
      <c r="M15" s="21"/>
    </row>
    <row r="16" spans="1:13" x14ac:dyDescent="0.35">
      <c r="A16" s="40" t="s">
        <v>119</v>
      </c>
      <c r="B16" s="40" t="s">
        <v>120</v>
      </c>
      <c r="C16" s="103"/>
      <c r="D16" s="21" t="s">
        <v>121</v>
      </c>
      <c r="E16" s="103"/>
      <c r="F16" s="21" t="s">
        <v>122</v>
      </c>
      <c r="G16" s="103"/>
      <c r="H16" s="21"/>
      <c r="I16" s="103"/>
      <c r="J16" s="21"/>
      <c r="K16" s="21"/>
      <c r="L16" s="21"/>
      <c r="M16" s="21"/>
    </row>
    <row r="17" spans="1:13" x14ac:dyDescent="0.35">
      <c r="A17" s="40" t="s">
        <v>123</v>
      </c>
      <c r="B17" s="40" t="s">
        <v>124</v>
      </c>
      <c r="C17" s="103"/>
      <c r="D17" s="21" t="s">
        <v>125</v>
      </c>
      <c r="E17" s="103"/>
      <c r="F17" s="21" t="s">
        <v>126</v>
      </c>
      <c r="G17" s="103"/>
      <c r="H17" s="21"/>
      <c r="I17" s="103"/>
      <c r="J17" s="21"/>
      <c r="K17" s="21"/>
      <c r="L17" s="21"/>
      <c r="M17" s="21"/>
    </row>
    <row r="18" spans="1:13" x14ac:dyDescent="0.35">
      <c r="A18" s="40" t="s">
        <v>127</v>
      </c>
      <c r="B18" s="40" t="s">
        <v>128</v>
      </c>
      <c r="C18" s="103"/>
      <c r="D18" s="21" t="s">
        <v>129</v>
      </c>
      <c r="E18" s="103"/>
      <c r="F18" s="21" t="s">
        <v>130</v>
      </c>
      <c r="G18" s="103"/>
      <c r="H18" s="21"/>
      <c r="I18" s="103"/>
      <c r="J18" s="21"/>
      <c r="K18" s="21"/>
      <c r="L18" s="21"/>
      <c r="M18" s="21"/>
    </row>
    <row r="19" spans="1:13" x14ac:dyDescent="0.35">
      <c r="A19" s="40" t="s">
        <v>131</v>
      </c>
      <c r="B19" s="40" t="s">
        <v>132</v>
      </c>
      <c r="C19" s="103"/>
      <c r="D19" s="21" t="s">
        <v>133</v>
      </c>
      <c r="E19" s="103"/>
      <c r="F19" s="21" t="s">
        <v>131</v>
      </c>
      <c r="G19" s="103"/>
      <c r="H19" s="21"/>
      <c r="I19" s="103"/>
      <c r="J19" s="21"/>
      <c r="K19" s="21"/>
      <c r="L19" s="21"/>
      <c r="M19" s="21"/>
    </row>
    <row r="20" spans="1:13" x14ac:dyDescent="0.35">
      <c r="A20" s="42" t="s">
        <v>134</v>
      </c>
      <c r="B20" s="42"/>
      <c r="C20" s="105">
        <v>0</v>
      </c>
      <c r="D20" s="30"/>
      <c r="E20" s="105">
        <v>0</v>
      </c>
      <c r="F20" s="30"/>
      <c r="G20" s="105">
        <v>0</v>
      </c>
      <c r="H20" s="30"/>
      <c r="I20" s="105">
        <v>0</v>
      </c>
      <c r="J20" s="30"/>
      <c r="K20" s="30"/>
      <c r="L20" s="21"/>
      <c r="M20" s="21"/>
    </row>
    <row r="21" spans="1:13" x14ac:dyDescent="0.35">
      <c r="A21" s="40"/>
      <c r="B21" s="40"/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</row>
    <row r="22" spans="1:13" x14ac:dyDescent="0.35">
      <c r="A22" s="22" t="s">
        <v>135</v>
      </c>
      <c r="B22" s="19"/>
      <c r="C22" s="19"/>
      <c r="D22" s="19"/>
      <c r="E22" s="19"/>
      <c r="F22" s="19"/>
      <c r="G22" s="19"/>
      <c r="H22" s="19"/>
      <c r="I22" s="19"/>
      <c r="J22" s="19"/>
      <c r="K22" s="19"/>
      <c r="L22" s="21"/>
      <c r="M22" s="21"/>
    </row>
    <row r="23" spans="1:13" x14ac:dyDescent="0.35">
      <c r="A23" s="41" t="s">
        <v>88</v>
      </c>
      <c r="B23" s="41" t="s">
        <v>89</v>
      </c>
      <c r="C23" s="24" t="s">
        <v>727</v>
      </c>
      <c r="D23" s="24" t="s">
        <v>90</v>
      </c>
      <c r="E23" s="24" t="s">
        <v>728</v>
      </c>
      <c r="F23" s="24" t="s">
        <v>91</v>
      </c>
      <c r="G23" s="24" t="s">
        <v>729</v>
      </c>
      <c r="H23" s="24" t="s">
        <v>92</v>
      </c>
      <c r="I23" s="24" t="s">
        <v>730</v>
      </c>
      <c r="J23" s="24" t="s">
        <v>136</v>
      </c>
      <c r="K23" s="24" t="s">
        <v>5</v>
      </c>
      <c r="L23" s="21"/>
      <c r="M23" s="21"/>
    </row>
    <row r="24" spans="1:13" x14ac:dyDescent="0.35">
      <c r="A24" s="40" t="s">
        <v>137</v>
      </c>
      <c r="B24" s="40" t="s">
        <v>138</v>
      </c>
      <c r="C24" s="103"/>
      <c r="D24" s="21" t="s">
        <v>139</v>
      </c>
      <c r="E24" s="103"/>
      <c r="F24" s="21" t="s">
        <v>140</v>
      </c>
      <c r="G24" s="103"/>
      <c r="H24" s="21"/>
      <c r="I24" s="103"/>
      <c r="J24" s="21"/>
      <c r="K24" s="21"/>
      <c r="L24" s="21"/>
      <c r="M24" s="21"/>
    </row>
    <row r="25" spans="1:13" x14ac:dyDescent="0.35">
      <c r="A25" s="40" t="s">
        <v>141</v>
      </c>
      <c r="B25" s="40" t="s">
        <v>142</v>
      </c>
      <c r="C25" s="103"/>
      <c r="D25" s="21" t="s">
        <v>143</v>
      </c>
      <c r="E25" s="103"/>
      <c r="F25" s="21" t="s">
        <v>144</v>
      </c>
      <c r="G25" s="103"/>
      <c r="H25" s="21"/>
      <c r="I25" s="103"/>
      <c r="J25" s="21"/>
      <c r="K25" s="21"/>
      <c r="L25" s="21"/>
      <c r="M25" s="21"/>
    </row>
    <row r="26" spans="1:13" x14ac:dyDescent="0.35">
      <c r="A26" s="40" t="s">
        <v>145</v>
      </c>
      <c r="B26" s="40" t="s">
        <v>146</v>
      </c>
      <c r="C26" s="103"/>
      <c r="D26" s="21" t="s">
        <v>147</v>
      </c>
      <c r="E26" s="103"/>
      <c r="F26" s="21" t="s">
        <v>148</v>
      </c>
      <c r="G26" s="103"/>
      <c r="H26" s="21"/>
      <c r="I26" s="103"/>
      <c r="J26" s="21"/>
      <c r="K26" s="21"/>
      <c r="L26" s="21"/>
      <c r="M26" s="21"/>
    </row>
    <row r="27" spans="1:13" x14ac:dyDescent="0.35">
      <c r="A27" s="40" t="s">
        <v>149</v>
      </c>
      <c r="B27" s="40" t="s">
        <v>150</v>
      </c>
      <c r="C27" s="103"/>
      <c r="D27" s="21" t="s">
        <v>149</v>
      </c>
      <c r="E27" s="103"/>
      <c r="F27" s="21" t="s">
        <v>149</v>
      </c>
      <c r="G27" s="103"/>
      <c r="H27" s="21"/>
      <c r="I27" s="103"/>
      <c r="J27" s="21"/>
      <c r="K27" s="21"/>
      <c r="L27" s="21"/>
      <c r="M27" s="21"/>
    </row>
    <row r="28" spans="1:13" x14ac:dyDescent="0.35">
      <c r="A28" s="40" t="s">
        <v>151</v>
      </c>
      <c r="B28" s="40" t="s">
        <v>152</v>
      </c>
      <c r="C28" s="103"/>
      <c r="D28" s="21" t="s">
        <v>153</v>
      </c>
      <c r="E28" s="103"/>
      <c r="F28" s="21" t="s">
        <v>154</v>
      </c>
      <c r="G28" s="103"/>
      <c r="H28" s="21"/>
      <c r="I28" s="103"/>
      <c r="J28" s="21"/>
      <c r="K28" s="21"/>
      <c r="L28" s="21"/>
      <c r="M28" s="21"/>
    </row>
    <row r="29" spans="1:13" x14ac:dyDescent="0.35">
      <c r="A29" s="42" t="s">
        <v>155</v>
      </c>
      <c r="B29" s="42"/>
      <c r="C29" s="105">
        <v>0</v>
      </c>
      <c r="D29" s="30"/>
      <c r="E29" s="105">
        <v>0</v>
      </c>
      <c r="F29" s="30"/>
      <c r="G29" s="105">
        <v>0</v>
      </c>
      <c r="H29" s="30"/>
      <c r="I29" s="105">
        <v>0</v>
      </c>
      <c r="J29" s="30"/>
      <c r="K29" s="30"/>
      <c r="L29" s="21"/>
      <c r="M29" s="21"/>
    </row>
    <row r="30" spans="1:13" x14ac:dyDescent="0.35">
      <c r="A30" s="40"/>
      <c r="B30" s="40"/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</row>
    <row r="31" spans="1:13" x14ac:dyDescent="0.35">
      <c r="A31" s="22" t="s">
        <v>156</v>
      </c>
      <c r="B31" s="19"/>
      <c r="C31" s="19"/>
      <c r="D31" s="19"/>
      <c r="E31" s="19"/>
      <c r="F31" s="19"/>
      <c r="G31" s="19"/>
      <c r="H31" s="19"/>
      <c r="I31" s="19"/>
      <c r="J31" s="19"/>
      <c r="K31" s="19"/>
      <c r="L31" s="21"/>
      <c r="M31" s="21"/>
    </row>
    <row r="32" spans="1:13" x14ac:dyDescent="0.35">
      <c r="A32" s="41" t="s">
        <v>88</v>
      </c>
      <c r="B32" s="41" t="s">
        <v>89</v>
      </c>
      <c r="C32" s="24" t="s">
        <v>727</v>
      </c>
      <c r="D32" s="24" t="s">
        <v>90</v>
      </c>
      <c r="E32" s="24" t="s">
        <v>728</v>
      </c>
      <c r="F32" s="24" t="s">
        <v>91</v>
      </c>
      <c r="G32" s="24" t="s">
        <v>729</v>
      </c>
      <c r="H32" s="24" t="s">
        <v>92</v>
      </c>
      <c r="I32" s="24" t="s">
        <v>730</v>
      </c>
      <c r="J32" s="24" t="s">
        <v>157</v>
      </c>
      <c r="K32" s="24" t="s">
        <v>5</v>
      </c>
      <c r="L32" s="21"/>
      <c r="M32" s="21"/>
    </row>
    <row r="33" spans="1:13" x14ac:dyDescent="0.35">
      <c r="A33" s="40" t="s">
        <v>158</v>
      </c>
      <c r="B33" s="40" t="s">
        <v>159</v>
      </c>
      <c r="C33" s="103"/>
      <c r="D33" s="21" t="s">
        <v>160</v>
      </c>
      <c r="E33" s="103"/>
      <c r="F33" s="21" t="s">
        <v>159</v>
      </c>
      <c r="G33" s="103"/>
      <c r="H33" s="21"/>
      <c r="I33" s="103"/>
      <c r="J33" s="21"/>
      <c r="K33" s="21"/>
      <c r="L33" s="21"/>
      <c r="M33" s="21"/>
    </row>
    <row r="34" spans="1:13" x14ac:dyDescent="0.35">
      <c r="A34" s="40" t="s">
        <v>161</v>
      </c>
      <c r="B34" s="40" t="s">
        <v>162</v>
      </c>
      <c r="C34" s="103"/>
      <c r="D34" s="21" t="s">
        <v>163</v>
      </c>
      <c r="E34" s="103"/>
      <c r="F34" s="21" t="s">
        <v>164</v>
      </c>
      <c r="G34" s="103"/>
      <c r="H34" s="21"/>
      <c r="I34" s="103"/>
      <c r="J34" s="21"/>
      <c r="K34" s="21"/>
      <c r="L34" s="21"/>
      <c r="M34" s="21"/>
    </row>
    <row r="35" spans="1:13" x14ac:dyDescent="0.35">
      <c r="A35" s="40" t="s">
        <v>165</v>
      </c>
      <c r="B35" s="40" t="s">
        <v>166</v>
      </c>
      <c r="C35" s="103"/>
      <c r="D35" s="21" t="s">
        <v>167</v>
      </c>
      <c r="E35" s="103"/>
      <c r="F35" s="21" t="s">
        <v>168</v>
      </c>
      <c r="G35" s="103"/>
      <c r="H35" s="21"/>
      <c r="I35" s="103"/>
      <c r="J35" s="21"/>
      <c r="K35" s="21"/>
      <c r="L35" s="21"/>
      <c r="M35" s="21"/>
    </row>
    <row r="36" spans="1:13" x14ac:dyDescent="0.35">
      <c r="A36" s="40" t="s">
        <v>169</v>
      </c>
      <c r="B36" s="40" t="s">
        <v>170</v>
      </c>
      <c r="C36" s="103"/>
      <c r="D36" s="21" t="s">
        <v>171</v>
      </c>
      <c r="E36" s="103"/>
      <c r="F36" s="21" t="s">
        <v>172</v>
      </c>
      <c r="G36" s="103"/>
      <c r="H36" s="21"/>
      <c r="I36" s="103"/>
      <c r="J36" s="21"/>
      <c r="K36" s="21"/>
      <c r="L36" s="21"/>
      <c r="M36" s="21"/>
    </row>
    <row r="37" spans="1:13" x14ac:dyDescent="0.35">
      <c r="A37" s="40" t="s">
        <v>173</v>
      </c>
      <c r="B37" s="40" t="s">
        <v>174</v>
      </c>
      <c r="C37" s="103"/>
      <c r="D37" s="21" t="s">
        <v>175</v>
      </c>
      <c r="E37" s="103"/>
      <c r="F37" s="21" t="s">
        <v>176</v>
      </c>
      <c r="G37" s="103"/>
      <c r="H37" s="21"/>
      <c r="I37" s="103"/>
      <c r="J37" s="21"/>
      <c r="K37" s="21"/>
      <c r="L37" s="21"/>
      <c r="M37" s="21"/>
    </row>
    <row r="38" spans="1:13" x14ac:dyDescent="0.35">
      <c r="A38" s="40" t="s">
        <v>177</v>
      </c>
      <c r="B38" s="40" t="s">
        <v>178</v>
      </c>
      <c r="C38" s="103"/>
      <c r="D38" s="21" t="s">
        <v>179</v>
      </c>
      <c r="E38" s="103"/>
      <c r="F38" s="21" t="s">
        <v>180</v>
      </c>
      <c r="G38" s="103"/>
      <c r="H38" s="21"/>
      <c r="I38" s="103"/>
      <c r="J38" s="21"/>
      <c r="K38" s="21"/>
      <c r="L38" s="21"/>
      <c r="M38" s="21"/>
    </row>
    <row r="39" spans="1:13" x14ac:dyDescent="0.35">
      <c r="A39" s="42" t="s">
        <v>181</v>
      </c>
      <c r="B39" s="42"/>
      <c r="C39" s="105">
        <v>0</v>
      </c>
      <c r="D39" s="30"/>
      <c r="E39" s="105">
        <v>0</v>
      </c>
      <c r="F39" s="30"/>
      <c r="G39" s="105">
        <v>0</v>
      </c>
      <c r="H39" s="30"/>
      <c r="I39" s="105">
        <v>0</v>
      </c>
      <c r="J39" s="30"/>
      <c r="K39" s="30"/>
      <c r="L39" s="21"/>
      <c r="M39" s="21"/>
    </row>
    <row r="40" spans="1:13" x14ac:dyDescent="0.35">
      <c r="A40" s="40"/>
      <c r="B40" s="40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</row>
    <row r="41" spans="1:13" x14ac:dyDescent="0.35">
      <c r="A41" s="22" t="s">
        <v>182</v>
      </c>
      <c r="B41" s="19"/>
      <c r="C41" s="19"/>
      <c r="D41" s="19"/>
      <c r="E41" s="19"/>
      <c r="F41" s="19"/>
      <c r="G41" s="19"/>
      <c r="H41" s="19"/>
      <c r="I41" s="19"/>
      <c r="J41" s="19"/>
      <c r="K41" s="19"/>
      <c r="L41" s="21"/>
      <c r="M41" s="21"/>
    </row>
    <row r="42" spans="1:13" x14ac:dyDescent="0.35">
      <c r="A42" s="41" t="s">
        <v>88</v>
      </c>
      <c r="B42" s="41" t="s">
        <v>89</v>
      </c>
      <c r="C42" s="24" t="s">
        <v>727</v>
      </c>
      <c r="D42" s="24" t="s">
        <v>90</v>
      </c>
      <c r="E42" s="24" t="s">
        <v>728</v>
      </c>
      <c r="F42" s="24" t="s">
        <v>91</v>
      </c>
      <c r="G42" s="24" t="s">
        <v>729</v>
      </c>
      <c r="H42" s="24" t="s">
        <v>92</v>
      </c>
      <c r="I42" s="24" t="s">
        <v>730</v>
      </c>
      <c r="J42" s="24" t="s">
        <v>183</v>
      </c>
      <c r="K42" s="24" t="s">
        <v>5</v>
      </c>
      <c r="L42" s="21"/>
      <c r="M42" s="21"/>
    </row>
    <row r="43" spans="1:13" x14ac:dyDescent="0.35">
      <c r="A43" s="40" t="s">
        <v>184</v>
      </c>
      <c r="B43" s="40" t="s">
        <v>185</v>
      </c>
      <c r="C43" s="103"/>
      <c r="D43" s="21" t="s">
        <v>186</v>
      </c>
      <c r="E43" s="103"/>
      <c r="F43" s="21" t="s">
        <v>187</v>
      </c>
      <c r="G43" s="103"/>
      <c r="H43" s="21"/>
      <c r="I43" s="103"/>
      <c r="J43" s="21"/>
      <c r="K43" s="21"/>
      <c r="L43" s="21"/>
      <c r="M43" s="21"/>
    </row>
    <row r="44" spans="1:13" x14ac:dyDescent="0.35">
      <c r="A44" s="40" t="s">
        <v>188</v>
      </c>
      <c r="B44" s="40" t="s">
        <v>189</v>
      </c>
      <c r="C44" s="103"/>
      <c r="D44" s="21" t="s">
        <v>190</v>
      </c>
      <c r="E44" s="103"/>
      <c r="F44" s="21" t="s">
        <v>191</v>
      </c>
      <c r="G44" s="103"/>
      <c r="H44" s="21"/>
      <c r="I44" s="103"/>
      <c r="J44" s="21"/>
      <c r="K44" s="21"/>
      <c r="L44" s="21"/>
      <c r="M44" s="21"/>
    </row>
    <row r="45" spans="1:13" x14ac:dyDescent="0.35">
      <c r="A45" s="40" t="s">
        <v>192</v>
      </c>
      <c r="B45" s="40" t="s">
        <v>193</v>
      </c>
      <c r="C45" s="103"/>
      <c r="D45" s="21" t="s">
        <v>194</v>
      </c>
      <c r="E45" s="103"/>
      <c r="F45" s="21" t="s">
        <v>195</v>
      </c>
      <c r="G45" s="103"/>
      <c r="H45" s="21"/>
      <c r="I45" s="103"/>
      <c r="J45" s="21"/>
      <c r="K45" s="21"/>
      <c r="L45" s="21"/>
      <c r="M45" s="21"/>
    </row>
    <row r="46" spans="1:13" x14ac:dyDescent="0.35">
      <c r="A46" s="40" t="s">
        <v>196</v>
      </c>
      <c r="B46" s="40" t="s">
        <v>197</v>
      </c>
      <c r="C46" s="103"/>
      <c r="D46" s="21" t="s">
        <v>196</v>
      </c>
      <c r="E46" s="103"/>
      <c r="F46" s="21" t="s">
        <v>198</v>
      </c>
      <c r="G46" s="103"/>
      <c r="H46" s="21"/>
      <c r="I46" s="103"/>
      <c r="J46" s="21"/>
      <c r="K46" s="21"/>
      <c r="L46" s="21"/>
      <c r="M46" s="21"/>
    </row>
    <row r="47" spans="1:13" x14ac:dyDescent="0.35">
      <c r="A47" s="40" t="s">
        <v>199</v>
      </c>
      <c r="B47" s="40" t="s">
        <v>200</v>
      </c>
      <c r="C47" s="103"/>
      <c r="D47" s="21" t="s">
        <v>201</v>
      </c>
      <c r="E47" s="103"/>
      <c r="F47" s="21" t="s">
        <v>202</v>
      </c>
      <c r="G47" s="103"/>
      <c r="H47" s="21"/>
      <c r="I47" s="103"/>
      <c r="J47" s="21"/>
      <c r="K47" s="21"/>
      <c r="L47" s="21"/>
      <c r="M47" s="21"/>
    </row>
    <row r="48" spans="1:13" x14ac:dyDescent="0.35">
      <c r="A48" s="42" t="s">
        <v>203</v>
      </c>
      <c r="B48" s="42"/>
      <c r="C48" s="105">
        <v>0</v>
      </c>
      <c r="D48" s="30"/>
      <c r="E48" s="105">
        <v>0</v>
      </c>
      <c r="F48" s="30"/>
      <c r="G48" s="105">
        <v>0</v>
      </c>
      <c r="H48" s="30"/>
      <c r="I48" s="105">
        <v>0</v>
      </c>
      <c r="J48" s="30"/>
      <c r="K48" s="30"/>
      <c r="L48" s="21"/>
      <c r="M48" s="21"/>
    </row>
    <row r="49" spans="1:13" x14ac:dyDescent="0.35">
      <c r="A49" s="40"/>
      <c r="B49" s="40"/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</row>
    <row r="50" spans="1:13" x14ac:dyDescent="0.35">
      <c r="A50" s="22" t="s">
        <v>558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21"/>
      <c r="M50" s="21"/>
    </row>
    <row r="51" spans="1:13" x14ac:dyDescent="0.35">
      <c r="A51" s="41" t="s">
        <v>88</v>
      </c>
      <c r="B51" s="41" t="s">
        <v>89</v>
      </c>
      <c r="C51" s="24" t="s">
        <v>727</v>
      </c>
      <c r="D51" s="24" t="s">
        <v>90</v>
      </c>
      <c r="E51" s="24" t="s">
        <v>728</v>
      </c>
      <c r="F51" s="24" t="s">
        <v>91</v>
      </c>
      <c r="G51" s="24" t="s">
        <v>729</v>
      </c>
      <c r="H51" s="24" t="s">
        <v>92</v>
      </c>
      <c r="I51" s="24" t="s">
        <v>730</v>
      </c>
      <c r="J51" s="24" t="s">
        <v>204</v>
      </c>
      <c r="K51" s="24" t="s">
        <v>5</v>
      </c>
      <c r="L51" s="21"/>
      <c r="M51" s="21"/>
    </row>
    <row r="52" spans="1:13" x14ac:dyDescent="0.35">
      <c r="A52" s="40" t="s">
        <v>205</v>
      </c>
      <c r="B52" s="40" t="s">
        <v>206</v>
      </c>
      <c r="C52" s="103"/>
      <c r="D52" s="21" t="s">
        <v>207</v>
      </c>
      <c r="E52" s="103"/>
      <c r="F52" s="21" t="s">
        <v>208</v>
      </c>
      <c r="G52" s="103"/>
      <c r="H52" s="21"/>
      <c r="I52" s="103"/>
      <c r="J52" s="21"/>
      <c r="K52" s="21"/>
      <c r="L52" s="21"/>
      <c r="M52" s="21"/>
    </row>
    <row r="53" spans="1:13" x14ac:dyDescent="0.35">
      <c r="A53" s="40" t="s">
        <v>209</v>
      </c>
      <c r="B53" s="40" t="s">
        <v>210</v>
      </c>
      <c r="C53" s="103"/>
      <c r="D53" s="21" t="s">
        <v>209</v>
      </c>
      <c r="E53" s="103"/>
      <c r="F53" s="21" t="s">
        <v>209</v>
      </c>
      <c r="G53" s="103"/>
      <c r="H53" s="21"/>
      <c r="I53" s="103"/>
      <c r="J53" s="21"/>
      <c r="K53" s="21"/>
      <c r="L53" s="21"/>
      <c r="M53" s="21"/>
    </row>
    <row r="54" spans="1:13" x14ac:dyDescent="0.35">
      <c r="A54" s="40" t="s">
        <v>211</v>
      </c>
      <c r="B54" s="40" t="s">
        <v>212</v>
      </c>
      <c r="C54" s="103"/>
      <c r="D54" s="21" t="s">
        <v>211</v>
      </c>
      <c r="E54" s="103"/>
      <c r="F54" s="21" t="s">
        <v>213</v>
      </c>
      <c r="G54" s="103"/>
      <c r="H54" s="21"/>
      <c r="I54" s="103"/>
      <c r="J54" s="21"/>
      <c r="K54" s="21"/>
      <c r="L54" s="21"/>
      <c r="M54" s="21"/>
    </row>
    <row r="55" spans="1:13" x14ac:dyDescent="0.35">
      <c r="A55" s="40" t="s">
        <v>57</v>
      </c>
      <c r="B55" s="40" t="s">
        <v>57</v>
      </c>
      <c r="C55" s="103"/>
      <c r="D55" s="21" t="s">
        <v>57</v>
      </c>
      <c r="E55" s="103"/>
      <c r="F55" s="21" t="s">
        <v>57</v>
      </c>
      <c r="G55" s="103"/>
      <c r="H55" s="21"/>
      <c r="I55" s="103"/>
      <c r="J55" s="21"/>
      <c r="K55" s="21"/>
      <c r="L55" s="21"/>
      <c r="M55" s="21"/>
    </row>
    <row r="56" spans="1:13" x14ac:dyDescent="0.35">
      <c r="A56" s="42" t="s">
        <v>214</v>
      </c>
      <c r="B56" s="42"/>
      <c r="C56" s="105">
        <v>0</v>
      </c>
      <c r="D56" s="30"/>
      <c r="E56" s="105">
        <v>0</v>
      </c>
      <c r="F56" s="30"/>
      <c r="G56" s="105">
        <v>0</v>
      </c>
      <c r="H56" s="30"/>
      <c r="I56" s="105">
        <v>0</v>
      </c>
      <c r="J56" s="30"/>
      <c r="K56" s="30"/>
      <c r="L56" s="21"/>
      <c r="M56" s="21"/>
    </row>
    <row r="57" spans="1:13" x14ac:dyDescent="0.35">
      <c r="A57" s="40"/>
      <c r="B57" s="40"/>
      <c r="C57" s="21"/>
      <c r="D57" s="21"/>
      <c r="E57" s="21"/>
      <c r="F57" s="21"/>
      <c r="G57" s="21"/>
      <c r="H57" s="21"/>
      <c r="I57" s="21"/>
      <c r="J57" s="21"/>
      <c r="K57" s="21"/>
      <c r="L57" s="21"/>
      <c r="M57" s="21"/>
    </row>
    <row r="58" spans="1:13" x14ac:dyDescent="0.35">
      <c r="A58" s="22" t="s">
        <v>215</v>
      </c>
      <c r="B58" s="19"/>
      <c r="C58" s="19"/>
      <c r="D58" s="19"/>
      <c r="E58" s="19"/>
      <c r="F58" s="19"/>
      <c r="G58" s="19"/>
      <c r="H58" s="19"/>
      <c r="I58" s="19"/>
      <c r="J58" s="19"/>
      <c r="K58" s="19"/>
      <c r="L58" s="21"/>
      <c r="M58" s="21"/>
    </row>
    <row r="59" spans="1:13" x14ac:dyDescent="0.35">
      <c r="A59" s="41" t="s">
        <v>88</v>
      </c>
      <c r="B59" s="41" t="s">
        <v>89</v>
      </c>
      <c r="C59" s="24" t="s">
        <v>727</v>
      </c>
      <c r="D59" s="24" t="s">
        <v>90</v>
      </c>
      <c r="E59" s="24" t="s">
        <v>728</v>
      </c>
      <c r="F59" s="24" t="s">
        <v>91</v>
      </c>
      <c r="G59" s="24" t="s">
        <v>729</v>
      </c>
      <c r="H59" s="24" t="s">
        <v>92</v>
      </c>
      <c r="I59" s="24" t="s">
        <v>730</v>
      </c>
      <c r="J59" s="24" t="s">
        <v>216</v>
      </c>
      <c r="K59" s="24" t="s">
        <v>5</v>
      </c>
      <c r="L59" s="21"/>
      <c r="M59" s="21"/>
    </row>
    <row r="60" spans="1:13" x14ac:dyDescent="0.35">
      <c r="A60" s="40" t="s">
        <v>217</v>
      </c>
      <c r="B60" s="40" t="s">
        <v>218</v>
      </c>
      <c r="C60" s="103"/>
      <c r="D60" s="21" t="s">
        <v>219</v>
      </c>
      <c r="E60" s="103"/>
      <c r="F60" s="21" t="s">
        <v>220</v>
      </c>
      <c r="G60" s="103"/>
      <c r="H60" s="21"/>
      <c r="I60" s="103"/>
      <c r="J60" s="21"/>
      <c r="K60" s="21"/>
      <c r="L60" s="21"/>
      <c r="M60" s="21"/>
    </row>
    <row r="61" spans="1:13" x14ac:dyDescent="0.35">
      <c r="A61" s="40" t="s">
        <v>221</v>
      </c>
      <c r="B61" s="40" t="s">
        <v>222</v>
      </c>
      <c r="C61" s="103"/>
      <c r="D61" s="21" t="s">
        <v>223</v>
      </c>
      <c r="E61" s="103"/>
      <c r="F61" s="21" t="s">
        <v>224</v>
      </c>
      <c r="G61" s="103"/>
      <c r="H61" s="21"/>
      <c r="I61" s="103"/>
      <c r="J61" s="21"/>
      <c r="K61" s="21"/>
      <c r="L61" s="21"/>
      <c r="M61" s="21"/>
    </row>
    <row r="62" spans="1:13" x14ac:dyDescent="0.35">
      <c r="A62" s="40" t="s">
        <v>225</v>
      </c>
      <c r="B62" s="40" t="s">
        <v>226</v>
      </c>
      <c r="C62" s="103"/>
      <c r="D62" s="21" t="s">
        <v>227</v>
      </c>
      <c r="E62" s="103"/>
      <c r="F62" s="21" t="s">
        <v>228</v>
      </c>
      <c r="G62" s="103"/>
      <c r="H62" s="21"/>
      <c r="I62" s="103"/>
      <c r="J62" s="21"/>
      <c r="K62" s="21"/>
      <c r="L62" s="21"/>
      <c r="M62" s="21"/>
    </row>
    <row r="63" spans="1:13" x14ac:dyDescent="0.35">
      <c r="A63" s="40" t="s">
        <v>229</v>
      </c>
      <c r="B63" s="40" t="s">
        <v>230</v>
      </c>
      <c r="C63" s="103"/>
      <c r="D63" s="21" t="s">
        <v>231</v>
      </c>
      <c r="E63" s="103"/>
      <c r="F63" s="21" t="s">
        <v>232</v>
      </c>
      <c r="G63" s="103"/>
      <c r="H63" s="21"/>
      <c r="I63" s="103"/>
      <c r="J63" s="21"/>
      <c r="K63" s="21"/>
      <c r="L63" s="21"/>
      <c r="M63" s="21"/>
    </row>
    <row r="64" spans="1:13" x14ac:dyDescent="0.35">
      <c r="A64" s="40" t="s">
        <v>233</v>
      </c>
      <c r="B64" s="40" t="s">
        <v>234</v>
      </c>
      <c r="C64" s="103"/>
      <c r="D64" s="21" t="s">
        <v>235</v>
      </c>
      <c r="E64" s="103"/>
      <c r="F64" s="21" t="s">
        <v>236</v>
      </c>
      <c r="G64" s="103"/>
      <c r="H64" s="21"/>
      <c r="I64" s="103"/>
      <c r="J64" s="21"/>
      <c r="K64" s="21"/>
      <c r="L64" s="21"/>
      <c r="M64" s="21"/>
    </row>
    <row r="65" spans="1:13" x14ac:dyDescent="0.35">
      <c r="A65" s="42" t="s">
        <v>237</v>
      </c>
      <c r="B65" s="42"/>
      <c r="C65" s="105">
        <v>0</v>
      </c>
      <c r="D65" s="30"/>
      <c r="E65" s="105">
        <v>0</v>
      </c>
      <c r="F65" s="30"/>
      <c r="G65" s="105">
        <v>0</v>
      </c>
      <c r="H65" s="30"/>
      <c r="I65" s="105">
        <v>0</v>
      </c>
      <c r="J65" s="30"/>
      <c r="K65" s="30"/>
      <c r="L65" s="21"/>
      <c r="M65" s="21"/>
    </row>
    <row r="66" spans="1:13" x14ac:dyDescent="0.35">
      <c r="A66" s="40"/>
      <c r="B66" s="40"/>
      <c r="C66" s="21"/>
      <c r="D66" s="21"/>
      <c r="E66" s="21"/>
      <c r="F66" s="21"/>
      <c r="G66" s="21"/>
      <c r="H66" s="21"/>
      <c r="I66" s="21"/>
      <c r="J66" s="21"/>
      <c r="K66" s="21"/>
      <c r="L66" s="21"/>
      <c r="M66" s="21"/>
    </row>
    <row r="67" spans="1:13" ht="18.5" x14ac:dyDescent="0.45">
      <c r="A67" s="43" t="s">
        <v>238</v>
      </c>
      <c r="B67" s="19"/>
      <c r="C67" s="19"/>
      <c r="D67" s="19"/>
      <c r="E67" s="19"/>
      <c r="F67" s="19"/>
      <c r="G67" s="19"/>
      <c r="H67" s="19"/>
      <c r="I67" s="19"/>
      <c r="J67" s="19"/>
      <c r="K67" s="19"/>
      <c r="L67" s="21"/>
      <c r="M67" s="21"/>
    </row>
    <row r="68" spans="1:13" x14ac:dyDescent="0.35">
      <c r="A68" s="41" t="s">
        <v>1</v>
      </c>
      <c r="B68" s="41"/>
      <c r="C68" s="24" t="s">
        <v>731</v>
      </c>
      <c r="D68" s="24"/>
      <c r="E68" s="24" t="s">
        <v>732</v>
      </c>
      <c r="F68" s="24"/>
      <c r="G68" s="24" t="s">
        <v>733</v>
      </c>
      <c r="H68" s="24"/>
      <c r="I68" s="24" t="s">
        <v>734</v>
      </c>
      <c r="J68" s="21"/>
      <c r="K68" s="21"/>
      <c r="L68" s="21"/>
      <c r="M68" s="21"/>
    </row>
    <row r="69" spans="1:13" x14ac:dyDescent="0.35">
      <c r="A69" s="40" t="s">
        <v>239</v>
      </c>
      <c r="B69" s="40"/>
      <c r="C69" s="103">
        <v>0</v>
      </c>
      <c r="D69" s="21"/>
      <c r="E69" s="103">
        <v>0</v>
      </c>
      <c r="F69" s="21"/>
      <c r="G69" s="103">
        <v>0</v>
      </c>
      <c r="H69" s="21"/>
      <c r="I69" s="103">
        <v>0</v>
      </c>
      <c r="J69" s="21"/>
      <c r="K69" s="21"/>
      <c r="L69" s="21"/>
      <c r="M69" s="21"/>
    </row>
    <row r="70" spans="1:13" x14ac:dyDescent="0.35">
      <c r="A70" s="40" t="s">
        <v>240</v>
      </c>
      <c r="B70" s="40"/>
      <c r="C70" s="103">
        <v>0</v>
      </c>
      <c r="D70" s="21"/>
      <c r="E70" s="103">
        <v>0</v>
      </c>
      <c r="F70" s="21"/>
      <c r="G70" s="103">
        <v>0</v>
      </c>
      <c r="H70" s="21"/>
      <c r="I70" s="103">
        <v>0</v>
      </c>
      <c r="J70" s="21"/>
      <c r="K70" s="21"/>
      <c r="L70" s="21"/>
      <c r="M70" s="21"/>
    </row>
    <row r="71" spans="1:13" x14ac:dyDescent="0.35">
      <c r="A71" s="40" t="s">
        <v>241</v>
      </c>
      <c r="B71" s="40"/>
      <c r="C71" s="103">
        <v>0</v>
      </c>
      <c r="D71" s="21"/>
      <c r="E71" s="103">
        <v>0</v>
      </c>
      <c r="F71" s="21"/>
      <c r="G71" s="103">
        <v>0</v>
      </c>
      <c r="H71" s="21"/>
      <c r="I71" s="103">
        <v>0</v>
      </c>
      <c r="J71" s="21"/>
      <c r="K71" s="21"/>
      <c r="L71" s="21"/>
      <c r="M71" s="21"/>
    </row>
    <row r="72" spans="1:13" x14ac:dyDescent="0.35">
      <c r="A72" s="40" t="s">
        <v>242</v>
      </c>
      <c r="B72" s="40"/>
      <c r="C72" s="103">
        <v>0</v>
      </c>
      <c r="D72" s="21"/>
      <c r="E72" s="103">
        <v>0</v>
      </c>
      <c r="F72" s="21"/>
      <c r="G72" s="103">
        <v>0</v>
      </c>
      <c r="H72" s="21"/>
      <c r="I72" s="103">
        <v>0</v>
      </c>
      <c r="J72" s="21"/>
      <c r="K72" s="21"/>
      <c r="L72" s="21"/>
      <c r="M72" s="21"/>
    </row>
    <row r="73" spans="1:13" x14ac:dyDescent="0.35">
      <c r="A73" s="40" t="s">
        <v>56</v>
      </c>
      <c r="B73" s="40"/>
      <c r="C73" s="103">
        <v>0</v>
      </c>
      <c r="D73" s="21"/>
      <c r="E73" s="103">
        <v>0</v>
      </c>
      <c r="F73" s="21"/>
      <c r="G73" s="103">
        <v>0</v>
      </c>
      <c r="H73" s="21"/>
      <c r="I73" s="103">
        <v>0</v>
      </c>
      <c r="J73" s="21"/>
      <c r="K73" s="21"/>
      <c r="L73" s="21"/>
      <c r="M73" s="21"/>
    </row>
    <row r="74" spans="1:13" x14ac:dyDescent="0.35">
      <c r="A74" s="40" t="s">
        <v>243</v>
      </c>
      <c r="B74" s="40"/>
      <c r="C74" s="103">
        <v>0</v>
      </c>
      <c r="D74" s="21"/>
      <c r="E74" s="103">
        <v>0</v>
      </c>
      <c r="F74" s="21"/>
      <c r="G74" s="103">
        <v>0</v>
      </c>
      <c r="H74" s="21"/>
      <c r="I74" s="103">
        <v>0</v>
      </c>
      <c r="J74" s="21"/>
      <c r="K74" s="21"/>
      <c r="L74" s="21"/>
      <c r="M74" s="21"/>
    </row>
    <row r="75" spans="1:13" x14ac:dyDescent="0.35">
      <c r="A75" s="40" t="s">
        <v>244</v>
      </c>
      <c r="B75" s="40"/>
      <c r="C75" s="103">
        <v>0</v>
      </c>
      <c r="D75" s="21"/>
      <c r="E75" s="103">
        <v>0</v>
      </c>
      <c r="F75" s="21"/>
      <c r="G75" s="103">
        <v>0</v>
      </c>
      <c r="H75" s="21"/>
      <c r="I75" s="103">
        <v>0</v>
      </c>
      <c r="J75" s="21"/>
      <c r="K75" s="21"/>
      <c r="L75" s="21"/>
      <c r="M75" s="21"/>
    </row>
    <row r="76" spans="1:13" x14ac:dyDescent="0.35">
      <c r="A76" s="44" t="s">
        <v>245</v>
      </c>
      <c r="B76" s="44"/>
      <c r="C76" s="106">
        <v>0</v>
      </c>
      <c r="D76" s="45"/>
      <c r="E76" s="106">
        <v>0</v>
      </c>
      <c r="F76" s="45"/>
      <c r="G76" s="106">
        <v>0</v>
      </c>
      <c r="H76" s="45"/>
      <c r="I76" s="106">
        <v>0</v>
      </c>
      <c r="J76" s="21"/>
      <c r="K76" s="21"/>
      <c r="L76" s="21"/>
      <c r="M76" s="21"/>
    </row>
    <row r="77" spans="1:13" x14ac:dyDescent="0.35">
      <c r="A77" s="46" t="s">
        <v>246</v>
      </c>
      <c r="B77" s="46"/>
      <c r="C77" s="107">
        <v>0</v>
      </c>
      <c r="D77" s="47"/>
      <c r="E77" s="107">
        <v>0</v>
      </c>
      <c r="F77" s="47"/>
      <c r="G77" s="107">
        <v>0</v>
      </c>
      <c r="H77" s="47"/>
      <c r="I77" s="107">
        <v>0</v>
      </c>
      <c r="J77" s="21"/>
      <c r="K77" s="21"/>
      <c r="L77" s="21"/>
      <c r="M77" s="21"/>
    </row>
    <row r="78" spans="1:13" x14ac:dyDescent="0.35">
      <c r="A78" s="40"/>
      <c r="B78" s="40"/>
      <c r="C78" s="21"/>
      <c r="D78" s="21"/>
      <c r="E78" s="21"/>
      <c r="F78" s="21"/>
      <c r="G78" s="21"/>
      <c r="H78" s="21"/>
      <c r="I78" s="21"/>
      <c r="J78" s="21"/>
      <c r="K78" s="21"/>
      <c r="L78" s="21"/>
      <c r="M78" s="21"/>
    </row>
    <row r="79" spans="1:13" ht="18.5" x14ac:dyDescent="0.45">
      <c r="A79" s="43" t="s">
        <v>679</v>
      </c>
      <c r="B79" s="43"/>
      <c r="C79" s="43"/>
      <c r="D79" s="43"/>
      <c r="E79" s="43"/>
      <c r="F79" s="43"/>
      <c r="G79" s="43"/>
      <c r="H79" s="43"/>
      <c r="I79" s="43"/>
      <c r="J79" s="43"/>
      <c r="K79" s="43"/>
      <c r="L79" s="21"/>
      <c r="M79" s="21"/>
    </row>
    <row r="80" spans="1:13" x14ac:dyDescent="0.35">
      <c r="A80" s="41" t="s">
        <v>247</v>
      </c>
      <c r="B80" s="41" t="s">
        <v>248</v>
      </c>
      <c r="C80" s="24" t="s">
        <v>249</v>
      </c>
      <c r="D80" s="24" t="s">
        <v>250</v>
      </c>
      <c r="E80" s="24" t="s">
        <v>251</v>
      </c>
      <c r="F80" s="24" t="s">
        <v>252</v>
      </c>
      <c r="G80" s="24" t="s">
        <v>253</v>
      </c>
      <c r="H80" s="24" t="s">
        <v>254</v>
      </c>
      <c r="I80" s="21"/>
      <c r="J80" s="21"/>
      <c r="K80" s="21"/>
      <c r="L80" s="21"/>
      <c r="M80" s="21"/>
    </row>
    <row r="81" spans="1:13" x14ac:dyDescent="0.35">
      <c r="A81" s="40" t="s">
        <v>255</v>
      </c>
      <c r="B81" s="10">
        <v>0.2</v>
      </c>
      <c r="C81" s="21"/>
      <c r="D81" s="21"/>
      <c r="E81" s="21"/>
      <c r="F81" s="21"/>
      <c r="G81" s="21"/>
      <c r="H81" s="21"/>
      <c r="I81" s="21"/>
      <c r="J81" s="21"/>
      <c r="K81" s="21"/>
      <c r="L81" s="21"/>
      <c r="M81" s="21"/>
    </row>
    <row r="82" spans="1:13" x14ac:dyDescent="0.35">
      <c r="A82" s="40" t="s">
        <v>256</v>
      </c>
      <c r="B82" s="10">
        <v>0.2</v>
      </c>
      <c r="C82" s="21"/>
      <c r="D82" s="21"/>
      <c r="E82" s="21"/>
      <c r="F82" s="21"/>
      <c r="G82" s="21"/>
      <c r="H82" s="21"/>
      <c r="I82" s="21"/>
      <c r="J82" s="21"/>
      <c r="K82" s="21"/>
      <c r="L82" s="21"/>
      <c r="M82" s="21"/>
    </row>
    <row r="83" spans="1:13" x14ac:dyDescent="0.35">
      <c r="A83" s="40" t="s">
        <v>257</v>
      </c>
      <c r="B83" s="10">
        <v>0.15</v>
      </c>
      <c r="C83" s="21"/>
      <c r="D83" s="21"/>
      <c r="E83" s="21"/>
      <c r="F83" s="21"/>
      <c r="G83" s="21"/>
      <c r="H83" s="21"/>
      <c r="I83" s="21"/>
      <c r="J83" s="21"/>
      <c r="K83" s="21"/>
      <c r="L83" s="21"/>
      <c r="M83" s="21"/>
    </row>
    <row r="84" spans="1:13" x14ac:dyDescent="0.35">
      <c r="A84" s="40" t="s">
        <v>258</v>
      </c>
      <c r="B84" s="10">
        <v>0.15</v>
      </c>
      <c r="C84" s="21"/>
      <c r="D84" s="21"/>
      <c r="E84" s="21"/>
      <c r="F84" s="21"/>
      <c r="G84" s="21"/>
      <c r="H84" s="21"/>
      <c r="I84" s="21"/>
      <c r="J84" s="21"/>
      <c r="K84" s="21"/>
      <c r="L84" s="21"/>
      <c r="M84" s="21"/>
    </row>
    <row r="85" spans="1:13" x14ac:dyDescent="0.35">
      <c r="A85" s="40" t="s">
        <v>259</v>
      </c>
      <c r="B85" s="10">
        <v>0.1</v>
      </c>
      <c r="C85" s="21"/>
      <c r="D85" s="21"/>
      <c r="E85" s="21"/>
      <c r="F85" s="21"/>
      <c r="G85" s="21"/>
      <c r="H85" s="21"/>
      <c r="I85" s="21"/>
      <c r="J85" s="21"/>
      <c r="K85" s="21"/>
      <c r="L85" s="21"/>
      <c r="M85" s="21"/>
    </row>
    <row r="86" spans="1:13" x14ac:dyDescent="0.35">
      <c r="A86" s="40" t="s">
        <v>260</v>
      </c>
      <c r="B86" s="10">
        <v>0.1</v>
      </c>
      <c r="C86" s="21"/>
      <c r="D86" s="21"/>
      <c r="E86" s="21"/>
      <c r="F86" s="21"/>
      <c r="G86" s="21"/>
      <c r="H86" s="21"/>
      <c r="I86" s="21"/>
      <c r="J86" s="21"/>
      <c r="K86" s="21"/>
      <c r="L86" s="21"/>
      <c r="M86" s="21"/>
    </row>
    <row r="87" spans="1:13" x14ac:dyDescent="0.35">
      <c r="A87" s="40" t="s">
        <v>261</v>
      </c>
      <c r="B87" s="10">
        <v>0.05</v>
      </c>
      <c r="C87" s="21"/>
      <c r="D87" s="21"/>
      <c r="E87" s="21"/>
      <c r="F87" s="21"/>
      <c r="G87" s="21"/>
      <c r="H87" s="21"/>
      <c r="I87" s="21"/>
      <c r="J87" s="21"/>
      <c r="K87" s="21"/>
      <c r="L87" s="21"/>
      <c r="M87" s="21"/>
    </row>
    <row r="88" spans="1:13" x14ac:dyDescent="0.35">
      <c r="A88" s="40" t="s">
        <v>262</v>
      </c>
      <c r="B88" s="10">
        <v>0.05</v>
      </c>
      <c r="C88" s="21"/>
      <c r="D88" s="21"/>
      <c r="E88" s="21"/>
      <c r="F88" s="21"/>
      <c r="G88" s="21"/>
      <c r="H88" s="21"/>
      <c r="I88" s="21"/>
      <c r="J88" s="21"/>
      <c r="K88" s="21"/>
      <c r="L88" s="21"/>
      <c r="M88" s="21"/>
    </row>
    <row r="89" spans="1:13" x14ac:dyDescent="0.35">
      <c r="A89" s="46" t="s">
        <v>263</v>
      </c>
      <c r="B89" s="11">
        <v>1</v>
      </c>
      <c r="C89" s="47"/>
      <c r="D89" s="47"/>
      <c r="E89" s="47"/>
      <c r="F89" s="47">
        <v>0</v>
      </c>
      <c r="G89" s="47">
        <v>0</v>
      </c>
      <c r="H89" s="47">
        <v>0</v>
      </c>
      <c r="I89" s="21"/>
      <c r="J89" s="21"/>
      <c r="K89" s="21"/>
      <c r="L89" s="21"/>
      <c r="M89" s="21"/>
    </row>
    <row r="90" spans="1:13" x14ac:dyDescent="0.35">
      <c r="A90" s="40"/>
      <c r="B90" s="40"/>
      <c r="C90" s="21"/>
      <c r="D90" s="21"/>
      <c r="E90" s="21"/>
      <c r="F90" s="21"/>
      <c r="G90" s="21"/>
      <c r="H90" s="21"/>
      <c r="I90" s="21"/>
      <c r="J90" s="21"/>
      <c r="K90" s="21"/>
      <c r="L90" s="21"/>
      <c r="M90" s="21"/>
    </row>
    <row r="91" spans="1:13" x14ac:dyDescent="0.35">
      <c r="A91" s="23" t="s">
        <v>264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21"/>
      <c r="M91" s="21"/>
    </row>
    <row r="92" spans="1:13" x14ac:dyDescent="0.35">
      <c r="A92" s="41" t="s">
        <v>83</v>
      </c>
      <c r="B92" s="41" t="s">
        <v>265</v>
      </c>
      <c r="C92" s="24" t="s">
        <v>266</v>
      </c>
      <c r="D92" s="24" t="s">
        <v>267</v>
      </c>
      <c r="E92" s="24" t="s">
        <v>268</v>
      </c>
      <c r="F92" s="24"/>
      <c r="G92" s="21"/>
      <c r="H92" s="21"/>
      <c r="I92" s="21"/>
      <c r="J92" s="21"/>
      <c r="K92" s="21"/>
      <c r="L92" s="21"/>
      <c r="M92" s="21"/>
    </row>
    <row r="93" spans="1:13" x14ac:dyDescent="0.35">
      <c r="A93" s="40" t="s">
        <v>269</v>
      </c>
      <c r="B93" s="40" t="s">
        <v>270</v>
      </c>
      <c r="C93" s="21" t="s">
        <v>271</v>
      </c>
      <c r="D93" s="21"/>
      <c r="E93" s="21"/>
      <c r="F93" s="21"/>
      <c r="G93" s="21"/>
      <c r="H93" s="21"/>
      <c r="I93" s="21"/>
      <c r="J93" s="21"/>
      <c r="K93" s="21"/>
      <c r="L93" s="21"/>
      <c r="M93" s="21"/>
    </row>
    <row r="94" spans="1:13" x14ac:dyDescent="0.35">
      <c r="A94" s="40" t="s">
        <v>272</v>
      </c>
      <c r="B94" s="40" t="s">
        <v>273</v>
      </c>
      <c r="C94" s="21" t="s">
        <v>274</v>
      </c>
      <c r="D94" s="21"/>
      <c r="E94" s="21"/>
      <c r="F94" s="21"/>
      <c r="G94" s="21"/>
      <c r="H94" s="21"/>
      <c r="I94" s="21"/>
      <c r="J94" s="21"/>
      <c r="K94" s="21"/>
      <c r="L94" s="21"/>
      <c r="M94" s="21"/>
    </row>
    <row r="95" spans="1:13" x14ac:dyDescent="0.35">
      <c r="A95" s="40" t="s">
        <v>275</v>
      </c>
      <c r="B95" s="40" t="s">
        <v>276</v>
      </c>
      <c r="C95" s="21" t="s">
        <v>277</v>
      </c>
      <c r="D95" s="21"/>
      <c r="E95" s="21"/>
      <c r="F95" s="21"/>
      <c r="G95" s="21"/>
      <c r="H95" s="21"/>
      <c r="I95" s="21"/>
      <c r="J95" s="21"/>
      <c r="K95" s="21"/>
      <c r="L95" s="21"/>
      <c r="M95" s="21"/>
    </row>
    <row r="96" spans="1:13" x14ac:dyDescent="0.35">
      <c r="A96" s="40"/>
      <c r="B96" s="40"/>
      <c r="C96" s="21"/>
      <c r="D96" s="21"/>
      <c r="E96" s="21"/>
      <c r="F96" s="21"/>
      <c r="G96" s="21"/>
      <c r="H96" s="21"/>
      <c r="I96" s="21"/>
      <c r="J96" s="21"/>
      <c r="K96" s="21"/>
      <c r="L96" s="21"/>
      <c r="M96" s="21"/>
    </row>
    <row r="97" spans="1:13" x14ac:dyDescent="0.35">
      <c r="A97" s="29" t="s">
        <v>359</v>
      </c>
      <c r="B97" s="19"/>
      <c r="C97" s="19"/>
      <c r="D97" s="19"/>
      <c r="E97" s="19"/>
      <c r="F97" s="19"/>
      <c r="G97" s="19"/>
      <c r="H97" s="19"/>
      <c r="I97" s="19"/>
      <c r="J97" s="19"/>
      <c r="K97" s="19"/>
      <c r="L97" s="21"/>
      <c r="M97" s="21"/>
    </row>
    <row r="98" spans="1:13" x14ac:dyDescent="0.35">
      <c r="A98" s="48" t="s">
        <v>360</v>
      </c>
      <c r="B98" s="48"/>
      <c r="C98" s="49"/>
      <c r="D98" s="49"/>
      <c r="E98" s="49"/>
      <c r="F98" s="49"/>
      <c r="G98" s="49"/>
      <c r="H98" s="49"/>
      <c r="I98" s="49"/>
      <c r="J98" s="49"/>
      <c r="K98" s="49"/>
      <c r="L98" s="21"/>
      <c r="M98" s="21"/>
    </row>
    <row r="99" spans="1:13" x14ac:dyDescent="0.35">
      <c r="A99" s="48" t="s">
        <v>361</v>
      </c>
      <c r="B99" s="48"/>
      <c r="C99" s="49"/>
      <c r="D99" s="49"/>
      <c r="E99" s="49"/>
      <c r="F99" s="49"/>
      <c r="G99" s="49"/>
      <c r="H99" s="49"/>
      <c r="I99" s="49"/>
      <c r="J99" s="49"/>
      <c r="K99" s="49"/>
      <c r="L99" s="21"/>
      <c r="M99" s="21"/>
    </row>
    <row r="100" spans="1:13" x14ac:dyDescent="0.35">
      <c r="A100" s="48" t="s">
        <v>362</v>
      </c>
      <c r="B100" s="48"/>
      <c r="C100" s="49"/>
      <c r="D100" s="49"/>
      <c r="E100" s="49"/>
      <c r="F100" s="49"/>
      <c r="G100" s="49"/>
      <c r="H100" s="49"/>
      <c r="I100" s="49"/>
      <c r="J100" s="49"/>
      <c r="K100" s="49"/>
      <c r="L100" s="21"/>
      <c r="M100" s="21"/>
    </row>
    <row r="101" spans="1:13" x14ac:dyDescent="0.35">
      <c r="A101" s="48" t="s">
        <v>363</v>
      </c>
      <c r="B101" s="48"/>
      <c r="C101" s="49"/>
      <c r="D101" s="49"/>
      <c r="E101" s="49"/>
      <c r="F101" s="49"/>
      <c r="G101" s="49"/>
      <c r="H101" s="49"/>
      <c r="I101" s="49"/>
      <c r="J101" s="49"/>
      <c r="K101" s="49"/>
      <c r="L101" s="21"/>
      <c r="M101" s="21"/>
    </row>
    <row r="102" spans="1:13" x14ac:dyDescent="0.35">
      <c r="A102" s="48" t="s">
        <v>364</v>
      </c>
      <c r="B102" s="48"/>
      <c r="C102" s="49"/>
      <c r="D102" s="49"/>
      <c r="E102" s="49"/>
      <c r="F102" s="49"/>
      <c r="G102" s="49"/>
      <c r="H102" s="49"/>
      <c r="I102" s="49"/>
      <c r="J102" s="49"/>
      <c r="K102" s="49"/>
      <c r="L102" s="21"/>
      <c r="M102" s="21"/>
    </row>
    <row r="103" spans="1:13" x14ac:dyDescent="0.35">
      <c r="A103" s="48" t="s">
        <v>365</v>
      </c>
      <c r="B103" s="48"/>
      <c r="C103" s="49"/>
      <c r="D103" s="49"/>
      <c r="E103" s="49"/>
      <c r="F103" s="49"/>
      <c r="G103" s="49"/>
      <c r="H103" s="49"/>
      <c r="I103" s="49"/>
      <c r="J103" s="49"/>
      <c r="K103" s="49"/>
      <c r="L103" s="21"/>
      <c r="M103" s="21"/>
    </row>
    <row r="104" spans="1:13" x14ac:dyDescent="0.35">
      <c r="A104" s="40"/>
      <c r="B104" s="40"/>
      <c r="C104" s="21"/>
      <c r="D104" s="21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ht="15.5" x14ac:dyDescent="0.35">
      <c r="A105" s="50" t="s">
        <v>559</v>
      </c>
      <c r="B105" s="50"/>
      <c r="C105" s="50"/>
      <c r="D105" s="50"/>
      <c r="E105" s="50"/>
      <c r="F105" s="50"/>
      <c r="G105" s="50"/>
      <c r="H105" s="50"/>
      <c r="I105" s="50"/>
      <c r="J105" s="50"/>
      <c r="K105" s="50"/>
      <c r="L105" s="21"/>
      <c r="M105" s="21"/>
    </row>
    <row r="106" spans="1:13" x14ac:dyDescent="0.35">
      <c r="A106" s="51" t="s">
        <v>560</v>
      </c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21"/>
      <c r="M106" s="21"/>
    </row>
    <row r="107" spans="1:13" x14ac:dyDescent="0.35">
      <c r="A107" s="40"/>
      <c r="B107" s="40"/>
      <c r="C107" s="21"/>
      <c r="D107" s="21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x14ac:dyDescent="0.35">
      <c r="A108" s="22" t="s">
        <v>561</v>
      </c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1"/>
      <c r="M108" s="21"/>
    </row>
    <row r="109" spans="1:13" x14ac:dyDescent="0.35">
      <c r="A109" s="52" t="s">
        <v>562</v>
      </c>
      <c r="B109" s="52" t="s">
        <v>248</v>
      </c>
      <c r="C109" s="53" t="s">
        <v>563</v>
      </c>
      <c r="D109" s="53" t="s">
        <v>564</v>
      </c>
      <c r="E109" s="53" t="s">
        <v>565</v>
      </c>
      <c r="F109" s="53" t="s">
        <v>5</v>
      </c>
      <c r="G109" s="21"/>
      <c r="H109" s="21"/>
      <c r="I109" s="21"/>
      <c r="J109" s="21"/>
      <c r="K109" s="21"/>
      <c r="L109" s="21"/>
      <c r="M109" s="21"/>
    </row>
    <row r="110" spans="1:13" x14ac:dyDescent="0.35">
      <c r="A110" s="40" t="s">
        <v>566</v>
      </c>
      <c r="B110" s="10">
        <v>0.15</v>
      </c>
      <c r="C110" s="3"/>
      <c r="D110" s="3"/>
      <c r="E110" s="3"/>
      <c r="F110" s="21" t="s">
        <v>567</v>
      </c>
      <c r="G110" s="21"/>
      <c r="H110" s="21"/>
      <c r="I110" s="21"/>
      <c r="J110" s="21"/>
      <c r="K110" s="21"/>
      <c r="L110" s="21"/>
      <c r="M110" s="21"/>
    </row>
    <row r="111" spans="1:13" x14ac:dyDescent="0.35">
      <c r="A111" s="40" t="s">
        <v>568</v>
      </c>
      <c r="B111" s="10">
        <v>0.15</v>
      </c>
      <c r="C111" s="3"/>
      <c r="D111" s="3"/>
      <c r="E111" s="3"/>
      <c r="F111" s="21" t="s">
        <v>569</v>
      </c>
      <c r="G111" s="21"/>
      <c r="H111" s="21"/>
      <c r="I111" s="21"/>
      <c r="J111" s="21"/>
      <c r="K111" s="21"/>
      <c r="L111" s="21"/>
      <c r="M111" s="21"/>
    </row>
    <row r="112" spans="1:13" x14ac:dyDescent="0.35">
      <c r="A112" s="40" t="s">
        <v>570</v>
      </c>
      <c r="B112" s="10">
        <v>0.1</v>
      </c>
      <c r="C112" s="3"/>
      <c r="D112" s="3"/>
      <c r="E112" s="3"/>
      <c r="F112" s="21" t="s">
        <v>571</v>
      </c>
      <c r="G112" s="21"/>
      <c r="H112" s="21"/>
      <c r="I112" s="21"/>
      <c r="J112" s="21"/>
      <c r="K112" s="21"/>
      <c r="L112" s="21"/>
      <c r="M112" s="21"/>
    </row>
    <row r="113" spans="1:13" x14ac:dyDescent="0.35">
      <c r="A113" s="40" t="s">
        <v>572</v>
      </c>
      <c r="B113" s="10">
        <v>0.1</v>
      </c>
      <c r="C113" s="3"/>
      <c r="D113" s="3"/>
      <c r="E113" s="3"/>
      <c r="F113" s="21" t="s">
        <v>573</v>
      </c>
      <c r="G113" s="21"/>
      <c r="H113" s="21"/>
      <c r="I113" s="21"/>
      <c r="J113" s="21"/>
      <c r="K113" s="21"/>
      <c r="L113" s="21"/>
      <c r="M113" s="21"/>
    </row>
    <row r="114" spans="1:13" x14ac:dyDescent="0.35">
      <c r="A114" s="40" t="s">
        <v>574</v>
      </c>
      <c r="B114" s="10">
        <v>0.1</v>
      </c>
      <c r="C114" s="3"/>
      <c r="D114" s="3"/>
      <c r="E114" s="3"/>
      <c r="F114" s="21" t="s">
        <v>575</v>
      </c>
      <c r="G114" s="21"/>
      <c r="H114" s="21"/>
      <c r="I114" s="21"/>
      <c r="J114" s="21"/>
      <c r="K114" s="21"/>
      <c r="L114" s="21"/>
      <c r="M114" s="21"/>
    </row>
    <row r="115" spans="1:13" x14ac:dyDescent="0.35">
      <c r="A115" s="40" t="s">
        <v>576</v>
      </c>
      <c r="B115" s="10">
        <v>0.1</v>
      </c>
      <c r="C115" s="3"/>
      <c r="D115" s="3"/>
      <c r="E115" s="3"/>
      <c r="F115" s="21" t="s">
        <v>577</v>
      </c>
      <c r="G115" s="21"/>
      <c r="H115" s="21"/>
      <c r="I115" s="21"/>
      <c r="J115" s="21"/>
      <c r="K115" s="21"/>
      <c r="L115" s="21"/>
      <c r="M115" s="21"/>
    </row>
    <row r="116" spans="1:13" x14ac:dyDescent="0.35">
      <c r="A116" s="40" t="s">
        <v>578</v>
      </c>
      <c r="B116" s="10">
        <v>0.1</v>
      </c>
      <c r="C116" s="3"/>
      <c r="D116" s="3"/>
      <c r="E116" s="3"/>
      <c r="F116" s="21" t="s">
        <v>579</v>
      </c>
      <c r="G116" s="21"/>
      <c r="H116" s="21"/>
      <c r="I116" s="21"/>
      <c r="J116" s="21"/>
      <c r="K116" s="21"/>
      <c r="L116" s="21"/>
      <c r="M116" s="21"/>
    </row>
    <row r="117" spans="1:13" x14ac:dyDescent="0.35">
      <c r="A117" s="40" t="s">
        <v>580</v>
      </c>
      <c r="B117" s="10">
        <v>0.1</v>
      </c>
      <c r="C117" s="3"/>
      <c r="D117" s="3"/>
      <c r="E117" s="3"/>
      <c r="F117" s="21" t="s">
        <v>581</v>
      </c>
      <c r="G117" s="21"/>
      <c r="H117" s="21"/>
      <c r="I117" s="21"/>
      <c r="J117" s="21"/>
      <c r="K117" s="21"/>
      <c r="L117" s="21"/>
      <c r="M117" s="21"/>
    </row>
    <row r="118" spans="1:13" x14ac:dyDescent="0.35">
      <c r="A118" s="40" t="s">
        <v>582</v>
      </c>
      <c r="B118" s="10">
        <v>0.1</v>
      </c>
      <c r="C118" s="3"/>
      <c r="D118" s="3"/>
      <c r="E118" s="3"/>
      <c r="F118" s="21" t="s">
        <v>583</v>
      </c>
      <c r="G118" s="21"/>
      <c r="H118" s="21"/>
      <c r="I118" s="21"/>
      <c r="J118" s="21"/>
      <c r="K118" s="21"/>
      <c r="L118" s="21"/>
      <c r="M118" s="21"/>
    </row>
    <row r="119" spans="1:13" x14ac:dyDescent="0.35">
      <c r="A119" s="54" t="s">
        <v>584</v>
      </c>
      <c r="B119" s="12">
        <v>1</v>
      </c>
      <c r="C119" s="4">
        <v>0</v>
      </c>
      <c r="D119" s="4">
        <v>0</v>
      </c>
      <c r="E119" s="4">
        <v>0</v>
      </c>
      <c r="F119" s="55" t="s">
        <v>585</v>
      </c>
      <c r="G119" s="21"/>
      <c r="H119" s="21"/>
      <c r="I119" s="21"/>
      <c r="J119" s="21"/>
      <c r="K119" s="21"/>
      <c r="L119" s="21"/>
      <c r="M119" s="21"/>
    </row>
    <row r="120" spans="1:13" x14ac:dyDescent="0.35">
      <c r="A120" s="40"/>
      <c r="B120" s="40"/>
      <c r="C120" s="21"/>
      <c r="D120" s="21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x14ac:dyDescent="0.35">
      <c r="A121" s="56" t="s">
        <v>586</v>
      </c>
      <c r="B121" s="56"/>
      <c r="C121" s="56"/>
      <c r="D121" s="56"/>
      <c r="E121" s="56"/>
      <c r="F121" s="56"/>
      <c r="G121" s="56"/>
      <c r="H121" s="56"/>
      <c r="I121" s="56"/>
      <c r="J121" s="56"/>
      <c r="K121" s="56"/>
      <c r="L121" s="21"/>
      <c r="M121" s="21"/>
    </row>
    <row r="122" spans="1:13" x14ac:dyDescent="0.35">
      <c r="A122" s="57" t="s">
        <v>562</v>
      </c>
      <c r="B122" s="57" t="s">
        <v>248</v>
      </c>
      <c r="C122" s="58" t="s">
        <v>735</v>
      </c>
      <c r="D122" s="58" t="s">
        <v>736</v>
      </c>
      <c r="E122" s="58" t="s">
        <v>737</v>
      </c>
      <c r="F122" s="58" t="s">
        <v>5</v>
      </c>
      <c r="G122" s="21"/>
      <c r="H122" s="21"/>
      <c r="I122" s="21"/>
      <c r="J122" s="21"/>
      <c r="K122" s="21"/>
      <c r="L122" s="21"/>
      <c r="M122" s="21"/>
    </row>
    <row r="123" spans="1:13" x14ac:dyDescent="0.35">
      <c r="A123" s="40" t="s">
        <v>587</v>
      </c>
      <c r="B123" s="10">
        <v>0.15</v>
      </c>
      <c r="C123" s="25"/>
      <c r="D123" s="25"/>
      <c r="E123" s="25"/>
      <c r="F123" s="21" t="s">
        <v>588</v>
      </c>
      <c r="G123" s="21"/>
      <c r="H123" s="21"/>
      <c r="I123" s="21"/>
      <c r="J123" s="21"/>
      <c r="K123" s="21"/>
      <c r="L123" s="21"/>
      <c r="M123" s="21"/>
    </row>
    <row r="124" spans="1:13" x14ac:dyDescent="0.35">
      <c r="A124" s="40" t="s">
        <v>589</v>
      </c>
      <c r="B124" s="10">
        <v>0.2</v>
      </c>
      <c r="C124" s="25"/>
      <c r="D124" s="25"/>
      <c r="E124" s="25"/>
      <c r="F124" s="21" t="s">
        <v>590</v>
      </c>
      <c r="G124" s="21"/>
      <c r="H124" s="21"/>
      <c r="I124" s="21"/>
      <c r="J124" s="21"/>
      <c r="K124" s="21"/>
      <c r="L124" s="21"/>
      <c r="M124" s="21"/>
    </row>
    <row r="125" spans="1:13" x14ac:dyDescent="0.35">
      <c r="A125" s="40" t="s">
        <v>591</v>
      </c>
      <c r="B125" s="10">
        <v>0.15</v>
      </c>
      <c r="C125" s="25"/>
      <c r="D125" s="25"/>
      <c r="E125" s="25"/>
      <c r="F125" s="21" t="s">
        <v>592</v>
      </c>
      <c r="G125" s="21"/>
      <c r="H125" s="21"/>
      <c r="I125" s="21"/>
      <c r="J125" s="21"/>
      <c r="K125" s="21"/>
      <c r="L125" s="21"/>
      <c r="M125" s="21"/>
    </row>
    <row r="126" spans="1:13" x14ac:dyDescent="0.35">
      <c r="A126" s="40" t="s">
        <v>593</v>
      </c>
      <c r="B126" s="10">
        <v>0.3</v>
      </c>
      <c r="C126" s="25"/>
      <c r="D126" s="25"/>
      <c r="E126" s="25"/>
      <c r="F126" s="21" t="s">
        <v>594</v>
      </c>
      <c r="G126" s="21"/>
      <c r="H126" s="21"/>
      <c r="I126" s="21"/>
      <c r="J126" s="21"/>
      <c r="K126" s="21"/>
      <c r="L126" s="21"/>
      <c r="M126" s="21"/>
    </row>
    <row r="127" spans="1:13" x14ac:dyDescent="0.35">
      <c r="A127" s="40" t="s">
        <v>595</v>
      </c>
      <c r="B127" s="10">
        <v>0.1</v>
      </c>
      <c r="C127" s="25"/>
      <c r="D127" s="25"/>
      <c r="E127" s="25"/>
      <c r="F127" s="21" t="s">
        <v>596</v>
      </c>
      <c r="G127" s="21"/>
      <c r="H127" s="21"/>
      <c r="I127" s="21"/>
      <c r="J127" s="21"/>
      <c r="K127" s="21"/>
      <c r="L127" s="21"/>
      <c r="M127" s="21"/>
    </row>
    <row r="128" spans="1:13" x14ac:dyDescent="0.35">
      <c r="A128" s="40" t="s">
        <v>597</v>
      </c>
      <c r="B128" s="10">
        <v>0.1</v>
      </c>
      <c r="C128" s="25"/>
      <c r="D128" s="25"/>
      <c r="E128" s="25"/>
      <c r="F128" s="21" t="s">
        <v>598</v>
      </c>
      <c r="G128" s="21"/>
      <c r="H128" s="21"/>
      <c r="I128" s="21"/>
      <c r="J128" s="21"/>
      <c r="K128" s="21"/>
      <c r="L128" s="21"/>
      <c r="M128" s="21"/>
    </row>
    <row r="129" spans="1:13" x14ac:dyDescent="0.35">
      <c r="A129" s="59" t="s">
        <v>738</v>
      </c>
      <c r="B129" s="13">
        <v>1</v>
      </c>
      <c r="C129" s="60">
        <v>0</v>
      </c>
      <c r="D129" s="60">
        <v>0</v>
      </c>
      <c r="E129" s="60">
        <v>0</v>
      </c>
      <c r="F129" s="61" t="s">
        <v>599</v>
      </c>
      <c r="G129" s="21"/>
      <c r="H129" s="21"/>
      <c r="I129" s="21"/>
      <c r="J129" s="21"/>
      <c r="K129" s="21"/>
      <c r="L129" s="21"/>
      <c r="M129" s="21"/>
    </row>
    <row r="130" spans="1:13" x14ac:dyDescent="0.35">
      <c r="A130" s="46" t="s">
        <v>600</v>
      </c>
      <c r="B130" s="46"/>
      <c r="C130" s="5">
        <v>0</v>
      </c>
      <c r="D130" s="5">
        <v>0</v>
      </c>
      <c r="E130" s="5">
        <v>0</v>
      </c>
      <c r="F130" s="47" t="s">
        <v>601</v>
      </c>
      <c r="G130" s="21"/>
      <c r="H130" s="21"/>
      <c r="I130" s="21"/>
      <c r="J130" s="21"/>
      <c r="K130" s="21"/>
      <c r="L130" s="21"/>
      <c r="M130" s="21"/>
    </row>
    <row r="131" spans="1:13" x14ac:dyDescent="0.35">
      <c r="A131" s="40"/>
      <c r="B131" s="40"/>
      <c r="C131" s="21"/>
      <c r="D131" s="21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x14ac:dyDescent="0.35">
      <c r="A132" s="62" t="s">
        <v>602</v>
      </c>
      <c r="B132" s="62"/>
      <c r="C132" s="62"/>
      <c r="D132" s="62"/>
      <c r="E132" s="62"/>
      <c r="F132" s="62"/>
      <c r="G132" s="62"/>
      <c r="H132" s="62"/>
      <c r="I132" s="62"/>
      <c r="J132" s="62"/>
      <c r="K132" s="62"/>
      <c r="L132" s="21"/>
      <c r="M132" s="21"/>
    </row>
    <row r="133" spans="1:13" x14ac:dyDescent="0.35">
      <c r="A133" s="63" t="s">
        <v>562</v>
      </c>
      <c r="B133" s="63" t="s">
        <v>248</v>
      </c>
      <c r="C133" s="64" t="s">
        <v>563</v>
      </c>
      <c r="D133" s="64" t="s">
        <v>564</v>
      </c>
      <c r="E133" s="64" t="s">
        <v>565</v>
      </c>
      <c r="F133" s="64" t="s">
        <v>5</v>
      </c>
      <c r="G133" s="21"/>
      <c r="H133" s="21"/>
      <c r="I133" s="21"/>
      <c r="J133" s="21"/>
      <c r="K133" s="21"/>
      <c r="L133" s="21"/>
      <c r="M133" s="21"/>
    </row>
    <row r="134" spans="1:13" x14ac:dyDescent="0.35">
      <c r="A134" s="40" t="s">
        <v>603</v>
      </c>
      <c r="B134" s="10">
        <v>0.2</v>
      </c>
      <c r="C134" s="3"/>
      <c r="D134" s="3"/>
      <c r="E134" s="3"/>
      <c r="F134" s="21" t="s">
        <v>604</v>
      </c>
      <c r="G134" s="21"/>
      <c r="H134" s="21"/>
      <c r="I134" s="21"/>
      <c r="J134" s="21"/>
      <c r="K134" s="21"/>
      <c r="L134" s="21"/>
      <c r="M134" s="21"/>
    </row>
    <row r="135" spans="1:13" x14ac:dyDescent="0.35">
      <c r="A135" s="40" t="s">
        <v>605</v>
      </c>
      <c r="B135" s="10">
        <v>0.2</v>
      </c>
      <c r="C135" s="3"/>
      <c r="D135" s="3"/>
      <c r="E135" s="3"/>
      <c r="F135" s="21" t="s">
        <v>606</v>
      </c>
      <c r="G135" s="21"/>
      <c r="H135" s="21"/>
      <c r="I135" s="21"/>
      <c r="J135" s="21"/>
      <c r="K135" s="21"/>
      <c r="L135" s="21"/>
      <c r="M135" s="21"/>
    </row>
    <row r="136" spans="1:13" x14ac:dyDescent="0.35">
      <c r="A136" s="40" t="s">
        <v>607</v>
      </c>
      <c r="B136" s="10">
        <v>0.15</v>
      </c>
      <c r="C136" s="3"/>
      <c r="D136" s="3"/>
      <c r="E136" s="3"/>
      <c r="F136" s="21" t="s">
        <v>608</v>
      </c>
      <c r="G136" s="21"/>
      <c r="H136" s="21"/>
      <c r="I136" s="21"/>
      <c r="J136" s="21"/>
      <c r="K136" s="21"/>
      <c r="L136" s="21"/>
      <c r="M136" s="21"/>
    </row>
    <row r="137" spans="1:13" x14ac:dyDescent="0.35">
      <c r="A137" s="40" t="s">
        <v>609</v>
      </c>
      <c r="B137" s="10">
        <v>0.1</v>
      </c>
      <c r="C137" s="3"/>
      <c r="D137" s="3"/>
      <c r="E137" s="3"/>
      <c r="F137" s="21" t="s">
        <v>610</v>
      </c>
      <c r="G137" s="21"/>
      <c r="H137" s="21"/>
      <c r="I137" s="21"/>
      <c r="J137" s="21"/>
      <c r="K137" s="21"/>
      <c r="L137" s="21"/>
      <c r="M137" s="21"/>
    </row>
    <row r="138" spans="1:13" x14ac:dyDescent="0.35">
      <c r="A138" s="40" t="s">
        <v>611</v>
      </c>
      <c r="B138" s="10">
        <v>0.1</v>
      </c>
      <c r="C138" s="3"/>
      <c r="D138" s="3"/>
      <c r="E138" s="3"/>
      <c r="F138" s="21" t="s">
        <v>612</v>
      </c>
      <c r="G138" s="21"/>
      <c r="H138" s="21"/>
      <c r="I138" s="21"/>
      <c r="J138" s="21"/>
      <c r="K138" s="21"/>
      <c r="L138" s="21"/>
      <c r="M138" s="21"/>
    </row>
    <row r="139" spans="1:13" x14ac:dyDescent="0.35">
      <c r="A139" s="40" t="s">
        <v>613</v>
      </c>
      <c r="B139" s="10">
        <v>0.15</v>
      </c>
      <c r="C139" s="3"/>
      <c r="D139" s="3"/>
      <c r="E139" s="3"/>
      <c r="F139" s="21" t="s">
        <v>614</v>
      </c>
      <c r="G139" s="21"/>
      <c r="H139" s="21"/>
      <c r="I139" s="21"/>
      <c r="J139" s="21"/>
      <c r="K139" s="21"/>
      <c r="L139" s="21"/>
      <c r="M139" s="21"/>
    </row>
    <row r="140" spans="1:13" x14ac:dyDescent="0.35">
      <c r="A140" s="40" t="s">
        <v>615</v>
      </c>
      <c r="B140" s="10">
        <v>0.1</v>
      </c>
      <c r="C140" s="3"/>
      <c r="D140" s="3"/>
      <c r="E140" s="3"/>
      <c r="F140" s="21" t="s">
        <v>616</v>
      </c>
      <c r="G140" s="21"/>
      <c r="H140" s="21"/>
      <c r="I140" s="21"/>
      <c r="J140" s="21"/>
      <c r="K140" s="21"/>
      <c r="L140" s="21"/>
      <c r="M140" s="21"/>
    </row>
    <row r="141" spans="1:13" x14ac:dyDescent="0.35">
      <c r="A141" s="65" t="s">
        <v>617</v>
      </c>
      <c r="B141" s="14">
        <v>1</v>
      </c>
      <c r="C141" s="6">
        <v>0</v>
      </c>
      <c r="D141" s="6">
        <v>0</v>
      </c>
      <c r="E141" s="6">
        <v>0</v>
      </c>
      <c r="F141" s="66" t="s">
        <v>585</v>
      </c>
      <c r="G141" s="21"/>
      <c r="H141" s="21"/>
      <c r="I141" s="21"/>
      <c r="J141" s="21"/>
      <c r="K141" s="21"/>
      <c r="L141" s="21"/>
      <c r="M141" s="21"/>
    </row>
    <row r="142" spans="1:13" x14ac:dyDescent="0.35">
      <c r="A142" s="40"/>
      <c r="B142" s="40"/>
      <c r="C142" s="21"/>
      <c r="D142" s="21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x14ac:dyDescent="0.35">
      <c r="A143" s="27" t="s">
        <v>618</v>
      </c>
      <c r="B143" s="27"/>
      <c r="C143" s="27"/>
      <c r="D143" s="27"/>
      <c r="E143" s="27"/>
      <c r="F143" s="27"/>
      <c r="G143" s="27"/>
      <c r="H143" s="27"/>
      <c r="I143" s="27"/>
      <c r="J143" s="27"/>
      <c r="K143" s="27"/>
      <c r="L143" s="21"/>
      <c r="M143" s="21"/>
    </row>
    <row r="144" spans="1:13" x14ac:dyDescent="0.35">
      <c r="A144" s="67" t="s">
        <v>562</v>
      </c>
      <c r="B144" s="67" t="s">
        <v>619</v>
      </c>
      <c r="C144" s="68" t="s">
        <v>620</v>
      </c>
      <c r="D144" s="68" t="s">
        <v>621</v>
      </c>
      <c r="E144" s="68" t="s">
        <v>622</v>
      </c>
      <c r="F144" s="68" t="s">
        <v>5</v>
      </c>
      <c r="G144" s="21"/>
      <c r="H144" s="21"/>
      <c r="I144" s="21"/>
      <c r="J144" s="21"/>
      <c r="K144" s="21"/>
      <c r="L144" s="21"/>
      <c r="M144" s="21"/>
    </row>
    <row r="145" spans="1:13" x14ac:dyDescent="0.35">
      <c r="A145" s="40" t="s">
        <v>623</v>
      </c>
      <c r="B145" s="40"/>
      <c r="C145" s="21"/>
      <c r="D145" s="21"/>
      <c r="E145" s="21"/>
      <c r="F145" s="21" t="s">
        <v>624</v>
      </c>
      <c r="G145" s="21"/>
      <c r="H145" s="21"/>
      <c r="I145" s="21"/>
      <c r="J145" s="21"/>
      <c r="K145" s="21"/>
      <c r="L145" s="21"/>
      <c r="M145" s="21"/>
    </row>
    <row r="146" spans="1:13" x14ac:dyDescent="0.35">
      <c r="A146" s="40" t="s">
        <v>625</v>
      </c>
      <c r="B146" s="40"/>
      <c r="C146" s="21"/>
      <c r="D146" s="21"/>
      <c r="E146" s="21"/>
      <c r="F146" s="21" t="s">
        <v>626</v>
      </c>
      <c r="G146" s="21"/>
      <c r="H146" s="21"/>
      <c r="I146" s="21"/>
      <c r="J146" s="21"/>
      <c r="K146" s="21"/>
      <c r="L146" s="21"/>
      <c r="M146" s="21"/>
    </row>
    <row r="147" spans="1:13" x14ac:dyDescent="0.35">
      <c r="A147" s="40" t="s">
        <v>627</v>
      </c>
      <c r="B147" s="40"/>
      <c r="C147" s="21"/>
      <c r="D147" s="21"/>
      <c r="E147" s="21"/>
      <c r="F147" s="21" t="s">
        <v>628</v>
      </c>
      <c r="G147" s="21"/>
      <c r="H147" s="21"/>
      <c r="I147" s="21"/>
      <c r="J147" s="21"/>
      <c r="K147" s="21"/>
      <c r="L147" s="21"/>
      <c r="M147" s="21"/>
    </row>
    <row r="148" spans="1:13" x14ac:dyDescent="0.35">
      <c r="A148" s="40" t="s">
        <v>629</v>
      </c>
      <c r="B148" s="40"/>
      <c r="C148" s="21"/>
      <c r="D148" s="21"/>
      <c r="E148" s="21"/>
      <c r="F148" s="21" t="s">
        <v>630</v>
      </c>
      <c r="G148" s="21"/>
      <c r="H148" s="21"/>
      <c r="I148" s="21"/>
      <c r="J148" s="21"/>
      <c r="K148" s="21"/>
      <c r="L148" s="21"/>
      <c r="M148" s="21"/>
    </row>
    <row r="149" spans="1:13" x14ac:dyDescent="0.35">
      <c r="A149" s="40" t="s">
        <v>631</v>
      </c>
      <c r="B149" s="40"/>
      <c r="C149" s="21"/>
      <c r="D149" s="21"/>
      <c r="E149" s="21"/>
      <c r="F149" s="21" t="s">
        <v>632</v>
      </c>
      <c r="G149" s="21"/>
      <c r="H149" s="21"/>
      <c r="I149" s="21"/>
      <c r="J149" s="21"/>
      <c r="K149" s="21"/>
      <c r="L149" s="21"/>
      <c r="M149" s="21"/>
    </row>
    <row r="150" spans="1:13" x14ac:dyDescent="0.35">
      <c r="A150" s="40" t="s">
        <v>633</v>
      </c>
      <c r="B150" s="40"/>
      <c r="C150" s="21"/>
      <c r="D150" s="21"/>
      <c r="E150" s="21"/>
      <c r="F150" s="21" t="s">
        <v>634</v>
      </c>
      <c r="G150" s="21"/>
      <c r="H150" s="21"/>
      <c r="I150" s="21"/>
      <c r="J150" s="21"/>
      <c r="K150" s="21"/>
      <c r="L150" s="21"/>
      <c r="M150" s="21"/>
    </row>
    <row r="151" spans="1:13" x14ac:dyDescent="0.35">
      <c r="A151" s="40" t="s">
        <v>635</v>
      </c>
      <c r="B151" s="40"/>
      <c r="C151" s="21"/>
      <c r="D151" s="21"/>
      <c r="E151" s="21"/>
      <c r="F151" s="21" t="s">
        <v>636</v>
      </c>
      <c r="G151" s="21"/>
      <c r="H151" s="21"/>
      <c r="I151" s="21"/>
      <c r="J151" s="21"/>
      <c r="K151" s="21"/>
      <c r="L151" s="21"/>
      <c r="M151" s="21"/>
    </row>
    <row r="152" spans="1:13" x14ac:dyDescent="0.35">
      <c r="A152" s="69" t="s">
        <v>637</v>
      </c>
      <c r="B152" s="69"/>
      <c r="C152" s="7">
        <v>0</v>
      </c>
      <c r="D152" s="7">
        <v>0</v>
      </c>
      <c r="E152" s="7">
        <v>0</v>
      </c>
      <c r="F152" s="70" t="s">
        <v>638</v>
      </c>
      <c r="G152" s="21"/>
      <c r="H152" s="21"/>
      <c r="I152" s="21"/>
      <c r="J152" s="21"/>
      <c r="K152" s="21"/>
      <c r="L152" s="21"/>
      <c r="M152" s="21"/>
    </row>
    <row r="153" spans="1:13" x14ac:dyDescent="0.35">
      <c r="A153" s="40"/>
      <c r="B153" s="40"/>
      <c r="C153" s="21"/>
      <c r="D153" s="21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x14ac:dyDescent="0.35">
      <c r="A154" s="71" t="s">
        <v>639</v>
      </c>
      <c r="B154" s="71"/>
      <c r="C154" s="71"/>
      <c r="D154" s="71"/>
      <c r="E154" s="71"/>
      <c r="F154" s="71"/>
      <c r="G154" s="71"/>
      <c r="H154" s="71"/>
      <c r="I154" s="71"/>
      <c r="J154" s="71"/>
      <c r="K154" s="71"/>
      <c r="L154" s="21"/>
      <c r="M154" s="21"/>
    </row>
    <row r="155" spans="1:13" x14ac:dyDescent="0.35">
      <c r="A155" s="52" t="s">
        <v>1</v>
      </c>
      <c r="B155" s="52" t="s">
        <v>248</v>
      </c>
      <c r="C155" s="53" t="s">
        <v>640</v>
      </c>
      <c r="D155" s="53" t="s">
        <v>641</v>
      </c>
      <c r="E155" s="53" t="s">
        <v>642</v>
      </c>
      <c r="F155" s="53" t="s">
        <v>643</v>
      </c>
      <c r="G155" s="21"/>
      <c r="H155" s="21"/>
      <c r="I155" s="21"/>
      <c r="J155" s="21"/>
      <c r="K155" s="21"/>
      <c r="L155" s="21"/>
      <c r="M155" s="21"/>
    </row>
    <row r="156" spans="1:13" x14ac:dyDescent="0.35">
      <c r="A156" s="40" t="s">
        <v>644</v>
      </c>
      <c r="B156" s="10">
        <v>0.35</v>
      </c>
      <c r="C156" s="3">
        <v>0</v>
      </c>
      <c r="D156" s="3">
        <v>0</v>
      </c>
      <c r="E156" s="3">
        <v>0</v>
      </c>
      <c r="F156" s="21" t="s">
        <v>645</v>
      </c>
      <c r="G156" s="21"/>
      <c r="H156" s="21"/>
      <c r="I156" s="21"/>
      <c r="J156" s="21"/>
      <c r="K156" s="21"/>
      <c r="L156" s="21"/>
      <c r="M156" s="21"/>
    </row>
    <row r="157" spans="1:13" x14ac:dyDescent="0.35">
      <c r="A157" s="40" t="s">
        <v>646</v>
      </c>
      <c r="B157" s="10">
        <v>0.3</v>
      </c>
      <c r="C157" s="3">
        <v>0</v>
      </c>
      <c r="D157" s="3">
        <v>0</v>
      </c>
      <c r="E157" s="3">
        <v>0</v>
      </c>
      <c r="F157" s="21" t="s">
        <v>647</v>
      </c>
      <c r="G157" s="21"/>
      <c r="H157" s="21"/>
      <c r="I157" s="21"/>
      <c r="J157" s="21"/>
      <c r="K157" s="21"/>
      <c r="L157" s="21"/>
      <c r="M157" s="21"/>
    </row>
    <row r="158" spans="1:13" x14ac:dyDescent="0.35">
      <c r="A158" s="40" t="s">
        <v>648</v>
      </c>
      <c r="B158" s="10">
        <v>0.2</v>
      </c>
      <c r="C158" s="3">
        <v>0</v>
      </c>
      <c r="D158" s="3">
        <v>0</v>
      </c>
      <c r="E158" s="3">
        <v>0</v>
      </c>
      <c r="F158" s="21" t="s">
        <v>649</v>
      </c>
      <c r="G158" s="21"/>
      <c r="H158" s="21"/>
      <c r="I158" s="21"/>
      <c r="J158" s="21"/>
      <c r="K158" s="21"/>
      <c r="L158" s="21"/>
      <c r="M158" s="21"/>
    </row>
    <row r="159" spans="1:13" x14ac:dyDescent="0.35">
      <c r="A159" s="40" t="s">
        <v>650</v>
      </c>
      <c r="B159" s="10">
        <v>0.15</v>
      </c>
      <c r="C159" s="3">
        <v>0</v>
      </c>
      <c r="D159" s="3">
        <v>0</v>
      </c>
      <c r="E159" s="3">
        <v>0</v>
      </c>
      <c r="F159" s="21" t="s">
        <v>651</v>
      </c>
      <c r="G159" s="21"/>
      <c r="H159" s="21"/>
      <c r="I159" s="21"/>
      <c r="J159" s="21"/>
      <c r="K159" s="21"/>
      <c r="L159" s="21"/>
      <c r="M159" s="21"/>
    </row>
    <row r="160" spans="1:13" x14ac:dyDescent="0.35">
      <c r="A160" s="72" t="s">
        <v>652</v>
      </c>
      <c r="B160" s="15">
        <v>1</v>
      </c>
      <c r="C160" s="8">
        <v>0</v>
      </c>
      <c r="D160" s="8">
        <v>0</v>
      </c>
      <c r="E160" s="8">
        <v>0</v>
      </c>
      <c r="F160" s="73" t="s">
        <v>585</v>
      </c>
      <c r="G160" s="21"/>
      <c r="H160" s="21"/>
      <c r="I160" s="21"/>
      <c r="J160" s="21"/>
      <c r="K160" s="21"/>
      <c r="L160" s="21"/>
      <c r="M160" s="21"/>
    </row>
    <row r="161" spans="1:13" x14ac:dyDescent="0.35">
      <c r="A161" s="40"/>
      <c r="B161" s="40"/>
      <c r="C161" s="21"/>
      <c r="D161" s="21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x14ac:dyDescent="0.35">
      <c r="A162" s="74" t="s">
        <v>653</v>
      </c>
      <c r="B162" s="74"/>
      <c r="C162" s="74"/>
      <c r="D162" s="74"/>
      <c r="E162" s="74"/>
      <c r="F162" s="74"/>
      <c r="G162" s="74"/>
      <c r="H162" s="74"/>
      <c r="I162" s="74"/>
      <c r="J162" s="74"/>
      <c r="K162" s="74"/>
      <c r="L162" s="21"/>
      <c r="M162" s="21"/>
    </row>
    <row r="163" spans="1:13" x14ac:dyDescent="0.35">
      <c r="A163" s="57" t="s">
        <v>340</v>
      </c>
      <c r="B163" s="57" t="s">
        <v>654</v>
      </c>
      <c r="C163" s="58" t="s">
        <v>78</v>
      </c>
      <c r="D163" s="58" t="s">
        <v>5</v>
      </c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x14ac:dyDescent="0.35">
      <c r="A164" s="40" t="s">
        <v>655</v>
      </c>
      <c r="B164" s="40"/>
      <c r="C164" s="21" t="s">
        <v>656</v>
      </c>
      <c r="D164" s="21" t="s">
        <v>657</v>
      </c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x14ac:dyDescent="0.35">
      <c r="A165" s="40" t="s">
        <v>658</v>
      </c>
      <c r="B165" s="40"/>
      <c r="C165" s="21" t="s">
        <v>659</v>
      </c>
      <c r="D165" s="21" t="s">
        <v>660</v>
      </c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x14ac:dyDescent="0.35">
      <c r="A166" s="40" t="s">
        <v>295</v>
      </c>
      <c r="B166" s="40"/>
      <c r="C166" s="21" t="s">
        <v>661</v>
      </c>
      <c r="D166" s="21" t="s">
        <v>662</v>
      </c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x14ac:dyDescent="0.35">
      <c r="A167" s="44" t="s">
        <v>663</v>
      </c>
      <c r="B167" s="44" t="s">
        <v>279</v>
      </c>
      <c r="C167" s="45" t="s">
        <v>664</v>
      </c>
      <c r="D167" s="45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x14ac:dyDescent="0.35">
      <c r="A168" s="40" t="s">
        <v>665</v>
      </c>
      <c r="B168" s="16">
        <v>0</v>
      </c>
      <c r="C168" s="21"/>
      <c r="D168" s="21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x14ac:dyDescent="0.35">
      <c r="A169" s="40" t="s">
        <v>666</v>
      </c>
      <c r="B169" s="16">
        <v>0</v>
      </c>
      <c r="C169" s="21"/>
      <c r="D169" s="21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x14ac:dyDescent="0.35">
      <c r="A170" s="40" t="s">
        <v>667</v>
      </c>
      <c r="B170" s="16">
        <v>0</v>
      </c>
      <c r="C170" s="21"/>
      <c r="D170" s="21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x14ac:dyDescent="0.35">
      <c r="A171" s="75" t="s">
        <v>668</v>
      </c>
      <c r="B171" s="17">
        <v>0</v>
      </c>
      <c r="C171" s="38"/>
      <c r="D171" s="38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x14ac:dyDescent="0.35">
      <c r="A172" s="40"/>
      <c r="B172" s="40"/>
      <c r="C172" s="21"/>
      <c r="D172" s="21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x14ac:dyDescent="0.35">
      <c r="A173" s="76" t="s">
        <v>669</v>
      </c>
      <c r="B173" s="76"/>
      <c r="C173" s="76"/>
      <c r="D173" s="76"/>
      <c r="E173" s="76"/>
      <c r="F173" s="76"/>
      <c r="G173" s="76"/>
      <c r="H173" s="76"/>
      <c r="I173" s="76"/>
      <c r="J173" s="76"/>
      <c r="K173" s="76"/>
      <c r="L173" s="21"/>
      <c r="M173" s="21"/>
    </row>
    <row r="174" spans="1:13" x14ac:dyDescent="0.35">
      <c r="A174" s="77" t="s">
        <v>670</v>
      </c>
      <c r="B174" s="77" t="s">
        <v>671</v>
      </c>
      <c r="C174" s="78" t="s">
        <v>295</v>
      </c>
      <c r="D174" s="78" t="s">
        <v>4</v>
      </c>
      <c r="E174" s="78" t="s">
        <v>672</v>
      </c>
      <c r="F174" s="78" t="s">
        <v>5</v>
      </c>
      <c r="G174" s="21"/>
      <c r="H174" s="21"/>
      <c r="I174" s="21"/>
      <c r="J174" s="21"/>
      <c r="K174" s="21"/>
      <c r="L174" s="21"/>
      <c r="M174" s="21"/>
    </row>
    <row r="175" spans="1:13" x14ac:dyDescent="0.35">
      <c r="A175" s="40"/>
      <c r="B175" s="40"/>
      <c r="C175" s="21"/>
      <c r="D175" s="21"/>
      <c r="E175" s="21"/>
      <c r="F175" s="21" t="s">
        <v>673</v>
      </c>
      <c r="G175" s="21"/>
      <c r="H175" s="21"/>
      <c r="I175" s="21"/>
      <c r="J175" s="21"/>
      <c r="K175" s="21"/>
      <c r="L175" s="21"/>
      <c r="M175" s="21"/>
    </row>
    <row r="176" spans="1:13" x14ac:dyDescent="0.35">
      <c r="A176" s="40"/>
      <c r="B176" s="40"/>
      <c r="C176" s="21"/>
      <c r="D176" s="21"/>
      <c r="E176" s="21"/>
      <c r="F176" s="21" t="s">
        <v>674</v>
      </c>
      <c r="G176" s="21"/>
      <c r="H176" s="21"/>
      <c r="I176" s="21"/>
      <c r="J176" s="21"/>
      <c r="K176" s="21"/>
      <c r="L176" s="21"/>
      <c r="M176" s="21"/>
    </row>
    <row r="177" spans="1:13" x14ac:dyDescent="0.35">
      <c r="A177" s="40"/>
      <c r="B177" s="40"/>
      <c r="C177" s="21"/>
      <c r="D177" s="21"/>
      <c r="E177" s="21"/>
      <c r="F177" s="21" t="s">
        <v>675</v>
      </c>
      <c r="G177" s="21"/>
      <c r="H177" s="21"/>
      <c r="I177" s="21"/>
      <c r="J177" s="21"/>
      <c r="K177" s="21"/>
      <c r="L177" s="21"/>
      <c r="M177" s="21"/>
    </row>
    <row r="178" spans="1:13" x14ac:dyDescent="0.35">
      <c r="A178" s="40"/>
      <c r="B178" s="40"/>
      <c r="C178" s="21"/>
      <c r="D178" s="21"/>
      <c r="E178" s="21"/>
      <c r="F178" s="21" t="s">
        <v>676</v>
      </c>
      <c r="G178" s="21"/>
      <c r="H178" s="21"/>
      <c r="I178" s="21"/>
      <c r="J178" s="21"/>
      <c r="K178" s="21"/>
      <c r="L178" s="21"/>
      <c r="M178" s="21"/>
    </row>
    <row r="179" spans="1:13" x14ac:dyDescent="0.35">
      <c r="A179" s="40"/>
      <c r="B179" s="40"/>
      <c r="C179" s="21"/>
      <c r="D179" s="21"/>
      <c r="E179" s="21"/>
      <c r="F179" s="21" t="s">
        <v>677</v>
      </c>
      <c r="G179" s="21"/>
      <c r="H179" s="21"/>
      <c r="I179" s="21"/>
      <c r="J179" s="21"/>
      <c r="K179" s="21"/>
      <c r="L179" s="21"/>
      <c r="M179" s="21"/>
    </row>
    <row r="180" spans="1:13" x14ac:dyDescent="0.35">
      <c r="A180" s="40"/>
      <c r="B180" s="40"/>
      <c r="C180" s="21"/>
      <c r="D180" s="21"/>
      <c r="E180" s="21"/>
      <c r="F180" s="21" t="s">
        <v>678</v>
      </c>
      <c r="G180" s="21"/>
      <c r="H180" s="21"/>
      <c r="I180" s="21"/>
      <c r="J180" s="21"/>
      <c r="K180" s="21"/>
      <c r="L180" s="21"/>
      <c r="M180" s="21"/>
    </row>
    <row r="181" spans="1:13" x14ac:dyDescent="0.35">
      <c r="A181" s="40"/>
      <c r="B181" s="40"/>
      <c r="C181" s="21"/>
      <c r="D181" s="21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x14ac:dyDescent="0.35">
      <c r="A182" s="79" t="s">
        <v>680</v>
      </c>
      <c r="B182" s="79"/>
      <c r="C182" s="79"/>
      <c r="D182" s="79"/>
      <c r="E182" s="79"/>
      <c r="F182" s="79"/>
      <c r="G182" s="79"/>
      <c r="H182" s="79"/>
      <c r="I182" s="79"/>
      <c r="J182" s="79"/>
      <c r="K182" s="79"/>
      <c r="L182" s="21"/>
      <c r="M182" s="21"/>
    </row>
    <row r="183" spans="1:13" x14ac:dyDescent="0.35">
      <c r="A183" s="80" t="s">
        <v>441</v>
      </c>
      <c r="B183" s="80" t="s">
        <v>442</v>
      </c>
      <c r="C183" s="81" t="s">
        <v>444</v>
      </c>
      <c r="D183" s="81" t="s">
        <v>681</v>
      </c>
      <c r="E183" s="81"/>
      <c r="F183" s="81"/>
      <c r="G183" s="21"/>
      <c r="H183" s="21"/>
      <c r="I183" s="21"/>
      <c r="J183" s="21"/>
      <c r="K183" s="21"/>
      <c r="L183" s="21"/>
      <c r="M183" s="21"/>
    </row>
    <row r="184" spans="1:13" x14ac:dyDescent="0.35">
      <c r="A184" s="40">
        <v>1</v>
      </c>
      <c r="B184" s="82" t="s">
        <v>682</v>
      </c>
      <c r="C184" s="82" t="s">
        <v>683</v>
      </c>
      <c r="D184" s="21" t="s">
        <v>684</v>
      </c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x14ac:dyDescent="0.35">
      <c r="A185" s="40">
        <v>2</v>
      </c>
      <c r="B185" s="82" t="s">
        <v>739</v>
      </c>
      <c r="C185" s="82" t="s">
        <v>685</v>
      </c>
      <c r="D185" s="21" t="s">
        <v>686</v>
      </c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x14ac:dyDescent="0.35">
      <c r="A186" s="40">
        <v>3</v>
      </c>
      <c r="B186" s="82" t="s">
        <v>687</v>
      </c>
      <c r="C186" s="82" t="s">
        <v>688</v>
      </c>
      <c r="D186" s="21" t="s">
        <v>689</v>
      </c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x14ac:dyDescent="0.35">
      <c r="A187" s="40">
        <v>4</v>
      </c>
      <c r="B187" s="82" t="s">
        <v>690</v>
      </c>
      <c r="C187" s="82" t="s">
        <v>691</v>
      </c>
      <c r="D187" s="21" t="s">
        <v>692</v>
      </c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x14ac:dyDescent="0.35">
      <c r="A188" s="40">
        <v>5</v>
      </c>
      <c r="B188" s="82" t="s">
        <v>693</v>
      </c>
      <c r="C188" s="82" t="s">
        <v>694</v>
      </c>
      <c r="D188" s="21" t="s">
        <v>695</v>
      </c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x14ac:dyDescent="0.35">
      <c r="A189" s="40">
        <v>6</v>
      </c>
      <c r="B189" s="82" t="s">
        <v>696</v>
      </c>
      <c r="C189" s="82" t="s">
        <v>697</v>
      </c>
      <c r="D189" s="21" t="s">
        <v>698</v>
      </c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x14ac:dyDescent="0.35">
      <c r="A190" s="40">
        <v>7</v>
      </c>
      <c r="B190" s="82" t="s">
        <v>699</v>
      </c>
      <c r="C190" s="82" t="s">
        <v>700</v>
      </c>
      <c r="D190" s="21" t="s">
        <v>701</v>
      </c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x14ac:dyDescent="0.35">
      <c r="A191" s="40">
        <v>8</v>
      </c>
      <c r="B191" s="82" t="s">
        <v>702</v>
      </c>
      <c r="C191" s="82" t="s">
        <v>664</v>
      </c>
      <c r="D191" s="21" t="s">
        <v>703</v>
      </c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x14ac:dyDescent="0.35">
      <c r="A192" s="40"/>
      <c r="B192" s="40"/>
      <c r="C192" s="82"/>
      <c r="D192" s="21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x14ac:dyDescent="0.35">
      <c r="A193" s="83" t="s">
        <v>704</v>
      </c>
      <c r="B193" s="83"/>
      <c r="C193" s="83"/>
      <c r="D193" s="83"/>
      <c r="E193" s="83"/>
      <c r="F193" s="83"/>
      <c r="G193" s="83"/>
      <c r="H193" s="83"/>
      <c r="I193" s="83"/>
      <c r="J193" s="83"/>
      <c r="K193" s="83"/>
      <c r="L193" s="21"/>
      <c r="M193" s="21"/>
    </row>
    <row r="194" spans="1:13" x14ac:dyDescent="0.35">
      <c r="A194" s="84" t="s">
        <v>705</v>
      </c>
      <c r="B194" s="84"/>
      <c r="C194" s="84"/>
      <c r="D194" s="84"/>
      <c r="E194" s="84"/>
      <c r="F194" s="84"/>
      <c r="G194" s="84"/>
      <c r="H194" s="84"/>
      <c r="I194" s="84"/>
      <c r="J194" s="84"/>
      <c r="K194" s="84"/>
      <c r="L194" s="21"/>
      <c r="M194" s="21"/>
    </row>
    <row r="195" spans="1:13" x14ac:dyDescent="0.35">
      <c r="A195" s="40"/>
      <c r="B195" s="40"/>
      <c r="C195" s="21"/>
      <c r="D195" s="21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x14ac:dyDescent="0.35">
      <c r="A196" s="85" t="s">
        <v>706</v>
      </c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21"/>
      <c r="M196" s="21"/>
    </row>
  </sheetData>
  <mergeCells count="26">
    <mergeCell ref="A194:K194"/>
    <mergeCell ref="A196:K196"/>
    <mergeCell ref="A143:K143"/>
    <mergeCell ref="A154:K154"/>
    <mergeCell ref="A162:K162"/>
    <mergeCell ref="A173:K173"/>
    <mergeCell ref="A182:K182"/>
    <mergeCell ref="A193:K193"/>
    <mergeCell ref="A97:K97"/>
    <mergeCell ref="A105:K105"/>
    <mergeCell ref="A106:K106"/>
    <mergeCell ref="A108:K108"/>
    <mergeCell ref="A121:K121"/>
    <mergeCell ref="A132:K132"/>
    <mergeCell ref="A41:K41"/>
    <mergeCell ref="A50:K50"/>
    <mergeCell ref="A58:K58"/>
    <mergeCell ref="A67:K67"/>
    <mergeCell ref="A79:K79"/>
    <mergeCell ref="A91:K91"/>
    <mergeCell ref="A1:K1"/>
    <mergeCell ref="A2:K2"/>
    <mergeCell ref="A4:K4"/>
    <mergeCell ref="A13:K13"/>
    <mergeCell ref="A22:K22"/>
    <mergeCell ref="A31:K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EF0B75-ADEB-4F69-A5CC-0DD1818BBB9C}">
  <dimension ref="A1:H129"/>
  <sheetViews>
    <sheetView topLeftCell="A105" workbookViewId="0">
      <selection sqref="A1:H1"/>
    </sheetView>
  </sheetViews>
  <sheetFormatPr defaultRowHeight="14.5" x14ac:dyDescent="0.35"/>
  <cols>
    <col min="1" max="1" width="32.7265625" customWidth="1"/>
    <col min="2" max="2" width="27.26953125" customWidth="1"/>
    <col min="3" max="3" width="32.453125" bestFit="1" customWidth="1"/>
    <col min="4" max="4" width="29.453125" bestFit="1" customWidth="1"/>
    <col min="5" max="5" width="43.453125" bestFit="1" customWidth="1"/>
    <col min="6" max="6" width="33.54296875" bestFit="1" customWidth="1"/>
    <col min="7" max="8" width="21.81640625" customWidth="1"/>
  </cols>
  <sheetData>
    <row r="1" spans="1:8" ht="18.5" x14ac:dyDescent="0.45">
      <c r="A1" s="86" t="s">
        <v>374</v>
      </c>
      <c r="B1" s="19"/>
      <c r="C1" s="19"/>
      <c r="D1" s="19"/>
      <c r="E1" s="19"/>
      <c r="F1" s="19"/>
      <c r="G1" s="19"/>
      <c r="H1" s="19"/>
    </row>
    <row r="2" spans="1:8" x14ac:dyDescent="0.35">
      <c r="A2" s="19" t="s">
        <v>375</v>
      </c>
      <c r="B2" s="19"/>
      <c r="C2" s="19"/>
      <c r="D2" s="19"/>
      <c r="E2" s="19"/>
      <c r="F2" s="19"/>
      <c r="G2" s="19"/>
      <c r="H2" s="19"/>
    </row>
    <row r="3" spans="1:8" x14ac:dyDescent="0.35">
      <c r="A3" s="21"/>
      <c r="B3" s="21"/>
      <c r="C3" s="21"/>
      <c r="D3" s="21"/>
      <c r="E3" s="21"/>
      <c r="F3" s="21"/>
      <c r="G3" s="21"/>
      <c r="H3" s="21"/>
    </row>
    <row r="4" spans="1:8" x14ac:dyDescent="0.35">
      <c r="A4" s="21" t="s">
        <v>278</v>
      </c>
      <c r="B4" s="21" t="s">
        <v>279</v>
      </c>
      <c r="C4" s="21" t="s">
        <v>280</v>
      </c>
      <c r="D4" s="21" t="s">
        <v>281</v>
      </c>
      <c r="E4" s="21"/>
      <c r="F4" s="21"/>
      <c r="G4" s="21"/>
      <c r="H4" s="21"/>
    </row>
    <row r="5" spans="1:8" x14ac:dyDescent="0.35">
      <c r="A5" s="21"/>
      <c r="B5" s="21"/>
      <c r="C5" s="21"/>
      <c r="D5" s="21"/>
      <c r="E5" s="21"/>
      <c r="F5" s="21"/>
      <c r="G5" s="21"/>
      <c r="H5" s="21"/>
    </row>
    <row r="6" spans="1:8" x14ac:dyDescent="0.35">
      <c r="A6" s="87" t="s">
        <v>376</v>
      </c>
      <c r="B6" s="19"/>
      <c r="C6" s="19"/>
      <c r="D6" s="19"/>
      <c r="E6" s="19"/>
      <c r="F6" s="19"/>
      <c r="G6" s="19"/>
      <c r="H6" s="19"/>
    </row>
    <row r="7" spans="1:8" x14ac:dyDescent="0.35">
      <c r="A7" s="88" t="s">
        <v>50</v>
      </c>
      <c r="B7" s="88" t="s">
        <v>282</v>
      </c>
      <c r="C7" s="88" t="s">
        <v>283</v>
      </c>
      <c r="D7" s="88" t="s">
        <v>284</v>
      </c>
      <c r="E7" s="88" t="s">
        <v>285</v>
      </c>
      <c r="F7" s="88" t="s">
        <v>720</v>
      </c>
      <c r="G7" s="88" t="s">
        <v>716</v>
      </c>
      <c r="H7" s="88" t="s">
        <v>5</v>
      </c>
    </row>
    <row r="8" spans="1:8" x14ac:dyDescent="0.35">
      <c r="A8" s="21" t="s">
        <v>366</v>
      </c>
      <c r="B8" s="21"/>
      <c r="C8" s="21"/>
      <c r="D8" s="21"/>
      <c r="E8" s="21"/>
      <c r="F8" s="103"/>
      <c r="G8" s="103">
        <v>0</v>
      </c>
      <c r="H8" s="21" t="s">
        <v>377</v>
      </c>
    </row>
    <row r="9" spans="1:8" x14ac:dyDescent="0.35">
      <c r="A9" s="21" t="s">
        <v>367</v>
      </c>
      <c r="B9" s="21"/>
      <c r="C9" s="21"/>
      <c r="D9" s="21"/>
      <c r="E9" s="21"/>
      <c r="F9" s="103"/>
      <c r="G9" s="103">
        <v>0</v>
      </c>
      <c r="H9" s="21" t="s">
        <v>378</v>
      </c>
    </row>
    <row r="10" spans="1:8" x14ac:dyDescent="0.35">
      <c r="A10" s="21" t="s">
        <v>379</v>
      </c>
      <c r="B10" s="21"/>
      <c r="C10" s="21"/>
      <c r="D10" s="21"/>
      <c r="E10" s="21"/>
      <c r="F10" s="103"/>
      <c r="G10" s="103">
        <v>0</v>
      </c>
      <c r="H10" s="21" t="s">
        <v>380</v>
      </c>
    </row>
    <row r="11" spans="1:8" x14ac:dyDescent="0.35">
      <c r="A11" s="21" t="s">
        <v>381</v>
      </c>
      <c r="B11" s="21"/>
      <c r="C11" s="21"/>
      <c r="D11" s="21"/>
      <c r="E11" s="21"/>
      <c r="F11" s="103"/>
      <c r="G11" s="103">
        <v>0</v>
      </c>
      <c r="H11" s="21" t="s">
        <v>382</v>
      </c>
    </row>
    <row r="12" spans="1:8" x14ac:dyDescent="0.35">
      <c r="A12" s="21" t="s">
        <v>174</v>
      </c>
      <c r="B12" s="21"/>
      <c r="C12" s="21"/>
      <c r="D12" s="21"/>
      <c r="E12" s="21"/>
      <c r="F12" s="103"/>
      <c r="G12" s="103">
        <v>0</v>
      </c>
      <c r="H12" s="21" t="s">
        <v>383</v>
      </c>
    </row>
    <row r="13" spans="1:8" x14ac:dyDescent="0.35">
      <c r="A13" s="21" t="s">
        <v>384</v>
      </c>
      <c r="B13" s="21"/>
      <c r="C13" s="21"/>
      <c r="D13" s="21"/>
      <c r="E13" s="21"/>
      <c r="F13" s="103"/>
      <c r="G13" s="103">
        <v>0</v>
      </c>
      <c r="H13" s="21" t="s">
        <v>385</v>
      </c>
    </row>
    <row r="14" spans="1:8" x14ac:dyDescent="0.35">
      <c r="A14" s="21" t="s">
        <v>386</v>
      </c>
      <c r="B14" s="21"/>
      <c r="C14" s="21"/>
      <c r="D14" s="21"/>
      <c r="E14" s="21"/>
      <c r="F14" s="103"/>
      <c r="G14" s="103">
        <v>0</v>
      </c>
      <c r="H14" s="21" t="s">
        <v>387</v>
      </c>
    </row>
    <row r="15" spans="1:8" x14ac:dyDescent="0.35">
      <c r="A15" s="21" t="s">
        <v>388</v>
      </c>
      <c r="B15" s="21"/>
      <c r="C15" s="21"/>
      <c r="D15" s="21"/>
      <c r="E15" s="21"/>
      <c r="F15" s="103"/>
      <c r="G15" s="103">
        <v>0</v>
      </c>
      <c r="H15" s="21"/>
    </row>
    <row r="16" spans="1:8" x14ac:dyDescent="0.35">
      <c r="A16" s="81" t="s">
        <v>286</v>
      </c>
      <c r="B16" s="81"/>
      <c r="C16" s="81"/>
      <c r="D16" s="81"/>
      <c r="E16" s="81"/>
      <c r="F16" s="108">
        <v>0</v>
      </c>
      <c r="G16" s="108">
        <v>0</v>
      </c>
      <c r="H16" s="81"/>
    </row>
    <row r="17" spans="1:8" x14ac:dyDescent="0.35">
      <c r="A17" s="21"/>
      <c r="B17" s="21"/>
      <c r="C17" s="21"/>
      <c r="D17" s="21"/>
      <c r="E17" s="21"/>
      <c r="F17" s="21"/>
      <c r="G17" s="21"/>
      <c r="H17" s="21"/>
    </row>
    <row r="18" spans="1:8" x14ac:dyDescent="0.35">
      <c r="A18" s="89" t="s">
        <v>389</v>
      </c>
      <c r="B18" s="19"/>
      <c r="C18" s="19"/>
      <c r="D18" s="19"/>
      <c r="E18" s="19"/>
      <c r="F18" s="19"/>
      <c r="G18" s="19"/>
      <c r="H18" s="19"/>
    </row>
    <row r="19" spans="1:8" x14ac:dyDescent="0.35">
      <c r="A19" s="90" t="s">
        <v>50</v>
      </c>
      <c r="B19" s="90" t="s">
        <v>282</v>
      </c>
      <c r="C19" s="90" t="s">
        <v>283</v>
      </c>
      <c r="D19" s="90" t="s">
        <v>284</v>
      </c>
      <c r="E19" s="90" t="s">
        <v>285</v>
      </c>
      <c r="F19" s="90" t="s">
        <v>720</v>
      </c>
      <c r="G19" s="90" t="s">
        <v>716</v>
      </c>
      <c r="H19" s="90" t="s">
        <v>5</v>
      </c>
    </row>
    <row r="20" spans="1:8" x14ac:dyDescent="0.35">
      <c r="A20" s="21" t="s">
        <v>368</v>
      </c>
      <c r="B20" s="21"/>
      <c r="C20" s="21"/>
      <c r="D20" s="21"/>
      <c r="E20" s="21"/>
      <c r="F20" s="103"/>
      <c r="G20" s="103">
        <v>0</v>
      </c>
      <c r="H20" s="21" t="s">
        <v>390</v>
      </c>
    </row>
    <row r="21" spans="1:8" x14ac:dyDescent="0.35">
      <c r="A21" s="21" t="s">
        <v>369</v>
      </c>
      <c r="B21" s="21"/>
      <c r="C21" s="21"/>
      <c r="D21" s="21"/>
      <c r="E21" s="21"/>
      <c r="F21" s="103"/>
      <c r="G21" s="103">
        <v>0</v>
      </c>
      <c r="H21" s="21" t="s">
        <v>391</v>
      </c>
    </row>
    <row r="22" spans="1:8" x14ac:dyDescent="0.35">
      <c r="A22" s="21" t="s">
        <v>370</v>
      </c>
      <c r="B22" s="21"/>
      <c r="C22" s="21"/>
      <c r="D22" s="21"/>
      <c r="E22" s="21"/>
      <c r="F22" s="103"/>
      <c r="G22" s="103">
        <v>0</v>
      </c>
      <c r="H22" s="21" t="s">
        <v>392</v>
      </c>
    </row>
    <row r="23" spans="1:8" x14ac:dyDescent="0.35">
      <c r="A23" s="21" t="s">
        <v>174</v>
      </c>
      <c r="B23" s="21"/>
      <c r="C23" s="21"/>
      <c r="D23" s="21"/>
      <c r="E23" s="21"/>
      <c r="F23" s="103"/>
      <c r="G23" s="103">
        <v>0</v>
      </c>
      <c r="H23" s="21" t="s">
        <v>393</v>
      </c>
    </row>
    <row r="24" spans="1:8" x14ac:dyDescent="0.35">
      <c r="A24" s="21" t="s">
        <v>394</v>
      </c>
      <c r="B24" s="21"/>
      <c r="C24" s="21"/>
      <c r="D24" s="21"/>
      <c r="E24" s="21"/>
      <c r="F24" s="103"/>
      <c r="G24" s="103">
        <v>0</v>
      </c>
      <c r="H24" s="21"/>
    </row>
    <row r="25" spans="1:8" x14ac:dyDescent="0.35">
      <c r="A25" s="21" t="s">
        <v>395</v>
      </c>
      <c r="B25" s="21"/>
      <c r="C25" s="21"/>
      <c r="D25" s="21"/>
      <c r="E25" s="21"/>
      <c r="F25" s="103"/>
      <c r="G25" s="103">
        <v>0</v>
      </c>
      <c r="H25" s="21" t="s">
        <v>396</v>
      </c>
    </row>
    <row r="26" spans="1:8" x14ac:dyDescent="0.35">
      <c r="A26" s="21" t="s">
        <v>397</v>
      </c>
      <c r="B26" s="21"/>
      <c r="C26" s="21"/>
      <c r="D26" s="21"/>
      <c r="E26" s="21"/>
      <c r="F26" s="103"/>
      <c r="G26" s="103">
        <v>0</v>
      </c>
      <c r="H26" s="21" t="s">
        <v>398</v>
      </c>
    </row>
    <row r="27" spans="1:8" x14ac:dyDescent="0.35">
      <c r="A27" s="21" t="s">
        <v>399</v>
      </c>
      <c r="B27" s="21"/>
      <c r="C27" s="21"/>
      <c r="D27" s="21"/>
      <c r="E27" s="21"/>
      <c r="F27" s="103"/>
      <c r="G27" s="103">
        <v>0</v>
      </c>
      <c r="H27" s="21"/>
    </row>
    <row r="28" spans="1:8" x14ac:dyDescent="0.35">
      <c r="A28" s="53" t="s">
        <v>287</v>
      </c>
      <c r="B28" s="53"/>
      <c r="C28" s="53"/>
      <c r="D28" s="53"/>
      <c r="E28" s="53"/>
      <c r="F28" s="109">
        <v>0</v>
      </c>
      <c r="G28" s="109">
        <v>0</v>
      </c>
      <c r="H28" s="53"/>
    </row>
    <row r="29" spans="1:8" x14ac:dyDescent="0.35">
      <c r="A29" s="21"/>
      <c r="B29" s="21"/>
      <c r="C29" s="21"/>
      <c r="D29" s="21"/>
      <c r="E29" s="21"/>
      <c r="F29" s="21"/>
      <c r="G29" s="21"/>
      <c r="H29" s="21"/>
    </row>
    <row r="30" spans="1:8" x14ac:dyDescent="0.35">
      <c r="A30" s="91" t="s">
        <v>400</v>
      </c>
      <c r="B30" s="19"/>
      <c r="C30" s="19"/>
      <c r="D30" s="19"/>
      <c r="E30" s="19"/>
      <c r="F30" s="19"/>
      <c r="G30" s="19"/>
      <c r="H30" s="19"/>
    </row>
    <row r="31" spans="1:8" x14ac:dyDescent="0.35">
      <c r="A31" s="30" t="s">
        <v>50</v>
      </c>
      <c r="B31" s="30" t="s">
        <v>282</v>
      </c>
      <c r="C31" s="30" t="s">
        <v>283</v>
      </c>
      <c r="D31" s="30" t="s">
        <v>284</v>
      </c>
      <c r="E31" s="30" t="s">
        <v>285</v>
      </c>
      <c r="F31" s="30" t="s">
        <v>720</v>
      </c>
      <c r="G31" s="30" t="s">
        <v>716</v>
      </c>
      <c r="H31" s="30" t="s">
        <v>5</v>
      </c>
    </row>
    <row r="32" spans="1:8" x14ac:dyDescent="0.35">
      <c r="A32" s="21" t="s">
        <v>371</v>
      </c>
      <c r="B32" s="21"/>
      <c r="C32" s="21"/>
      <c r="D32" s="21"/>
      <c r="E32" s="21"/>
      <c r="F32" s="103"/>
      <c r="G32" s="103">
        <v>0</v>
      </c>
      <c r="H32" s="21" t="s">
        <v>401</v>
      </c>
    </row>
    <row r="33" spans="1:8" x14ac:dyDescent="0.35">
      <c r="A33" s="21" t="s">
        <v>372</v>
      </c>
      <c r="B33" s="21"/>
      <c r="C33" s="21"/>
      <c r="D33" s="21"/>
      <c r="E33" s="21"/>
      <c r="F33" s="103"/>
      <c r="G33" s="103">
        <v>0</v>
      </c>
      <c r="H33" s="21" t="s">
        <v>402</v>
      </c>
    </row>
    <row r="34" spans="1:8" x14ac:dyDescent="0.35">
      <c r="A34" s="21" t="s">
        <v>373</v>
      </c>
      <c r="B34" s="21"/>
      <c r="C34" s="21"/>
      <c r="D34" s="21"/>
      <c r="E34" s="21"/>
      <c r="F34" s="103"/>
      <c r="G34" s="103">
        <v>0</v>
      </c>
      <c r="H34" s="21" t="s">
        <v>403</v>
      </c>
    </row>
    <row r="35" spans="1:8" x14ac:dyDescent="0.35">
      <c r="A35" s="21" t="s">
        <v>174</v>
      </c>
      <c r="B35" s="21"/>
      <c r="C35" s="21"/>
      <c r="D35" s="21"/>
      <c r="E35" s="21"/>
      <c r="F35" s="103"/>
      <c r="G35" s="103">
        <v>0</v>
      </c>
      <c r="H35" s="21" t="s">
        <v>404</v>
      </c>
    </row>
    <row r="36" spans="1:8" x14ac:dyDescent="0.35">
      <c r="A36" s="21" t="s">
        <v>405</v>
      </c>
      <c r="B36" s="21"/>
      <c r="C36" s="21"/>
      <c r="D36" s="21"/>
      <c r="E36" s="21"/>
      <c r="F36" s="103"/>
      <c r="G36" s="103">
        <v>0</v>
      </c>
      <c r="H36" s="21"/>
    </row>
    <row r="37" spans="1:8" x14ac:dyDescent="0.35">
      <c r="A37" s="21" t="s">
        <v>406</v>
      </c>
      <c r="B37" s="21"/>
      <c r="C37" s="21"/>
      <c r="D37" s="21"/>
      <c r="E37" s="21"/>
      <c r="F37" s="103"/>
      <c r="G37" s="103">
        <v>0</v>
      </c>
      <c r="H37" s="21" t="s">
        <v>396</v>
      </c>
    </row>
    <row r="38" spans="1:8" x14ac:dyDescent="0.35">
      <c r="A38" s="21" t="s">
        <v>407</v>
      </c>
      <c r="B38" s="21"/>
      <c r="C38" s="21"/>
      <c r="D38" s="21"/>
      <c r="E38" s="21"/>
      <c r="F38" s="103"/>
      <c r="G38" s="103">
        <v>0</v>
      </c>
      <c r="H38" s="21" t="s">
        <v>408</v>
      </c>
    </row>
    <row r="39" spans="1:8" x14ac:dyDescent="0.35">
      <c r="A39" s="21" t="s">
        <v>409</v>
      </c>
      <c r="B39" s="21"/>
      <c r="C39" s="21"/>
      <c r="D39" s="21"/>
      <c r="E39" s="21"/>
      <c r="F39" s="103"/>
      <c r="G39" s="103">
        <v>0</v>
      </c>
      <c r="H39" s="21"/>
    </row>
    <row r="40" spans="1:8" x14ac:dyDescent="0.35">
      <c r="A40" s="58" t="s">
        <v>288</v>
      </c>
      <c r="B40" s="58"/>
      <c r="C40" s="58"/>
      <c r="D40" s="58"/>
      <c r="E40" s="58"/>
      <c r="F40" s="110">
        <v>0</v>
      </c>
      <c r="G40" s="110">
        <v>0</v>
      </c>
      <c r="H40" s="58"/>
    </row>
    <row r="41" spans="1:8" x14ac:dyDescent="0.35">
      <c r="A41" s="21"/>
      <c r="B41" s="21"/>
      <c r="C41" s="21"/>
      <c r="D41" s="21"/>
      <c r="E41" s="21"/>
      <c r="F41" s="21"/>
      <c r="G41" s="21"/>
      <c r="H41" s="21"/>
    </row>
    <row r="42" spans="1:8" x14ac:dyDescent="0.35">
      <c r="A42" s="62" t="s">
        <v>289</v>
      </c>
      <c r="B42" s="19"/>
      <c r="C42" s="19"/>
      <c r="D42" s="19"/>
      <c r="E42" s="19"/>
      <c r="F42" s="19"/>
      <c r="G42" s="19"/>
      <c r="H42" s="19"/>
    </row>
    <row r="43" spans="1:8" x14ac:dyDescent="0.35">
      <c r="A43" s="92" t="s">
        <v>51</v>
      </c>
      <c r="B43" s="92" t="s">
        <v>720</v>
      </c>
      <c r="C43" s="92" t="s">
        <v>716</v>
      </c>
      <c r="D43" s="92" t="s">
        <v>290</v>
      </c>
      <c r="E43" s="92" t="s">
        <v>740</v>
      </c>
      <c r="F43" s="92" t="s">
        <v>410</v>
      </c>
      <c r="G43" s="92" t="s">
        <v>411</v>
      </c>
      <c r="H43" s="92" t="s">
        <v>412</v>
      </c>
    </row>
    <row r="44" spans="1:8" x14ac:dyDescent="0.35">
      <c r="A44" s="93" t="s">
        <v>279</v>
      </c>
      <c r="B44" s="103">
        <v>0</v>
      </c>
      <c r="C44" s="103">
        <v>0</v>
      </c>
      <c r="D44" s="1" t="s">
        <v>718</v>
      </c>
      <c r="E44" s="103" t="s">
        <v>718</v>
      </c>
      <c r="F44" s="21"/>
      <c r="G44" s="21"/>
      <c r="H44" s="21" t="s">
        <v>718</v>
      </c>
    </row>
    <row r="45" spans="1:8" x14ac:dyDescent="0.35">
      <c r="A45" s="94" t="s">
        <v>280</v>
      </c>
      <c r="B45" s="103">
        <v>0</v>
      </c>
      <c r="C45" s="103">
        <v>0</v>
      </c>
      <c r="D45" s="1" t="s">
        <v>718</v>
      </c>
      <c r="E45" s="103" t="s">
        <v>718</v>
      </c>
      <c r="F45" s="21"/>
      <c r="G45" s="21"/>
      <c r="H45" s="21" t="s">
        <v>718</v>
      </c>
    </row>
    <row r="46" spans="1:8" x14ac:dyDescent="0.35">
      <c r="A46" s="95" t="s">
        <v>281</v>
      </c>
      <c r="B46" s="103">
        <v>0</v>
      </c>
      <c r="C46" s="103">
        <v>0</v>
      </c>
      <c r="D46" s="1" t="s">
        <v>718</v>
      </c>
      <c r="E46" s="103" t="s">
        <v>718</v>
      </c>
      <c r="F46" s="21"/>
      <c r="G46" s="21"/>
      <c r="H46" s="21" t="s">
        <v>718</v>
      </c>
    </row>
    <row r="47" spans="1:8" x14ac:dyDescent="0.35">
      <c r="A47" s="21"/>
      <c r="B47" s="21"/>
      <c r="C47" s="21"/>
      <c r="D47" s="21"/>
      <c r="E47" s="21"/>
      <c r="F47" s="21"/>
      <c r="G47" s="21"/>
      <c r="H47" s="21"/>
    </row>
    <row r="48" spans="1:8" x14ac:dyDescent="0.35">
      <c r="A48" s="38" t="s">
        <v>291</v>
      </c>
      <c r="B48" s="21" t="s">
        <v>718</v>
      </c>
      <c r="C48" s="21"/>
      <c r="D48" s="21"/>
      <c r="E48" s="21"/>
      <c r="F48" s="21"/>
      <c r="G48" s="21"/>
      <c r="H48" s="21"/>
    </row>
    <row r="49" spans="1:8" x14ac:dyDescent="0.35">
      <c r="A49" s="38" t="s">
        <v>292</v>
      </c>
      <c r="B49" s="103">
        <v>0</v>
      </c>
      <c r="C49" s="21"/>
      <c r="D49" s="21"/>
      <c r="E49" s="21"/>
      <c r="F49" s="21"/>
      <c r="G49" s="21"/>
      <c r="H49" s="21"/>
    </row>
    <row r="50" spans="1:8" x14ac:dyDescent="0.35">
      <c r="A50" s="38" t="s">
        <v>413</v>
      </c>
      <c r="B50" s="21" t="s">
        <v>718</v>
      </c>
      <c r="C50" s="21"/>
      <c r="D50" s="21"/>
      <c r="E50" s="21"/>
      <c r="F50" s="21"/>
      <c r="G50" s="21"/>
      <c r="H50" s="21"/>
    </row>
    <row r="51" spans="1:8" x14ac:dyDescent="0.35">
      <c r="A51" s="21"/>
      <c r="B51" s="21"/>
      <c r="C51" s="21"/>
      <c r="D51" s="21"/>
      <c r="E51" s="21"/>
      <c r="F51" s="21"/>
      <c r="G51" s="21"/>
      <c r="H51" s="21"/>
    </row>
    <row r="52" spans="1:8" x14ac:dyDescent="0.35">
      <c r="A52" s="96" t="s">
        <v>414</v>
      </c>
      <c r="B52" s="19"/>
      <c r="C52" s="19"/>
      <c r="D52" s="19"/>
      <c r="E52" s="19"/>
      <c r="F52" s="19"/>
      <c r="G52" s="19"/>
      <c r="H52" s="19"/>
    </row>
    <row r="53" spans="1:8" x14ac:dyDescent="0.35">
      <c r="A53" s="97" t="s">
        <v>79</v>
      </c>
      <c r="B53" s="97" t="s">
        <v>279</v>
      </c>
      <c r="C53" s="97" t="s">
        <v>280</v>
      </c>
      <c r="D53" s="97" t="s">
        <v>281</v>
      </c>
      <c r="E53" s="97" t="s">
        <v>415</v>
      </c>
      <c r="F53" s="21"/>
      <c r="G53" s="21"/>
      <c r="H53" s="21"/>
    </row>
    <row r="54" spans="1:8" x14ac:dyDescent="0.35">
      <c r="A54" s="21" t="s">
        <v>416</v>
      </c>
      <c r="B54" s="21"/>
      <c r="C54" s="21"/>
      <c r="D54" s="21"/>
      <c r="E54" s="21" t="s">
        <v>417</v>
      </c>
      <c r="F54" s="21"/>
      <c r="G54" s="21"/>
      <c r="H54" s="21"/>
    </row>
    <row r="55" spans="1:8" x14ac:dyDescent="0.35">
      <c r="A55" s="21" t="s">
        <v>418</v>
      </c>
      <c r="B55" s="21"/>
      <c r="C55" s="21"/>
      <c r="D55" s="21"/>
      <c r="E55" s="21" t="s">
        <v>419</v>
      </c>
      <c r="F55" s="21"/>
      <c r="G55" s="21"/>
      <c r="H55" s="21"/>
    </row>
    <row r="56" spans="1:8" x14ac:dyDescent="0.35">
      <c r="A56" s="21" t="s">
        <v>420</v>
      </c>
      <c r="B56" s="21"/>
      <c r="C56" s="21"/>
      <c r="D56" s="21"/>
      <c r="E56" s="21" t="s">
        <v>421</v>
      </c>
      <c r="F56" s="21"/>
      <c r="G56" s="21"/>
      <c r="H56" s="21"/>
    </row>
    <row r="57" spans="1:8" x14ac:dyDescent="0.35">
      <c r="A57" s="21" t="s">
        <v>422</v>
      </c>
      <c r="B57" s="21"/>
      <c r="C57" s="21"/>
      <c r="D57" s="21"/>
      <c r="E57" s="21" t="s">
        <v>423</v>
      </c>
      <c r="F57" s="21"/>
      <c r="G57" s="21"/>
      <c r="H57" s="21"/>
    </row>
    <row r="58" spans="1:8" x14ac:dyDescent="0.35">
      <c r="A58" s="21" t="s">
        <v>424</v>
      </c>
      <c r="B58" s="1"/>
      <c r="C58" s="1"/>
      <c r="D58" s="1"/>
      <c r="E58" s="21" t="s">
        <v>425</v>
      </c>
      <c r="F58" s="21"/>
      <c r="G58" s="21"/>
      <c r="H58" s="21"/>
    </row>
    <row r="59" spans="1:8" x14ac:dyDescent="0.35">
      <c r="A59" s="21"/>
      <c r="B59" s="21"/>
      <c r="C59" s="21"/>
      <c r="D59" s="21"/>
      <c r="E59" s="21"/>
      <c r="F59" s="21"/>
      <c r="G59" s="21"/>
      <c r="H59" s="21"/>
    </row>
    <row r="60" spans="1:8" x14ac:dyDescent="0.35">
      <c r="A60" s="98" t="s">
        <v>426</v>
      </c>
      <c r="B60" s="19"/>
      <c r="C60" s="19"/>
      <c r="D60" s="19"/>
      <c r="E60" s="19"/>
      <c r="F60" s="19"/>
      <c r="G60" s="19"/>
      <c r="H60" s="19"/>
    </row>
    <row r="61" spans="1:8" x14ac:dyDescent="0.35">
      <c r="A61" s="58" t="s">
        <v>52</v>
      </c>
      <c r="B61" s="58" t="s">
        <v>727</v>
      </c>
      <c r="C61" s="58" t="s">
        <v>728</v>
      </c>
      <c r="D61" s="58" t="s">
        <v>729</v>
      </c>
      <c r="E61" s="58" t="s">
        <v>427</v>
      </c>
      <c r="F61" s="58" t="s">
        <v>5</v>
      </c>
      <c r="G61" s="21"/>
      <c r="H61" s="21"/>
    </row>
    <row r="62" spans="1:8" x14ac:dyDescent="0.35">
      <c r="A62" s="21" t="s">
        <v>428</v>
      </c>
      <c r="B62" s="103"/>
      <c r="C62" s="103"/>
      <c r="D62" s="103"/>
      <c r="E62" s="21" t="s">
        <v>718</v>
      </c>
      <c r="F62" s="21" t="s">
        <v>429</v>
      </c>
      <c r="G62" s="21"/>
      <c r="H62" s="21"/>
    </row>
    <row r="63" spans="1:8" x14ac:dyDescent="0.35">
      <c r="A63" s="21" t="s">
        <v>430</v>
      </c>
      <c r="B63" s="103"/>
      <c r="C63" s="103"/>
      <c r="D63" s="103"/>
      <c r="E63" s="21" t="s">
        <v>718</v>
      </c>
      <c r="F63" s="21" t="s">
        <v>429</v>
      </c>
      <c r="G63" s="21"/>
      <c r="H63" s="21"/>
    </row>
    <row r="64" spans="1:8" x14ac:dyDescent="0.35">
      <c r="A64" s="21" t="s">
        <v>431</v>
      </c>
      <c r="B64" s="103"/>
      <c r="C64" s="103"/>
      <c r="D64" s="103"/>
      <c r="E64" s="21" t="s">
        <v>718</v>
      </c>
      <c r="F64" s="21" t="s">
        <v>429</v>
      </c>
      <c r="G64" s="21"/>
      <c r="H64" s="21"/>
    </row>
    <row r="65" spans="1:8" x14ac:dyDescent="0.35">
      <c r="A65" s="21"/>
      <c r="B65" s="21"/>
      <c r="C65" s="21"/>
      <c r="D65" s="21"/>
      <c r="E65" s="21"/>
      <c r="F65" s="21"/>
      <c r="G65" s="21"/>
      <c r="H65" s="21"/>
    </row>
    <row r="66" spans="1:8" x14ac:dyDescent="0.35">
      <c r="A66" s="99" t="s">
        <v>432</v>
      </c>
      <c r="B66" s="19"/>
      <c r="C66" s="19"/>
      <c r="D66" s="19"/>
      <c r="E66" s="19"/>
      <c r="F66" s="19"/>
      <c r="G66" s="19"/>
      <c r="H66" s="19"/>
    </row>
    <row r="67" spans="1:8" x14ac:dyDescent="0.35">
      <c r="A67" s="100" t="s">
        <v>79</v>
      </c>
      <c r="B67" s="100" t="s">
        <v>279</v>
      </c>
      <c r="C67" s="100" t="s">
        <v>280</v>
      </c>
      <c r="D67" s="100" t="s">
        <v>281</v>
      </c>
      <c r="E67" s="100" t="s">
        <v>78</v>
      </c>
      <c r="F67" s="21"/>
      <c r="G67" s="21"/>
      <c r="H67" s="21"/>
    </row>
    <row r="68" spans="1:8" x14ac:dyDescent="0.35">
      <c r="A68" s="21" t="s">
        <v>433</v>
      </c>
      <c r="B68" s="21"/>
      <c r="C68" s="21"/>
      <c r="D68" s="21"/>
      <c r="E68" s="21" t="s">
        <v>434</v>
      </c>
      <c r="F68" s="21"/>
      <c r="G68" s="21"/>
      <c r="H68" s="21"/>
    </row>
    <row r="69" spans="1:8" x14ac:dyDescent="0.35">
      <c r="A69" s="21" t="s">
        <v>435</v>
      </c>
      <c r="B69" s="21"/>
      <c r="C69" s="21"/>
      <c r="D69" s="21"/>
      <c r="E69" s="21" t="s">
        <v>434</v>
      </c>
      <c r="F69" s="21"/>
      <c r="G69" s="21"/>
      <c r="H69" s="21"/>
    </row>
    <row r="70" spans="1:8" x14ac:dyDescent="0.35">
      <c r="A70" s="21" t="s">
        <v>436</v>
      </c>
      <c r="B70" s="1"/>
      <c r="C70" s="1"/>
      <c r="D70" s="1"/>
      <c r="E70" s="21" t="s">
        <v>434</v>
      </c>
      <c r="F70" s="21"/>
      <c r="G70" s="21"/>
      <c r="H70" s="21"/>
    </row>
    <row r="71" spans="1:8" x14ac:dyDescent="0.35">
      <c r="A71" s="21" t="s">
        <v>437</v>
      </c>
      <c r="B71" s="21"/>
      <c r="C71" s="21"/>
      <c r="D71" s="21"/>
      <c r="E71" s="21" t="s">
        <v>434</v>
      </c>
      <c r="F71" s="21"/>
      <c r="G71" s="21"/>
      <c r="H71" s="21"/>
    </row>
    <row r="72" spans="1:8" x14ac:dyDescent="0.35">
      <c r="A72" s="21" t="s">
        <v>438</v>
      </c>
      <c r="B72" s="21"/>
      <c r="C72" s="21"/>
      <c r="D72" s="21"/>
      <c r="E72" s="21" t="s">
        <v>439</v>
      </c>
      <c r="F72" s="21"/>
      <c r="G72" s="21"/>
      <c r="H72" s="21"/>
    </row>
    <row r="73" spans="1:8" x14ac:dyDescent="0.35">
      <c r="A73" s="21"/>
      <c r="B73" s="21"/>
      <c r="C73" s="21"/>
      <c r="D73" s="21"/>
      <c r="E73" s="21"/>
      <c r="F73" s="21"/>
      <c r="G73" s="21"/>
      <c r="H73" s="21"/>
    </row>
    <row r="74" spans="1:8" x14ac:dyDescent="0.35">
      <c r="A74" s="71" t="s">
        <v>440</v>
      </c>
      <c r="B74" s="19"/>
      <c r="C74" s="19"/>
      <c r="D74" s="19"/>
      <c r="E74" s="19"/>
      <c r="F74" s="19"/>
      <c r="G74" s="19"/>
      <c r="H74" s="19"/>
    </row>
    <row r="75" spans="1:8" x14ac:dyDescent="0.35">
      <c r="A75" s="55" t="s">
        <v>441</v>
      </c>
      <c r="B75" s="55" t="s">
        <v>442</v>
      </c>
      <c r="C75" s="55" t="s">
        <v>443</v>
      </c>
      <c r="D75" s="55" t="s">
        <v>444</v>
      </c>
      <c r="E75" s="55" t="s">
        <v>445</v>
      </c>
      <c r="F75" s="21"/>
      <c r="G75" s="21"/>
      <c r="H75" s="21"/>
    </row>
    <row r="76" spans="1:8" x14ac:dyDescent="0.35">
      <c r="A76" s="21">
        <v>1</v>
      </c>
      <c r="B76" s="21" t="s">
        <v>446</v>
      </c>
      <c r="C76" s="21" t="s">
        <v>447</v>
      </c>
      <c r="D76" s="21" t="s">
        <v>448</v>
      </c>
      <c r="E76" s="21" t="s">
        <v>449</v>
      </c>
      <c r="F76" s="21"/>
      <c r="G76" s="21"/>
      <c r="H76" s="21"/>
    </row>
    <row r="77" spans="1:8" x14ac:dyDescent="0.35">
      <c r="A77" s="21">
        <v>2</v>
      </c>
      <c r="B77" s="21" t="s">
        <v>450</v>
      </c>
      <c r="C77" s="21" t="s">
        <v>451</v>
      </c>
      <c r="D77" s="21" t="s">
        <v>452</v>
      </c>
      <c r="E77" s="21" t="s">
        <v>453</v>
      </c>
      <c r="F77" s="21"/>
      <c r="G77" s="21"/>
      <c r="H77" s="21"/>
    </row>
    <row r="78" spans="1:8" x14ac:dyDescent="0.35">
      <c r="A78" s="21">
        <v>3</v>
      </c>
      <c r="B78" s="21" t="s">
        <v>454</v>
      </c>
      <c r="C78" s="21" t="s">
        <v>455</v>
      </c>
      <c r="D78" s="21" t="s">
        <v>456</v>
      </c>
      <c r="E78" s="21" t="s">
        <v>457</v>
      </c>
      <c r="F78" s="21"/>
      <c r="G78" s="21"/>
      <c r="H78" s="21"/>
    </row>
    <row r="79" spans="1:8" x14ac:dyDescent="0.35">
      <c r="A79" s="21">
        <v>4</v>
      </c>
      <c r="B79" s="21" t="s">
        <v>458</v>
      </c>
      <c r="C79" s="21" t="s">
        <v>459</v>
      </c>
      <c r="D79" s="21" t="s">
        <v>460</v>
      </c>
      <c r="E79" s="21" t="s">
        <v>461</v>
      </c>
      <c r="F79" s="21"/>
      <c r="G79" s="21"/>
      <c r="H79" s="21"/>
    </row>
    <row r="80" spans="1:8" x14ac:dyDescent="0.35">
      <c r="A80" s="21">
        <v>5</v>
      </c>
      <c r="B80" s="21" t="s">
        <v>462</v>
      </c>
      <c r="C80" s="21" t="s">
        <v>463</v>
      </c>
      <c r="D80" s="21" t="s">
        <v>464</v>
      </c>
      <c r="E80" s="21" t="s">
        <v>465</v>
      </c>
      <c r="F80" s="21"/>
      <c r="G80" s="21"/>
      <c r="H80" s="21"/>
    </row>
    <row r="81" spans="1:8" x14ac:dyDescent="0.35">
      <c r="A81" s="21">
        <v>6</v>
      </c>
      <c r="B81" s="21" t="s">
        <v>466</v>
      </c>
      <c r="C81" s="21" t="s">
        <v>459</v>
      </c>
      <c r="D81" s="21" t="s">
        <v>467</v>
      </c>
      <c r="E81" s="21" t="s">
        <v>468</v>
      </c>
      <c r="F81" s="21"/>
      <c r="G81" s="21"/>
      <c r="H81" s="21"/>
    </row>
    <row r="82" spans="1:8" x14ac:dyDescent="0.35">
      <c r="A82" s="21">
        <v>7</v>
      </c>
      <c r="B82" s="21" t="s">
        <v>469</v>
      </c>
      <c r="C82" s="21" t="s">
        <v>459</v>
      </c>
      <c r="D82" s="21" t="s">
        <v>470</v>
      </c>
      <c r="E82" s="21" t="s">
        <v>471</v>
      </c>
      <c r="F82" s="21"/>
      <c r="G82" s="21"/>
      <c r="H82" s="21"/>
    </row>
    <row r="83" spans="1:8" x14ac:dyDescent="0.35">
      <c r="A83" s="21">
        <v>8</v>
      </c>
      <c r="B83" s="21" t="s">
        <v>472</v>
      </c>
      <c r="C83" s="21" t="s">
        <v>473</v>
      </c>
      <c r="D83" s="21" t="s">
        <v>474</v>
      </c>
      <c r="E83" s="21" t="s">
        <v>475</v>
      </c>
      <c r="F83" s="21"/>
      <c r="G83" s="21"/>
      <c r="H83" s="21"/>
    </row>
    <row r="84" spans="1:8" x14ac:dyDescent="0.35">
      <c r="A84" s="21"/>
      <c r="B84" s="21"/>
      <c r="C84" s="21"/>
      <c r="D84" s="21"/>
      <c r="E84" s="21"/>
      <c r="F84" s="21"/>
      <c r="G84" s="21"/>
      <c r="H84" s="21"/>
    </row>
    <row r="85" spans="1:8" x14ac:dyDescent="0.35">
      <c r="A85" s="39" t="s">
        <v>476</v>
      </c>
      <c r="B85" s="19"/>
      <c r="C85" s="19"/>
      <c r="D85" s="19"/>
      <c r="E85" s="19"/>
      <c r="F85" s="19"/>
      <c r="G85" s="19"/>
      <c r="H85" s="19"/>
    </row>
    <row r="86" spans="1:8" x14ac:dyDescent="0.35">
      <c r="A86" s="39" t="s">
        <v>477</v>
      </c>
      <c r="B86" s="19"/>
      <c r="C86" s="19"/>
      <c r="D86" s="19"/>
      <c r="E86" s="19"/>
      <c r="F86" s="19"/>
      <c r="G86" s="19"/>
      <c r="H86" s="19"/>
    </row>
    <row r="87" spans="1:8" x14ac:dyDescent="0.35">
      <c r="A87" s="21"/>
      <c r="B87" s="21"/>
      <c r="C87" s="21"/>
      <c r="D87" s="21"/>
      <c r="E87" s="21"/>
      <c r="F87" s="21"/>
      <c r="G87" s="21"/>
      <c r="H87" s="21"/>
    </row>
    <row r="88" spans="1:8" x14ac:dyDescent="0.35">
      <c r="A88" s="56" t="s">
        <v>478</v>
      </c>
      <c r="B88" s="19"/>
      <c r="C88" s="19"/>
      <c r="D88" s="19"/>
      <c r="E88" s="19"/>
      <c r="F88" s="19"/>
      <c r="G88" s="19"/>
      <c r="H88" s="19"/>
    </row>
    <row r="89" spans="1:8" x14ac:dyDescent="0.35">
      <c r="A89" s="88" t="s">
        <v>447</v>
      </c>
      <c r="B89" s="88"/>
      <c r="C89" s="88"/>
      <c r="D89" s="88"/>
      <c r="E89" s="21"/>
      <c r="F89" s="21"/>
      <c r="G89" s="21"/>
      <c r="H89" s="21"/>
    </row>
    <row r="90" spans="1:8" x14ac:dyDescent="0.35">
      <c r="A90" s="38" t="s">
        <v>340</v>
      </c>
      <c r="B90" s="38" t="s">
        <v>479</v>
      </c>
      <c r="C90" s="38" t="s">
        <v>480</v>
      </c>
      <c r="D90" s="38" t="s">
        <v>2</v>
      </c>
      <c r="E90" s="21"/>
      <c r="F90" s="21"/>
      <c r="G90" s="21"/>
      <c r="H90" s="21"/>
    </row>
    <row r="91" spans="1:8" x14ac:dyDescent="0.35">
      <c r="A91" s="21" t="s">
        <v>481</v>
      </c>
      <c r="B91" s="21" t="s">
        <v>482</v>
      </c>
      <c r="C91" s="21" t="s">
        <v>483</v>
      </c>
      <c r="D91" s="21" t="s">
        <v>484</v>
      </c>
      <c r="E91" s="21"/>
      <c r="F91" s="21"/>
      <c r="G91" s="21"/>
      <c r="H91" s="21"/>
    </row>
    <row r="92" spans="1:8" x14ac:dyDescent="0.35">
      <c r="A92" s="21" t="s">
        <v>485</v>
      </c>
      <c r="B92" s="21" t="s">
        <v>482</v>
      </c>
      <c r="C92" s="21" t="s">
        <v>486</v>
      </c>
      <c r="D92" s="21" t="s">
        <v>487</v>
      </c>
      <c r="E92" s="21"/>
      <c r="F92" s="21"/>
      <c r="G92" s="21"/>
      <c r="H92" s="21"/>
    </row>
    <row r="93" spans="1:8" x14ac:dyDescent="0.35">
      <c r="A93" s="21" t="s">
        <v>488</v>
      </c>
      <c r="B93" s="21" t="s">
        <v>482</v>
      </c>
      <c r="C93" s="21" t="s">
        <v>489</v>
      </c>
      <c r="D93" s="21" t="s">
        <v>490</v>
      </c>
      <c r="E93" s="21"/>
      <c r="F93" s="21"/>
      <c r="G93" s="21"/>
      <c r="H93" s="21"/>
    </row>
    <row r="94" spans="1:8" x14ac:dyDescent="0.35">
      <c r="A94" s="21" t="s">
        <v>174</v>
      </c>
      <c r="B94" s="21" t="s">
        <v>482</v>
      </c>
      <c r="C94" s="21" t="s">
        <v>491</v>
      </c>
      <c r="D94" s="21" t="s">
        <v>492</v>
      </c>
      <c r="E94" s="21"/>
      <c r="F94" s="21"/>
      <c r="G94" s="21"/>
      <c r="H94" s="21"/>
    </row>
    <row r="95" spans="1:8" x14ac:dyDescent="0.35">
      <c r="A95" s="21" t="s">
        <v>493</v>
      </c>
      <c r="B95" s="21" t="s">
        <v>482</v>
      </c>
      <c r="C95" s="21" t="s">
        <v>494</v>
      </c>
      <c r="D95" s="21" t="s">
        <v>495</v>
      </c>
      <c r="E95" s="21"/>
      <c r="F95" s="21"/>
      <c r="G95" s="21"/>
      <c r="H95" s="21"/>
    </row>
    <row r="96" spans="1:8" x14ac:dyDescent="0.35">
      <c r="A96" s="21" t="s">
        <v>496</v>
      </c>
      <c r="B96" s="21" t="s">
        <v>482</v>
      </c>
      <c r="C96" s="21" t="s">
        <v>497</v>
      </c>
      <c r="D96" s="21" t="s">
        <v>498</v>
      </c>
      <c r="E96" s="21"/>
      <c r="F96" s="21"/>
      <c r="G96" s="21"/>
      <c r="H96" s="21"/>
    </row>
    <row r="97" spans="1:8" x14ac:dyDescent="0.35">
      <c r="A97" s="21"/>
      <c r="B97" s="21"/>
      <c r="C97" s="21"/>
      <c r="D97" s="21"/>
      <c r="E97" s="21"/>
      <c r="F97" s="21"/>
      <c r="G97" s="21"/>
      <c r="H97" s="21"/>
    </row>
    <row r="98" spans="1:8" x14ac:dyDescent="0.35">
      <c r="A98" s="90" t="s">
        <v>451</v>
      </c>
      <c r="B98" s="90"/>
      <c r="C98" s="90"/>
      <c r="D98" s="90"/>
      <c r="E98" s="21"/>
      <c r="F98" s="21"/>
      <c r="G98" s="21"/>
      <c r="H98" s="21"/>
    </row>
    <row r="99" spans="1:8" x14ac:dyDescent="0.35">
      <c r="A99" s="38" t="s">
        <v>340</v>
      </c>
      <c r="B99" s="38" t="s">
        <v>479</v>
      </c>
      <c r="C99" s="38" t="s">
        <v>480</v>
      </c>
      <c r="D99" s="38" t="s">
        <v>2</v>
      </c>
      <c r="E99" s="21"/>
      <c r="F99" s="21"/>
      <c r="G99" s="21"/>
      <c r="H99" s="21"/>
    </row>
    <row r="100" spans="1:8" x14ac:dyDescent="0.35">
      <c r="A100" s="21" t="s">
        <v>499</v>
      </c>
      <c r="B100" s="21" t="s">
        <v>500</v>
      </c>
      <c r="C100" s="21" t="s">
        <v>501</v>
      </c>
      <c r="D100" s="21" t="s">
        <v>502</v>
      </c>
      <c r="E100" s="21"/>
      <c r="F100" s="21"/>
      <c r="G100" s="21"/>
      <c r="H100" s="21"/>
    </row>
    <row r="101" spans="1:8" x14ac:dyDescent="0.35">
      <c r="A101" s="21" t="s">
        <v>503</v>
      </c>
      <c r="B101" s="21" t="s">
        <v>500</v>
      </c>
      <c r="C101" s="21" t="s">
        <v>504</v>
      </c>
      <c r="D101" s="21" t="s">
        <v>505</v>
      </c>
      <c r="E101" s="21"/>
      <c r="F101" s="21"/>
      <c r="G101" s="21"/>
      <c r="H101" s="21"/>
    </row>
    <row r="102" spans="1:8" x14ac:dyDescent="0.35">
      <c r="A102" s="21" t="s">
        <v>506</v>
      </c>
      <c r="B102" s="21" t="s">
        <v>500</v>
      </c>
      <c r="C102" s="21" t="s">
        <v>507</v>
      </c>
      <c r="D102" s="21" t="s">
        <v>508</v>
      </c>
      <c r="E102" s="21"/>
      <c r="F102" s="21"/>
      <c r="G102" s="21"/>
      <c r="H102" s="21"/>
    </row>
    <row r="103" spans="1:8" x14ac:dyDescent="0.35">
      <c r="A103" s="21" t="s">
        <v>509</v>
      </c>
      <c r="B103" s="21" t="s">
        <v>500</v>
      </c>
      <c r="C103" s="21" t="s">
        <v>510</v>
      </c>
      <c r="D103" s="21" t="s">
        <v>511</v>
      </c>
      <c r="E103" s="21"/>
      <c r="F103" s="21"/>
      <c r="G103" s="21"/>
      <c r="H103" s="21"/>
    </row>
    <row r="104" spans="1:8" x14ac:dyDescent="0.35">
      <c r="A104" s="21" t="s">
        <v>512</v>
      </c>
      <c r="B104" s="21" t="s">
        <v>500</v>
      </c>
      <c r="C104" s="21" t="s">
        <v>513</v>
      </c>
      <c r="D104" s="21" t="s">
        <v>495</v>
      </c>
      <c r="E104" s="21"/>
      <c r="F104" s="21"/>
      <c r="G104" s="21"/>
      <c r="H104" s="21"/>
    </row>
    <row r="105" spans="1:8" x14ac:dyDescent="0.35">
      <c r="A105" s="21" t="s">
        <v>496</v>
      </c>
      <c r="B105" s="21" t="s">
        <v>500</v>
      </c>
      <c r="C105" s="21" t="s">
        <v>514</v>
      </c>
      <c r="D105" s="21" t="s">
        <v>515</v>
      </c>
      <c r="E105" s="21"/>
      <c r="F105" s="21"/>
      <c r="G105" s="21"/>
      <c r="H105" s="21"/>
    </row>
    <row r="106" spans="1:8" x14ac:dyDescent="0.35">
      <c r="A106" s="21"/>
      <c r="B106" s="21"/>
      <c r="C106" s="21"/>
      <c r="D106" s="21"/>
      <c r="E106" s="21"/>
      <c r="F106" s="21"/>
      <c r="G106" s="21"/>
      <c r="H106" s="21"/>
    </row>
    <row r="107" spans="1:8" x14ac:dyDescent="0.35">
      <c r="A107" s="30" t="s">
        <v>455</v>
      </c>
      <c r="B107" s="30"/>
      <c r="C107" s="30"/>
      <c r="D107" s="30"/>
      <c r="E107" s="21"/>
      <c r="F107" s="21"/>
      <c r="G107" s="21"/>
      <c r="H107" s="21"/>
    </row>
    <row r="108" spans="1:8" x14ac:dyDescent="0.35">
      <c r="A108" s="38" t="s">
        <v>340</v>
      </c>
      <c r="B108" s="38" t="s">
        <v>479</v>
      </c>
      <c r="C108" s="38" t="s">
        <v>480</v>
      </c>
      <c r="D108" s="38" t="s">
        <v>2</v>
      </c>
      <c r="E108" s="21"/>
      <c r="F108" s="21"/>
      <c r="G108" s="21"/>
      <c r="H108" s="21"/>
    </row>
    <row r="109" spans="1:8" x14ac:dyDescent="0.35">
      <c r="A109" s="21" t="s">
        <v>499</v>
      </c>
      <c r="B109" s="21" t="s">
        <v>516</v>
      </c>
      <c r="C109" s="21" t="s">
        <v>517</v>
      </c>
      <c r="D109" s="21" t="s">
        <v>518</v>
      </c>
      <c r="E109" s="21"/>
      <c r="F109" s="21"/>
      <c r="G109" s="21"/>
      <c r="H109" s="21"/>
    </row>
    <row r="110" spans="1:8" x14ac:dyDescent="0.35">
      <c r="A110" s="21" t="s">
        <v>503</v>
      </c>
      <c r="B110" s="21" t="s">
        <v>516</v>
      </c>
      <c r="C110" s="21" t="s">
        <v>519</v>
      </c>
      <c r="D110" s="21" t="s">
        <v>520</v>
      </c>
      <c r="E110" s="21"/>
      <c r="F110" s="21"/>
      <c r="G110" s="21"/>
      <c r="H110" s="21"/>
    </row>
    <row r="111" spans="1:8" x14ac:dyDescent="0.35">
      <c r="A111" s="21" t="s">
        <v>506</v>
      </c>
      <c r="B111" s="21" t="s">
        <v>516</v>
      </c>
      <c r="C111" s="21" t="s">
        <v>521</v>
      </c>
      <c r="D111" s="21" t="s">
        <v>522</v>
      </c>
      <c r="E111" s="21"/>
      <c r="F111" s="21"/>
      <c r="G111" s="21"/>
      <c r="H111" s="21"/>
    </row>
    <row r="112" spans="1:8" x14ac:dyDescent="0.35">
      <c r="A112" s="21" t="s">
        <v>523</v>
      </c>
      <c r="B112" s="21" t="s">
        <v>516</v>
      </c>
      <c r="C112" s="21" t="s">
        <v>524</v>
      </c>
      <c r="D112" s="21" t="s">
        <v>525</v>
      </c>
      <c r="E112" s="21"/>
      <c r="F112" s="21"/>
      <c r="G112" s="21"/>
      <c r="H112" s="21"/>
    </row>
    <row r="113" spans="1:8" x14ac:dyDescent="0.35">
      <c r="A113" s="21" t="s">
        <v>526</v>
      </c>
      <c r="B113" s="21" t="s">
        <v>516</v>
      </c>
      <c r="C113" s="21" t="s">
        <v>527</v>
      </c>
      <c r="D113" s="21" t="s">
        <v>495</v>
      </c>
      <c r="E113" s="21"/>
      <c r="F113" s="21"/>
      <c r="G113" s="21"/>
      <c r="H113" s="21"/>
    </row>
    <row r="114" spans="1:8" x14ac:dyDescent="0.35">
      <c r="A114" s="21" t="s">
        <v>496</v>
      </c>
      <c r="B114" s="21" t="s">
        <v>516</v>
      </c>
      <c r="C114" s="21" t="s">
        <v>528</v>
      </c>
      <c r="D114" s="21" t="s">
        <v>515</v>
      </c>
      <c r="E114" s="21"/>
      <c r="F114" s="21"/>
      <c r="G114" s="21"/>
      <c r="H114" s="21"/>
    </row>
    <row r="115" spans="1:8" x14ac:dyDescent="0.35">
      <c r="A115" s="21"/>
      <c r="B115" s="21"/>
      <c r="C115" s="21"/>
      <c r="D115" s="21"/>
      <c r="E115" s="21"/>
      <c r="F115" s="21"/>
      <c r="G115" s="21"/>
      <c r="H115" s="21"/>
    </row>
    <row r="116" spans="1:8" x14ac:dyDescent="0.35">
      <c r="A116" s="101" t="s">
        <v>529</v>
      </c>
      <c r="B116" s="101"/>
      <c r="C116" s="101"/>
      <c r="D116" s="101"/>
      <c r="E116" s="21"/>
      <c r="F116" s="21"/>
      <c r="G116" s="21"/>
      <c r="H116" s="21"/>
    </row>
    <row r="117" spans="1:8" x14ac:dyDescent="0.35">
      <c r="A117" s="38" t="s">
        <v>340</v>
      </c>
      <c r="B117" s="38" t="s">
        <v>479</v>
      </c>
      <c r="C117" s="38" t="s">
        <v>480</v>
      </c>
      <c r="D117" s="38" t="s">
        <v>2</v>
      </c>
      <c r="E117" s="21"/>
      <c r="F117" s="21"/>
      <c r="G117" s="21"/>
      <c r="H117" s="21"/>
    </row>
    <row r="118" spans="1:8" x14ac:dyDescent="0.35">
      <c r="A118" s="21" t="s">
        <v>530</v>
      </c>
      <c r="B118" s="21" t="s">
        <v>531</v>
      </c>
      <c r="C118" s="21" t="s">
        <v>532</v>
      </c>
      <c r="D118" s="21" t="s">
        <v>533</v>
      </c>
      <c r="E118" s="21"/>
      <c r="F118" s="21"/>
      <c r="G118" s="21"/>
      <c r="H118" s="21"/>
    </row>
    <row r="119" spans="1:8" x14ac:dyDescent="0.35">
      <c r="A119" s="21" t="s">
        <v>534</v>
      </c>
      <c r="B119" s="21" t="s">
        <v>531</v>
      </c>
      <c r="C119" s="21" t="s">
        <v>535</v>
      </c>
      <c r="D119" s="21" t="s">
        <v>533</v>
      </c>
      <c r="E119" s="21"/>
      <c r="F119" s="21"/>
      <c r="G119" s="21"/>
      <c r="H119" s="21"/>
    </row>
    <row r="120" spans="1:8" x14ac:dyDescent="0.35">
      <c r="A120" s="21" t="s">
        <v>536</v>
      </c>
      <c r="B120" s="21" t="s">
        <v>531</v>
      </c>
      <c r="C120" s="21" t="s">
        <v>537</v>
      </c>
      <c r="D120" s="21" t="s">
        <v>533</v>
      </c>
      <c r="E120" s="21"/>
      <c r="F120" s="21"/>
      <c r="G120" s="21"/>
      <c r="H120" s="21"/>
    </row>
    <row r="121" spans="1:8" x14ac:dyDescent="0.35">
      <c r="A121" s="21" t="s">
        <v>538</v>
      </c>
      <c r="B121" s="21" t="s">
        <v>531</v>
      </c>
      <c r="C121" s="21" t="s">
        <v>539</v>
      </c>
      <c r="D121" s="21" t="s">
        <v>540</v>
      </c>
      <c r="E121" s="21"/>
      <c r="F121" s="21"/>
      <c r="G121" s="21"/>
      <c r="H121" s="21"/>
    </row>
    <row r="122" spans="1:8" x14ac:dyDescent="0.35">
      <c r="A122" s="21" t="s">
        <v>541</v>
      </c>
      <c r="B122" s="21" t="s">
        <v>541</v>
      </c>
      <c r="C122" s="21" t="s">
        <v>542</v>
      </c>
      <c r="D122" s="21" t="s">
        <v>543</v>
      </c>
      <c r="E122" s="21"/>
      <c r="F122" s="21"/>
      <c r="G122" s="21"/>
      <c r="H122" s="21"/>
    </row>
    <row r="123" spans="1:8" x14ac:dyDescent="0.35">
      <c r="A123" s="21"/>
      <c r="B123" s="21"/>
      <c r="C123" s="21"/>
      <c r="D123" s="21"/>
      <c r="E123" s="21"/>
      <c r="F123" s="21"/>
      <c r="G123" s="21"/>
      <c r="H123" s="21"/>
    </row>
    <row r="124" spans="1:8" x14ac:dyDescent="0.35">
      <c r="A124" s="102" t="s">
        <v>544</v>
      </c>
      <c r="B124" s="102"/>
      <c r="C124" s="102"/>
      <c r="D124" s="102"/>
      <c r="E124" s="21"/>
      <c r="F124" s="21"/>
      <c r="G124" s="21"/>
      <c r="H124" s="21"/>
    </row>
    <row r="125" spans="1:8" x14ac:dyDescent="0.35">
      <c r="A125" s="38" t="s">
        <v>340</v>
      </c>
      <c r="B125" s="38" t="s">
        <v>479</v>
      </c>
      <c r="C125" s="38" t="s">
        <v>480</v>
      </c>
      <c r="D125" s="38" t="s">
        <v>2</v>
      </c>
      <c r="E125" s="21"/>
      <c r="F125" s="21"/>
      <c r="G125" s="21"/>
      <c r="H125" s="21"/>
    </row>
    <row r="126" spans="1:8" x14ac:dyDescent="0.35">
      <c r="A126" s="21" t="s">
        <v>545</v>
      </c>
      <c r="B126" s="21" t="s">
        <v>546</v>
      </c>
      <c r="C126" s="21" t="s">
        <v>547</v>
      </c>
      <c r="D126" s="21" t="s">
        <v>548</v>
      </c>
      <c r="E126" s="21"/>
      <c r="F126" s="21"/>
      <c r="G126" s="21"/>
      <c r="H126" s="21"/>
    </row>
    <row r="127" spans="1:8" x14ac:dyDescent="0.35">
      <c r="A127" s="21" t="s">
        <v>549</v>
      </c>
      <c r="B127" s="21" t="s">
        <v>546</v>
      </c>
      <c r="C127" s="21" t="s">
        <v>550</v>
      </c>
      <c r="D127" s="21" t="s">
        <v>551</v>
      </c>
      <c r="E127" s="21"/>
      <c r="F127" s="21"/>
      <c r="G127" s="21"/>
      <c r="H127" s="21"/>
    </row>
    <row r="128" spans="1:8" x14ac:dyDescent="0.35">
      <c r="A128" s="21" t="s">
        <v>552</v>
      </c>
      <c r="B128" s="21" t="s">
        <v>546</v>
      </c>
      <c r="C128" s="21" t="s">
        <v>553</v>
      </c>
      <c r="D128" s="21" t="s">
        <v>554</v>
      </c>
      <c r="E128" s="21"/>
      <c r="F128" s="21"/>
      <c r="G128" s="21"/>
      <c r="H128" s="21"/>
    </row>
    <row r="129" spans="1:8" x14ac:dyDescent="0.35">
      <c r="A129" s="21" t="s">
        <v>555</v>
      </c>
      <c r="B129" s="21" t="s">
        <v>546</v>
      </c>
      <c r="C129" s="21" t="s">
        <v>556</v>
      </c>
      <c r="D129" s="21" t="s">
        <v>557</v>
      </c>
      <c r="E129" s="21"/>
      <c r="F129" s="21"/>
      <c r="G129" s="21"/>
      <c r="H129" s="21"/>
    </row>
  </sheetData>
  <mergeCells count="13">
    <mergeCell ref="A88:H88"/>
    <mergeCell ref="A52:H52"/>
    <mergeCell ref="A60:H60"/>
    <mergeCell ref="A66:H66"/>
    <mergeCell ref="A74:H74"/>
    <mergeCell ref="A85:H85"/>
    <mergeCell ref="A86:H86"/>
    <mergeCell ref="A1:H1"/>
    <mergeCell ref="A2:H2"/>
    <mergeCell ref="A6:H6"/>
    <mergeCell ref="A18:H18"/>
    <mergeCell ref="A30:H30"/>
    <mergeCell ref="A42:H42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f09a8f-df31-4464-b100-d09a5dbff5c8}" enabled="1" method="Standard" siteId="{570057f4-73ef-41c8-bcbb-08db2fc15c2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Executive Dashboard</vt:lpstr>
      <vt:lpstr>Business Case</vt:lpstr>
      <vt:lpstr>Multi-Cloud Comparison</vt:lpstr>
      <vt:lpstr>Cloud Provider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Upendra Kumar</cp:lastModifiedBy>
  <cp:revision>0</cp:revision>
  <dcterms:created xsi:type="dcterms:W3CDTF">2026-04-25T12:28:23Z</dcterms:created>
  <dcterms:modified xsi:type="dcterms:W3CDTF">2026-04-26T14:16:00Z</dcterms:modified>
  <dc:language>en-US</dc:language>
</cp:coreProperties>
</file>