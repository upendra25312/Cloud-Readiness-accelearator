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raxglobal-my.sharepoint.com/personal/upendra_kumar_rackspace_com1/Documents/Projects/DMG/Cloud Readiness acceleartor/Templates/"/>
    </mc:Choice>
  </mc:AlternateContent>
  <xr:revisionPtr revIDLastSave="4917" documentId="11_D5D7E14EDE16D94A597B8EE44C5FC6B56F0E33A0" xr6:coauthVersionLast="47" xr6:coauthVersionMax="47" xr10:uidLastSave="{9A032689-B27A-4A16-962E-E6EBDC1D1AB4}"/>
  <bookViews>
    <workbookView xWindow="28680" yWindow="-120" windowWidth="29040" windowHeight="15720" tabRatio="500" xr2:uid="{00000000-000D-0000-FFFF-FFFF00000000}"/>
  </bookViews>
  <sheets>
    <sheet name="Read Me" sheetId="4" r:id="rId1"/>
    <sheet name="Assumptions" sheetId="5" r:id="rId2"/>
    <sheet name="AWS Evaluation" sheetId="1" r:id="rId3"/>
    <sheet name="AWS Unsupported" sheetId="6" r:id="rId4"/>
  </sheets>
  <definedNames>
    <definedName name="_xlnm.Print_Area" localSheetId="1">Assumptions!$A$1:$F$128</definedName>
    <definedName name="_xlnm.Print_Area" localSheetId="0">'Read Me'!$A$1:$E$133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79" i="1" l="1"/>
  <c r="D79" i="1"/>
  <c r="E78" i="1"/>
  <c r="E77" i="1"/>
  <c r="E76" i="1"/>
  <c r="E75" i="1"/>
  <c r="E74" i="1"/>
  <c r="E73" i="1"/>
  <c r="E72" i="1"/>
  <c r="E71" i="1"/>
  <c r="D78" i="1"/>
  <c r="D77" i="1"/>
  <c r="D76" i="1"/>
  <c r="D75" i="1"/>
  <c r="D74" i="1"/>
  <c r="D73" i="1"/>
  <c r="D72" i="1"/>
  <c r="D71" i="1"/>
  <c r="D67" i="1"/>
  <c r="C67" i="1"/>
  <c r="B67" i="1"/>
  <c r="D50" i="1"/>
  <c r="C50" i="1"/>
  <c r="B50" i="1"/>
  <c r="D82" i="5"/>
  <c r="C82" i="5"/>
  <c r="B82" i="5"/>
  <c r="E81" i="5" s="1"/>
  <c r="D81" i="5"/>
  <c r="D80" i="5"/>
  <c r="D79" i="5"/>
  <c r="D78" i="5"/>
  <c r="D77" i="5"/>
  <c r="D76" i="5"/>
  <c r="D75" i="5"/>
  <c r="D74" i="5"/>
  <c r="D73" i="5"/>
  <c r="D72" i="5"/>
  <c r="D71" i="5"/>
  <c r="C81" i="5"/>
  <c r="C80" i="5"/>
  <c r="C79" i="5"/>
  <c r="C78" i="5"/>
  <c r="C77" i="5"/>
  <c r="C76" i="5"/>
  <c r="C75" i="5"/>
  <c r="C74" i="5"/>
  <c r="C73" i="5"/>
  <c r="C72" i="5"/>
  <c r="C71" i="5"/>
  <c r="E65" i="5"/>
  <c r="E51" i="5"/>
  <c r="E84" i="1"/>
  <c r="E85" i="1"/>
  <c r="E86" i="1"/>
  <c r="E87" i="1"/>
  <c r="D65" i="5"/>
  <c r="C65" i="5"/>
  <c r="C51" i="5"/>
  <c r="B51" i="5"/>
  <c r="E38" i="5"/>
  <c r="D38" i="5"/>
  <c r="C38" i="5"/>
  <c r="B38" i="5"/>
  <c r="E29" i="5"/>
  <c r="D29" i="5"/>
  <c r="C29" i="5"/>
  <c r="B29" i="5"/>
  <c r="B88" i="1"/>
  <c r="B118" i="1"/>
  <c r="D117" i="1"/>
  <c r="D116" i="1"/>
  <c r="D115" i="1"/>
  <c r="D114" i="1"/>
  <c r="D113" i="1"/>
  <c r="D112" i="1"/>
  <c r="D111" i="1"/>
  <c r="C40" i="5" l="1"/>
  <c r="E74" i="5"/>
  <c r="E75" i="5"/>
  <c r="E77" i="5"/>
  <c r="E71" i="5"/>
  <c r="E79" i="5"/>
  <c r="E72" i="5"/>
  <c r="E80" i="5"/>
  <c r="E76" i="5"/>
  <c r="E78" i="5"/>
  <c r="E73" i="5"/>
  <c r="B40" i="5"/>
  <c r="D40" i="5"/>
  <c r="E40" i="5"/>
  <c r="B55" i="1"/>
  <c r="D118" i="1"/>
  <c r="E67" i="1"/>
  <c r="E50" i="1"/>
  <c r="E118" i="1" l="1"/>
  <c r="A4" i="1"/>
</calcChain>
</file>

<file path=xl/sharedStrings.xml><?xml version="1.0" encoding="utf-8"?>
<sst xmlns="http://schemas.openxmlformats.org/spreadsheetml/2006/main" count="1291" uniqueCount="982">
  <si>
    <t>AWS Evaluation Framework</t>
  </si>
  <si>
    <t>Version 1.0 | Phase: Evaluation | Task 4.1 | Requirements 4.1, 4.2, 4.3, 4.6</t>
  </si>
  <si>
    <t>Section 1 — AWS Service Compatibility Assessment</t>
  </si>
  <si>
    <t>Application</t>
  </si>
  <si>
    <t>Current Platform</t>
  </si>
  <si>
    <t>AWS Target Service</t>
  </si>
  <si>
    <t>Compatibility</t>
  </si>
  <si>
    <t>Migration Approach</t>
  </si>
  <si>
    <t>Notes</t>
  </si>
  <si>
    <t>AWS Service</t>
  </si>
  <si>
    <t>Qty</t>
  </si>
  <si>
    <t>Owner</t>
  </si>
  <si>
    <t>Physical Server</t>
  </si>
  <si>
    <t>EC2</t>
  </si>
  <si>
    <t>General (M) / Compute (C) / Memory (R) / Storage (I)</t>
  </si>
  <si>
    <t>VMware VM</t>
  </si>
  <si>
    <t>EC2 / VMware Cloud on AWS</t>
  </si>
  <si>
    <t>Container</t>
  </si>
  <si>
    <t>ECS / EKS / Fargate</t>
  </si>
  <si>
    <t>Serverless</t>
  </si>
  <si>
    <t>Lambda</t>
  </si>
  <si>
    <t>Database Mapping</t>
  </si>
  <si>
    <t>Current DB</t>
  </si>
  <si>
    <t>Migration Path</t>
  </si>
  <si>
    <t>Licensing</t>
  </si>
  <si>
    <t>Oracle</t>
  </si>
  <si>
    <t>RDS Oracle / Aurora PostgreSQL</t>
  </si>
  <si>
    <t>Lift &amp; Shift / Refactor to Aurora</t>
  </si>
  <si>
    <t>BYOL / License Included</t>
  </si>
  <si>
    <t>SQL Server</t>
  </si>
  <si>
    <t>Lift &amp; Shift / Refactor</t>
  </si>
  <si>
    <t>MySQL</t>
  </si>
  <si>
    <t>RDS MySQL / Aurora MySQL</t>
  </si>
  <si>
    <t>Direct Migration / Aurora</t>
  </si>
  <si>
    <t>PostgreSQL</t>
  </si>
  <si>
    <t>RDS PostgreSQL / Aurora PostgreSQL</t>
  </si>
  <si>
    <t>MongoDB</t>
  </si>
  <si>
    <t>DocumentDB / MongoDB Atlas</t>
  </si>
  <si>
    <t>Storage Mapping</t>
  </si>
  <si>
    <t>Current Storage</t>
  </si>
  <si>
    <t>Tier</t>
  </si>
  <si>
    <t>Volume (TB)</t>
  </si>
  <si>
    <t>SAN (Tier 1)</t>
  </si>
  <si>
    <t>EBS gp3/io2</t>
  </si>
  <si>
    <t>Performance</t>
  </si>
  <si>
    <t>NAS / File Share</t>
  </si>
  <si>
    <t>EFS / FSx</t>
  </si>
  <si>
    <t>Standard</t>
  </si>
  <si>
    <t>Object Storage</t>
  </si>
  <si>
    <t>S3 Standard</t>
  </si>
  <si>
    <t>Frequent Access</t>
  </si>
  <si>
    <t>Archive</t>
  </si>
  <si>
    <t>S3 Glacier</t>
  </si>
  <si>
    <t>Backup</t>
  </si>
  <si>
    <t>S3 / AWS Backup</t>
  </si>
  <si>
    <t>Section 2 — AWS Regional Assessment</t>
  </si>
  <si>
    <t>Reference: DMG MPA Pricing — London, Ireland, Frankfurt</t>
  </si>
  <si>
    <t>Factor</t>
  </si>
  <si>
    <t>eu-west-2 (London)</t>
  </si>
  <si>
    <t>eu-west-1 (Ireland)</t>
  </si>
  <si>
    <t>eu-central-1 (Frankfurt)</t>
  </si>
  <si>
    <t>Preferred</t>
  </si>
  <si>
    <t>Data Residency Compliant (Yes/No)</t>
  </si>
  <si>
    <t>Latency to Users (ms)</t>
  </si>
  <si>
    <t>Service Availability</t>
  </si>
  <si>
    <t>Recommended Region</t>
  </si>
  <si>
    <t>Rationale</t>
  </si>
  <si>
    <t>Section 3 — AWS Cost Estimation</t>
  </si>
  <si>
    <t>Migration Approach Comparison (Reference: DMG Lift &amp; Shift vs. DB Refactoring)</t>
  </si>
  <si>
    <t>Cost Category</t>
  </si>
  <si>
    <t>Selected</t>
  </si>
  <si>
    <t>Tool Licensing</t>
  </si>
  <si>
    <t>Training</t>
  </si>
  <si>
    <t>Testing/Validation</t>
  </si>
  <si>
    <t>Downtime Cost</t>
  </si>
  <si>
    <t>Total Migration Cost</t>
  </si>
  <si>
    <t>Monthly Run-Rate (Post-Migration)</t>
  </si>
  <si>
    <t>Service</t>
  </si>
  <si>
    <t>Quantity</t>
  </si>
  <si>
    <t>EC2 Instances</t>
  </si>
  <si>
    <t>RDS Databases</t>
  </si>
  <si>
    <t>EBS Storage</t>
  </si>
  <si>
    <t>S3 Storage</t>
  </si>
  <si>
    <t>Data Transfer</t>
  </si>
  <si>
    <t>ELB / ALB</t>
  </si>
  <si>
    <t>CloudWatch</t>
  </si>
  <si>
    <t>AWS Support</t>
  </si>
  <si>
    <t>Total</t>
  </si>
  <si>
    <t>Pricing Model Comparison</t>
  </si>
  <si>
    <t>Model</t>
  </si>
  <si>
    <t>Savings vs. On-Demand (%)</t>
  </si>
  <si>
    <t>On-Demand</t>
  </si>
  <si>
    <t>—</t>
  </si>
  <si>
    <t>1-Year Reserved (No Upfront)</t>
  </si>
  <si>
    <t>1-Year Reserved (All Upfront)</t>
  </si>
  <si>
    <t>3-Year Reserved (All Upfront)</t>
  </si>
  <si>
    <t>Savings Plans (Compute)</t>
  </si>
  <si>
    <t>Recommended Pricing Model</t>
  </si>
  <si>
    <t>Section 4 — AWS Migration Path</t>
  </si>
  <si>
    <t>Phase</t>
  </si>
  <si>
    <t>Activities</t>
  </si>
  <si>
    <t>Duration (weeks)</t>
  </si>
  <si>
    <t>Resources</t>
  </si>
  <si>
    <t>Dependencies</t>
  </si>
  <si>
    <t>Assessment</t>
  </si>
  <si>
    <t>Detailed discovery, dependency mapping</t>
  </si>
  <si>
    <t>Planning</t>
  </si>
  <si>
    <t>Migration runbook, testing plan</t>
  </si>
  <si>
    <t>Pilot</t>
  </si>
  <si>
    <t>Migrate 2-3 non-critical apps</t>
  </si>
  <si>
    <t>Wave 1</t>
  </si>
  <si>
    <t>First production migration wave</t>
  </si>
  <si>
    <t>Wave N</t>
  </si>
  <si>
    <t>Subsequent waves</t>
  </si>
  <si>
    <t>Optimization</t>
  </si>
  <si>
    <t>Right-sizing, cost optimization</t>
  </si>
  <si>
    <t>Ongoing</t>
  </si>
  <si>
    <t>AWS Migration Tools</t>
  </si>
  <si>
    <t>Tool</t>
  </si>
  <si>
    <t>Purpose</t>
  </si>
  <si>
    <t>Applicable</t>
  </si>
  <si>
    <t>Status</t>
  </si>
  <si>
    <t>AWS Migration Hub</t>
  </si>
  <si>
    <t>Central tracking</t>
  </si>
  <si>
    <t>AWS Application Migration Service</t>
  </si>
  <si>
    <t>Server replication</t>
  </si>
  <si>
    <t>AWS Database Migration Service</t>
  </si>
  <si>
    <t>Database migration</t>
  </si>
  <si>
    <t>AWS Schema Conversion Tool</t>
  </si>
  <si>
    <t>Schema conversion</t>
  </si>
  <si>
    <t>AWS Migration Evaluator</t>
  </si>
  <si>
    <t>Cost modeling</t>
  </si>
  <si>
    <t>Section 5 — AWS Fit Score</t>
  </si>
  <si>
    <t>Weight</t>
  </si>
  <si>
    <t>Score (0-100)</t>
  </si>
  <si>
    <t>Weighted Score</t>
  </si>
  <si>
    <t>Evidence</t>
  </si>
  <si>
    <t>Service Compatibility</t>
  </si>
  <si>
    <t>Cost Competitiveness</t>
  </si>
  <si>
    <t>Regional Availability</t>
  </si>
  <si>
    <t>Migration Tooling</t>
  </si>
  <si>
    <t>Team Expertise</t>
  </si>
  <si>
    <t>Vendor Relationship</t>
  </si>
  <si>
    <t>Strategic Alignment</t>
  </si>
  <si>
    <t>AWS Fit Score</t>
  </si>
  <si>
    <t>RDS SQL Server / Aurora PostgreSQL</t>
  </si>
  <si>
    <t>📘 AWS EVALUATION FRAMEWORK — USER GUIDE</t>
  </si>
  <si>
    <t>Cloud Readiness Accelerator Framework | Version 1.0 | Phase: Evaluation</t>
  </si>
  <si>
    <t>Document Owner: Cloud Solutions Architecture Team | Last Updated: April 2026 | Classification: Internal</t>
  </si>
  <si>
    <t>1️⃣  DOCUMENT PURPOSE</t>
  </si>
  <si>
    <t>This AWS Evaluation Framework provides a structured methodology for assessing Amazon Web Services (AWS) as a cloud platform for your organization's workload migration. It aligns with the AWS Cloud Adoption Framework (CAF) and addresses Requirements 4.1 (Service Compatibility), 4.2 (Regional Assessment), 4.3 (Cost Estimation), and 4.6 (Fit Score Analysis).</t>
  </si>
  <si>
    <t>2️⃣  QUICK START GUIDE — COMPLETE THESE STEPS IN ORDER</t>
  </si>
  <si>
    <t>Step</t>
  </si>
  <si>
    <t>Action</t>
  </si>
  <si>
    <t>Section</t>
  </si>
  <si>
    <t>Priority</t>
  </si>
  <si>
    <t>Step 1</t>
  </si>
  <si>
    <t>Section 1</t>
  </si>
  <si>
    <t>🔴 Critical</t>
  </si>
  <si>
    <t>Step 2</t>
  </si>
  <si>
    <t>Map Compute, Database, and Storage services to AWS equivalents</t>
  </si>
  <si>
    <t>Step 3</t>
  </si>
  <si>
    <t>Enter regional cost estimates from AWS Pricing Calculator</t>
  </si>
  <si>
    <t>Section 2</t>
  </si>
  <si>
    <t>Step 4</t>
  </si>
  <si>
    <t>Compare migration approach costs (Lift &amp; Shift vs. Refactor)</t>
  </si>
  <si>
    <t>Section 3</t>
  </si>
  <si>
    <t>Step 5</t>
  </si>
  <si>
    <t>Complete monthly run-rate estimates for post-migration</t>
  </si>
  <si>
    <t>🟡 High</t>
  </si>
  <si>
    <t>Step 6</t>
  </si>
  <si>
    <t>Define migration phases, tools, and ownership</t>
  </si>
  <si>
    <t>Section 4</t>
  </si>
  <si>
    <t>Step 7</t>
  </si>
  <si>
    <t>Score each Fit Factor (0-100) to calculate AWS Fit Score</t>
  </si>
  <si>
    <t>Section 5</t>
  </si>
  <si>
    <t>3️⃣  DETAILED SECTION GUIDE</t>
  </si>
  <si>
    <t>Purpose:</t>
  </si>
  <si>
    <t>Map your current on-premises or legacy infrastructure to AWS target services</t>
  </si>
  <si>
    <t>Key Fields:</t>
  </si>
  <si>
    <t>Application Name, Current Platform, AWS Target Service, Compatibility Status, Migration Approach</t>
  </si>
  <si>
    <t>Data Sources:</t>
  </si>
  <si>
    <t>Application Discovery Service, AWS Migration Evaluator, Manual Inventory</t>
  </si>
  <si>
    <t>Output:</t>
  </si>
  <si>
    <t>Complete inventory of all applications and their AWS migration targets with compatibility ratings</t>
  </si>
  <si>
    <t>Subsections within Section 1:</t>
  </si>
  <si>
    <t>Map physical servers, VMs, containers to EC2, ECS/EKS, Lambda</t>
  </si>
  <si>
    <t>Use AWS Compute Optimizer for sizing</t>
  </si>
  <si>
    <t>Map Oracle, SQL Server, MySQL, PostgreSQL, MongoDB to RDS/Aurora</t>
  </si>
  <si>
    <t>Consider license implications (BYOL vs. Included)</t>
  </si>
  <si>
    <t>Map SAN, NAS, Object, Archive storage to EBS, EFS, S3, Glacier</t>
  </si>
  <si>
    <t>Use S3 Intelligent-Tiering for variable access</t>
  </si>
  <si>
    <t>Compare AWS regions (London, Ireland, Frankfurt) for optimal workload placement</t>
  </si>
  <si>
    <t>Compute/Storage/Database Costs, Data Residency Compliance, Latency, Service Availability</t>
  </si>
  <si>
    <t>AWS Pricing Calculator, AWS Regional Services List, Network latency testing</t>
  </si>
  <si>
    <t>Formula:</t>
  </si>
  <si>
    <t>Estimate migration costs and ongoing monthly run-rate for AWS infrastructure</t>
  </si>
  <si>
    <t>Key Areas:</t>
  </si>
  <si>
    <t>Migration Approach Comparison, Monthly Run-Rate, Pricing Model Comparison</t>
  </si>
  <si>
    <t>Formulas:</t>
  </si>
  <si>
    <t>Best Practice:</t>
  </si>
  <si>
    <t>Use AWS Cost Explorer and Trusted Advisor post-migration for ongoing optimization</t>
  </si>
  <si>
    <t>Define the migration phases, timeline, resources, and tooling strategy</t>
  </si>
  <si>
    <t>Phases:</t>
  </si>
  <si>
    <t>Assessment → Planning → Pilot → Wave 1 → Wave N → Optimization</t>
  </si>
  <si>
    <t>AWS Tools:</t>
  </si>
  <si>
    <t>Migration Hub, Application Migration Service (MGN), Database Migration Service (DMS), Schema Conversion Tool</t>
  </si>
  <si>
    <t>Guidance:</t>
  </si>
  <si>
    <t>Start with non-critical applications in Pilot phase; use wave-based approach for production</t>
  </si>
  <si>
    <t>Calculate a weighted Fit Score to objectively assess AWS suitability for your workloads</t>
  </si>
  <si>
    <t>Scoring:</t>
  </si>
  <si>
    <t>Enter scores from 0-100 in Column C; Weighted Score auto-calculates in Column D</t>
  </si>
  <si>
    <t>Interpretation:</t>
  </si>
  <si>
    <t>≥80 = Strong Fit | 60-79 = Moderate Fit | 40-59 = Conditional Fit | &lt;40 = Poor Fit</t>
  </si>
  <si>
    <t>4️⃣  FIT SCORE INTERPRETATION MATRIX</t>
  </si>
  <si>
    <t>Score Range</t>
  </si>
  <si>
    <t>Rating</t>
  </si>
  <si>
    <t>Recommendation</t>
  </si>
  <si>
    <t>Action Required</t>
  </si>
  <si>
    <t>80 - 100</t>
  </si>
  <si>
    <t>🟢 Strong Fit</t>
  </si>
  <si>
    <t>Proceed with AWS migration</t>
  </si>
  <si>
    <t>Begin detailed planning and pilot phase</t>
  </si>
  <si>
    <t>60 - 79</t>
  </si>
  <si>
    <t>🟡 Moderate Fit</t>
  </si>
  <si>
    <t>Proceed with caution</t>
  </si>
  <si>
    <t>Address gap areas before full migration</t>
  </si>
  <si>
    <t>40 - 59</t>
  </si>
  <si>
    <t>🟠 Conditional Fit</t>
  </si>
  <si>
    <t>Requires significant remediation</t>
  </si>
  <si>
    <t>Conduct detailed gap analysis; consider hybrid</t>
  </si>
  <si>
    <t>0 - 39</t>
  </si>
  <si>
    <t>🔴 Poor Fit</t>
  </si>
  <si>
    <t>AWS may not be optimal</t>
  </si>
  <si>
    <t>Evaluate alternatives (Azure, GCP, Private Cloud)</t>
  </si>
  <si>
    <t>5️⃣  DATA ENTRY GUIDELINES &amp; BEST PRACTICES</t>
  </si>
  <si>
    <t>✅ DO:</t>
  </si>
  <si>
    <t>❌ DON'T:</t>
  </si>
  <si>
    <t>Use AWS Pricing Calculator for accurate cost estimates</t>
  </si>
  <si>
    <t>Estimate costs without validation from AWS tools</t>
  </si>
  <si>
    <t>Complete ALL sections before calculating Fit Score</t>
  </si>
  <si>
    <t>Calculate Fit Score with incomplete data</t>
  </si>
  <si>
    <t>Include all dependent services (monitoring, backup, DR)</t>
  </si>
  <si>
    <t>Forget ancillary services that add to TCO</t>
  </si>
  <si>
    <t>Document assumptions in the Notes column</t>
  </si>
  <si>
    <t>Leave Notes columns empty</t>
  </si>
  <si>
    <t>Validate data residency requirements with Legal/Compliance</t>
  </si>
  <si>
    <t>Assume data residency without verification</t>
  </si>
  <si>
    <t>Use BYOL licensing where existing entitlements apply</t>
  </si>
  <si>
    <t>Double-pay for licenses already owned</t>
  </si>
  <si>
    <t>Consider Reserved Instances for steady-state workloads</t>
  </si>
  <si>
    <t>Default to On-Demand for predictable workloads</t>
  </si>
  <si>
    <t>Include egress costs in Data Transfer estimates</t>
  </si>
  <si>
    <t>Underestimate data transfer out costs</t>
  </si>
  <si>
    <t>Re-validate scores after detailed discovery phase</t>
  </si>
  <si>
    <t>Treat initial scores as final</t>
  </si>
  <si>
    <t>Tool / Resource</t>
  </si>
  <si>
    <t>Access</t>
  </si>
  <si>
    <t>AWS Pricing Calculator</t>
  </si>
  <si>
    <t>Estimate costs for AWS services</t>
  </si>
  <si>
    <t>calculator.aws</t>
  </si>
  <si>
    <t>Central tracking for migrations</t>
  </si>
  <si>
    <t>AWS Console &gt; Migration Hub</t>
  </si>
  <si>
    <t>Automated lift-and-shift migrations</t>
  </si>
  <si>
    <t>AWS Console &gt; MGN</t>
  </si>
  <si>
    <t>Database migration and replication</t>
  </si>
  <si>
    <t>AWS Console &gt; DMS</t>
  </si>
  <si>
    <t>Schema conversion for database migration</t>
  </si>
  <si>
    <t>Downloadable Tool</t>
  </si>
  <si>
    <t>AWS Well-Architected Tool</t>
  </si>
  <si>
    <t>Review workloads against best practices</t>
  </si>
  <si>
    <t>AWS Console &gt; Well-Architected</t>
  </si>
  <si>
    <t>AWS Trusted Advisor</t>
  </si>
  <si>
    <t>Cost optimization recommendations</t>
  </si>
  <si>
    <t>AWS Console &gt; Trusted Advisor</t>
  </si>
  <si>
    <t>AWS Compute Optimizer</t>
  </si>
  <si>
    <t>Right-sizing recommendations for EC2</t>
  </si>
  <si>
    <t>AWS Console &gt; Compute Optimizer</t>
  </si>
  <si>
    <t>7️⃣  ROLES &amp; RESPONSIBILITIES (RACI MATRIX)</t>
  </si>
  <si>
    <t>Activity</t>
  </si>
  <si>
    <t>Cloud Architect</t>
  </si>
  <si>
    <t>Project Manager</t>
  </si>
  <si>
    <t>Application Owner</t>
  </si>
  <si>
    <t>Finance</t>
  </si>
  <si>
    <t>Section 1: Service Mapping</t>
  </si>
  <si>
    <t>R</t>
  </si>
  <si>
    <t>A</t>
  </si>
  <si>
    <t>C</t>
  </si>
  <si>
    <t>I</t>
  </si>
  <si>
    <t>Section 2: Regional Assessment</t>
  </si>
  <si>
    <t>Section 3: Cost Estimation</t>
  </si>
  <si>
    <t>Section 4: Migration Planning</t>
  </si>
  <si>
    <t>Section 5: Fit Score</t>
  </si>
  <si>
    <t>Final Approval</t>
  </si>
  <si>
    <t>R = Responsible | A = Accountable | C = Consulted | I = Informed</t>
  </si>
  <si>
    <t>8️⃣  VERSION HISTORY &amp; CHANGE LOG</t>
  </si>
  <si>
    <t>Version</t>
  </si>
  <si>
    <t>Date</t>
  </si>
  <si>
    <t>Author</t>
  </si>
  <si>
    <t>Changes</t>
  </si>
  <si>
    <t>Cloud Solutions Architecture Team</t>
  </si>
  <si>
    <t>Initial release - AWS Evaluation Framework</t>
  </si>
  <si>
    <t>(Add future versions here)</t>
  </si>
  <si>
    <t>9️⃣  CONTACT &amp; SUPPORT</t>
  </si>
  <si>
    <t>Technical Questions:</t>
  </si>
  <si>
    <t>Contact your assigned Cloud Solutions Architect</t>
  </si>
  <si>
    <t>AWS Account Support:</t>
  </si>
  <si>
    <t>AWS Support Center via AWS Console or TAM</t>
  </si>
  <si>
    <t>Template Feedback:</t>
  </si>
  <si>
    <t>Submit via Cloud Center of Excellence (CCoE) Portal</t>
  </si>
  <si>
    <t>© 2026 Cloud Readiness Accelerator Framework | Confidential — For Internal Use Only</t>
  </si>
  <si>
    <t>• This evaluation framework is for initial assessment purposes. Final decisions require detailed due diligence.</t>
  </si>
  <si>
    <t>• Cost estimates are based on publicly available AWS pricing. Contact AWS for enterprise pricing and EDPs.</t>
  </si>
  <si>
    <t>• Data residency and compliance requirements must be validated with your Legal and Compliance teams.</t>
  </si>
  <si>
    <t>• AWS services and pricing are subject to change. Verify current availability in AWS Regional Services List.</t>
  </si>
  <si>
    <t>• Consider engaging AWS Professional Services or an AWS Partner for complex migrations.</t>
  </si>
  <si>
    <t>Compute Cost (Monthly $)</t>
  </si>
  <si>
    <t>Storage Cost (Monthly $)</t>
  </si>
  <si>
    <t>Data Transfer Cost ($)</t>
  </si>
  <si>
    <t>Database Cost (Monthly $)</t>
  </si>
  <si>
    <t>Total Monthly Estimate ($)</t>
  </si>
  <si>
    <t>Lift &amp; Shift ($)</t>
  </si>
  <si>
    <t>Replatform ($)</t>
  </si>
  <si>
    <t>Refactor ($)</t>
  </si>
  <si>
    <t>Unit Cost ($)</t>
  </si>
  <si>
    <t>Monthly Cost ($)</t>
  </si>
  <si>
    <t>Annual Cost ($)</t>
  </si>
  <si>
    <t>3-Year Cost ($)</t>
  </si>
  <si>
    <t>Estimated Cost / GB / Month ($)</t>
  </si>
  <si>
    <t>💱 Currency: USD ($) — Adjust currency based on project client location as per regional requirements</t>
  </si>
  <si>
    <t>Enter all costs in project client's local currency (Default: $ USD)</t>
  </si>
  <si>
    <t>Mix currencies without proper conversion to client's base currency</t>
  </si>
  <si>
    <t>💱  CURRENCY CONFIGURATION</t>
  </si>
  <si>
    <t>Guideline</t>
  </si>
  <si>
    <t>Description</t>
  </si>
  <si>
    <t>Example</t>
  </si>
  <si>
    <t>Default Currency</t>
  </si>
  <si>
    <t>USD ($) is the default currency used in this framework</t>
  </si>
  <si>
    <t>Client Location Rule</t>
  </si>
  <si>
    <t>Currency MUST be selected based on project client's geographic location</t>
  </si>
  <si>
    <t>UK Client → GBP (£) | EU Client → EUR (€)</t>
  </si>
  <si>
    <t>Consistency Requirement</t>
  </si>
  <si>
    <t>ALL cost entries must use the same currency throughout the workbook</t>
  </si>
  <si>
    <t>Do NOT mix $ and £ in same sheet</t>
  </si>
  <si>
    <t>Conversion Source</t>
  </si>
  <si>
    <t>Use official exchange rates from XE.com or client's corporate treasury rates</t>
  </si>
  <si>
    <t>Document rate &amp; date used</t>
  </si>
  <si>
    <t>Set the currency in AWS Pricing Calculator to match client's currency before export</t>
  </si>
  <si>
    <t>calculator.aws → Settings → Currency</t>
  </si>
  <si>
    <t>Common Currency Selection by Client Region:</t>
  </si>
  <si>
    <t>Client Region</t>
  </si>
  <si>
    <t>Currency</t>
  </si>
  <si>
    <t>Symbol</t>
  </si>
  <si>
    <t>United States / Americas</t>
  </si>
  <si>
    <t>US Dollar</t>
  </si>
  <si>
    <t>$ (USD)</t>
  </si>
  <si>
    <t>United Kingdom</t>
  </si>
  <si>
    <t>British Pound</t>
  </si>
  <si>
    <t>£ (GBP)</t>
  </si>
  <si>
    <t>European Union</t>
  </si>
  <si>
    <t>Euro</t>
  </si>
  <si>
    <t>€ (EUR)</t>
  </si>
  <si>
    <t>India</t>
  </si>
  <si>
    <t>Indian Rupee</t>
  </si>
  <si>
    <t>₹ (INR)</t>
  </si>
  <si>
    <t>Japan</t>
  </si>
  <si>
    <t>Japanese Yen</t>
  </si>
  <si>
    <t>¥ (JPY)</t>
  </si>
  <si>
    <t>Australia</t>
  </si>
  <si>
    <t>Australian Dollar</t>
  </si>
  <si>
    <t>A$ (AUD)</t>
  </si>
  <si>
    <t>$ 10,000</t>
  </si>
  <si>
    <t>📊 EXECUTIVE SUMMARY — AWS CLOUD READINESS ASSESSMENT</t>
  </si>
  <si>
    <t>Prepared for Senior Leadership | Confidential</t>
  </si>
  <si>
    <t>Value</t>
  </si>
  <si>
    <t>⏳ Pending</t>
  </si>
  <si>
    <t>💡 TIP: When all checklist items show ✅ PASS in the Executive Summary, the assessment is ready for AWS Senior Leadership review.</t>
  </si>
  <si>
    <t>Lift &amp; Shift to RDS / Refactor to Aurora PostgreSQL</t>
  </si>
  <si>
    <t>Template Version 1.0 | Last Updated: April 2026 | Cloud Readiness Accelerator Framework</t>
  </si>
  <si>
    <t>Notes / Assumptions</t>
  </si>
  <si>
    <t>Compatibility (High/Med/Low)</t>
  </si>
  <si>
    <t>Compliance Notes (GDPR/SOC2/ISO)</t>
  </si>
  <si>
    <t>Data Sovereignty Check</t>
  </si>
  <si>
    <t>Verify with Legal/Compliance team</t>
  </si>
  <si>
    <t>Rollback Plan</t>
  </si>
  <si>
    <t>Document rollback procedures for each wave</t>
  </si>
  <si>
    <t>Required</t>
  </si>
  <si>
    <t>High</t>
  </si>
  <si>
    <t>Industry Benchmark</t>
  </si>
  <si>
    <t>Typical: 70-90</t>
  </si>
  <si>
    <t>📋  TEMPLATE GOVERNANCE &amp; MAINTENANCE</t>
  </si>
  <si>
    <t>Do NOT modify formulas</t>
  </si>
  <si>
    <t>All formulas are pre-configured; only enter values in designated input cells</t>
  </si>
  <si>
    <t>All Users</t>
  </si>
  <si>
    <t>Do NOT delete rows/columns</t>
  </si>
  <si>
    <t>Structure is designed for cross-reference; deletions break formulas</t>
  </si>
  <si>
    <t>Template Updates</t>
  </si>
  <si>
    <t>Request changes through Cloud Center of Excellence (CCoE)</t>
  </si>
  <si>
    <t>CCoE Team</t>
  </si>
  <si>
    <t>Version Control</t>
  </si>
  <si>
    <t>Save project copies as: [ClientName]_AWS_Eval_[Date].xlsx</t>
  </si>
  <si>
    <t>Annual Review</t>
  </si>
  <si>
    <t>Template reviewed annually for AWS service updates &amp; pricing changes</t>
  </si>
  <si>
    <t>Customization Requests</t>
  </si>
  <si>
    <t>Industry-specific variants (Healthcare, Finance) available upon request</t>
  </si>
  <si>
    <t>🎯  INPUT CELLS vs. FORMULA CELLS — QUICK REFERENCE</t>
  </si>
  <si>
    <t>Input Cells (Enter Data Here)</t>
  </si>
  <si>
    <t>Formula Cells (Auto-Calculated)</t>
  </si>
  <si>
    <t>None — All manual entry</t>
  </si>
  <si>
    <t>None — Fully automated</t>
  </si>
  <si>
    <t>⚙️  FRAMEWORK ASSUMPTIONS &amp; KNOWN LIMITATIONS</t>
  </si>
  <si>
    <t>Category</t>
  </si>
  <si>
    <t>Assumption / Limitation</t>
  </si>
  <si>
    <t>Mitigation / Action</t>
  </si>
  <si>
    <t>Pricing</t>
  </si>
  <si>
    <t>Based on public AWS pricing; enterprise discounts not included</t>
  </si>
  <si>
    <t>Contact AWS Account Team for EDP/PPA pricing</t>
  </si>
  <si>
    <t>Regions</t>
  </si>
  <si>
    <t>Template pre-configured for EU regions (London, Ireland, Frankfurt)</t>
  </si>
  <si>
    <t>Modify Section 2 headers for other regions</t>
  </si>
  <si>
    <t>Services</t>
  </si>
  <si>
    <t>Covers core services only; specialty services may require additions</t>
  </si>
  <si>
    <t>Add rows for ML/AI, IoT, Analytics as needed</t>
  </si>
  <si>
    <t>Fit Score Weights</t>
  </si>
  <si>
    <t>Default weights based on typical enterprise priorities</t>
  </si>
  <si>
    <t>Adjust weights in B119:B125 per client priorities</t>
  </si>
  <si>
    <t>Default USD; no automatic currency conversion</t>
  </si>
  <si>
    <t>Manually convert all values to client's currency</t>
  </si>
  <si>
    <t>Compliance</t>
  </si>
  <si>
    <t>Framework does not validate compliance requirements</t>
  </si>
  <si>
    <t>Engage Legal/Compliance for GDPR, HIPAA, PCI-DSS</t>
  </si>
  <si>
    <t>Egress costs often underestimated in initial assessments</t>
  </si>
  <si>
    <t>Use AWS Data Transfer Calculator for accuracy</t>
  </si>
  <si>
    <t>[Enter Application Name]</t>
  </si>
  <si>
    <t>[Current Platform]</t>
  </si>
  <si>
    <t>[AWS Service]</t>
  </si>
  <si>
    <t>[High/Med/Low]</t>
  </si>
  <si>
    <t>[Lift/Replatform/Refactor]</t>
  </si>
  <si>
    <t>[Enter $]</t>
  </si>
  <si>
    <t>[0-100]</t>
  </si>
  <si>
    <t>[Public/Internal/Confidential/Restricted]</t>
  </si>
  <si>
    <t>━━━━━━━━━━━━━━━━━━━━━━━━━━━━━━━━━━━━━━━━━━━━━━━━━━━━━━━━━━━━━━━━━━━━━━━━━━━━━━━━━━━━━━━━━━━━━━</t>
  </si>
  <si>
    <t>© 2026 Cloud Readiness Accelerator Framework | Version 1.0 | All Rights Reserved</t>
  </si>
  <si>
    <t>Complete Application Inventory in Section 1 (Rows 10-25)</t>
  </si>
  <si>
    <t>📋 SECTION 1 — AWS SERVICE COMPATIBILITY ASSESSMENT (Rows 8-42)</t>
  </si>
  <si>
    <t>▸ Compute Mapping (Rows 21-25)</t>
  </si>
  <si>
    <t>▸ Database Mapping (Rows 26-33)</t>
  </si>
  <si>
    <t>▸ Storage Mapping (Rows 34-41)</t>
  </si>
  <si>
    <t>🌍 SECTION 2 — AWS REGIONAL ASSESSMENT (Rows 43-58)</t>
  </si>
  <si>
    <t>Row 50 auto-calculates Total Monthly Estimate using =SUM(B46:B49) for each region</t>
  </si>
  <si>
    <t>💰 SECTION 3 — AWS COST ESTIMATION (Rows 59-90)</t>
  </si>
  <si>
    <t>🚀 SECTION 4 — AWS MIGRATION PATH (Rows 91-108)</t>
  </si>
  <si>
    <t>⭐ SECTION 5 — AWS FIT SCORE (Rows 109-120)</t>
  </si>
  <si>
    <t>Section 1: Service Mapping (Rows 8-42)</t>
  </si>
  <si>
    <t>A10:F25 (Apps), A28:F32 (Database), A36:F40 (Storage)</t>
  </si>
  <si>
    <t>Section 2: Regional Assessment (Rows 43-58)</t>
  </si>
  <si>
    <t>B46:D49 (Costs), B51:D53 (Compliance/Latency), F45:F53 (Notes)</t>
  </si>
  <si>
    <t>B50:D50 (Total), E50 (Preferred), B55 (Recommendation)</t>
  </si>
  <si>
    <t>Section 3: Cost Estimation (Rows 59-90)</t>
  </si>
  <si>
    <t>B62:D66 (Migration Costs), B71:C78 (Run-Rate), B83:C87 (Pricing)</t>
  </si>
  <si>
    <t>B67:D67 (Migration Total), D71:E79 (Run-Rate Calcs), E84:E87 (Savings %)</t>
  </si>
  <si>
    <t>Section 4: Migration Path (Rows 91-108)</t>
  </si>
  <si>
    <t>C93:F98 (Phases), C102:F107 (Tools)</t>
  </si>
  <si>
    <t>Section 5: Fit Score (Rows 109-120)</t>
  </si>
  <si>
    <t>C111:C117 (Scores 0-100), E111:E117 (Evidence)</t>
  </si>
  <si>
    <t>D111:D117 (Weighted), D118 (Total Score), E118 (Rating)</t>
  </si>
  <si>
    <t>Executive Summary (Rows 1-7)</t>
  </si>
  <si>
    <t>All cells auto-populated from Sections 1-5</t>
  </si>
  <si>
    <t>Weighted Score = Weight (%) × Score (Column D); Total Fit Score in D118 = SUM of D111:D117</t>
  </si>
  <si>
    <t>Monthly Cost = Quantity × Unit Cost (D71:D78) | Annual = Monthly × 12 (E71:E78) | Total in Row 79</t>
  </si>
  <si>
    <t>🔒  SHEET PROTECTION &amp; GOVERNANCE</t>
  </si>
  <si>
    <t>Protection Type</t>
  </si>
  <si>
    <t>AWS Evaluation Sheet</t>
  </si>
  <si>
    <t>Read Me Sheet</t>
  </si>
  <si>
    <t>Formula Cells</t>
  </si>
  <si>
    <t>Formatting</t>
  </si>
  <si>
    <t>Structure (Rows/Columns)</t>
  </si>
  <si>
    <t>📋 AWS MIGRATION TCO ASSUMPTIONS &amp; DISCOVERY DATA</t>
  </si>
  <si>
    <t>On-Premises Discovery Inventory → AWS Migration Evaluator / TCO Tool Input</t>
  </si>
  <si>
    <t>Document Owner: Cloud Solutions Architecture Team | Classification: Internal | Data Source: AWS Migration Evaluator</t>
  </si>
  <si>
    <t>💱 Currency: USD ($) — All costs must match AWS Evaluation sheet currency</t>
  </si>
  <si>
    <t>Section 1 — Discovery Data Source &amp; Collection Methodology</t>
  </si>
  <si>
    <t>Data Element</t>
  </si>
  <si>
    <t>Source Tool / Method</t>
  </si>
  <si>
    <t>Collection Date</t>
  </si>
  <si>
    <t>Data Owner</t>
  </si>
  <si>
    <t>Refresh Frequency</t>
  </si>
  <si>
    <t>Server Inventory</t>
  </si>
  <si>
    <t>AWS Application Discovery Service</t>
  </si>
  <si>
    <t>[Enter Date]</t>
  </si>
  <si>
    <t>[Enter Owner]</t>
  </si>
  <si>
    <t>Weekly</t>
  </si>
  <si>
    <t>Agent-based or agentless collection</t>
  </si>
  <si>
    <t>CPU Utilization Metrics</t>
  </si>
  <si>
    <t>Daily (30-day avg)</t>
  </si>
  <si>
    <t>Peak vs. average utilization noted</t>
  </si>
  <si>
    <t>Memory Utilization</t>
  </si>
  <si>
    <t>Performance Monitors</t>
  </si>
  <si>
    <t>Right-sizing based on P95 percentile</t>
  </si>
  <si>
    <t>Storage Capacity &amp; IOPS</t>
  </si>
  <si>
    <t>Storage Array Reports</t>
  </si>
  <si>
    <t>Include SAN, NAS, local storage</t>
  </si>
  <si>
    <t>Network Traffic Patterns</t>
  </si>
  <si>
    <t>Network Flow Logs</t>
  </si>
  <si>
    <t>Inter-app dependencies mapped</t>
  </si>
  <si>
    <t>Database Inventory</t>
  </si>
  <si>
    <t>Monthly</t>
  </si>
  <si>
    <t>Include version, edition, size</t>
  </si>
  <si>
    <t>Application Dependencies</t>
  </si>
  <si>
    <t>Critical for migration waves</t>
  </si>
  <si>
    <t>Licensing Entitlements</t>
  </si>
  <si>
    <t>Software Asset Management</t>
  </si>
  <si>
    <t>Quarterly</t>
  </si>
  <si>
    <t>BYOL eligibility verified</t>
  </si>
  <si>
    <t>Current Infrastructure Costs</t>
  </si>
  <si>
    <t>Finance / Data Center Invoices</t>
  </si>
  <si>
    <t>Include power, cooling, facilities</t>
  </si>
  <si>
    <t>Support &amp; Maintenance Costs</t>
  </si>
  <si>
    <t>Vendor Contracts / Finance</t>
  </si>
  <si>
    <t>Annual</t>
  </si>
  <si>
    <t>Include all support agreements</t>
  </si>
  <si>
    <t>Section 2 — On-Premises Compute Inventory (Server Discovery)</t>
  </si>
  <si>
    <t>▸ Physical Servers</t>
  </si>
  <si>
    <t>Server Type / Role</t>
  </si>
  <si>
    <t>vCPU (Avg)</t>
  </si>
  <si>
    <t>RAM (GB Avg)</t>
  </si>
  <si>
    <t>Avg Utilization (%)</t>
  </si>
  <si>
    <t>TCO Assumption / Notes</t>
  </si>
  <si>
    <t>Web Servers</t>
  </si>
  <si>
    <t>Assumed 40% avg utilization for right-sizing</t>
  </si>
  <si>
    <t>Application Servers</t>
  </si>
  <si>
    <t>Peak utilization captured for burst capacity</t>
  </si>
  <si>
    <t>Database Servers</t>
  </si>
  <si>
    <t>Memory-optimized instances recommended</t>
  </si>
  <si>
    <t>File Servers</t>
  </si>
  <si>
    <t>Consider EFS/FSx for shared storage</t>
  </si>
  <si>
    <t>Domain Controllers</t>
  </si>
  <si>
    <t>Minimum 2 for HA across AZs</t>
  </si>
  <si>
    <t>Other Infrastructure</t>
  </si>
  <si>
    <t>Monitoring, backup, management servers</t>
  </si>
  <si>
    <t>Physical Server Total</t>
  </si>
  <si>
    <t>Weighted averages calculated</t>
  </si>
  <si>
    <t>▸ Virtual Machines (VMware / Hyper-V / Other)</t>
  </si>
  <si>
    <t>VM Category</t>
  </si>
  <si>
    <t>Production VMs</t>
  </si>
  <si>
    <t>Business-critical; include in Wave 1-2</t>
  </si>
  <si>
    <t>Development VMs</t>
  </si>
  <si>
    <t>Consider Spot Instances / Dev environments</t>
  </si>
  <si>
    <t>Test / QA VMs</t>
  </si>
  <si>
    <t>Ephemeral; Spot or scheduled start/stop</t>
  </si>
  <si>
    <t>Staging VMs</t>
  </si>
  <si>
    <t>Mirror production sizing</t>
  </si>
  <si>
    <t>DR / Standby VMs</t>
  </si>
  <si>
    <t>Consider Pilot Light / Warm Standby</t>
  </si>
  <si>
    <t>Virtual Machine Total</t>
  </si>
  <si>
    <t>TOTAL COMPUTE INVENTORY</t>
  </si>
  <si>
    <t>➡️ Input to AWS Migration Evaluator</t>
  </si>
  <si>
    <t>Section 3 — On-Premises Storage Inventory</t>
  </si>
  <si>
    <t>Storage Type</t>
  </si>
  <si>
    <t>Capacity (TB)</t>
  </si>
  <si>
    <t>Used (TB)</t>
  </si>
  <si>
    <t>IOPS Requirement</t>
  </si>
  <si>
    <t>AWS Target / Assumptions</t>
  </si>
  <si>
    <t>SAN - Tier 1 (High Performance)</t>
  </si>
  <si>
    <t>→ EBS io2/gp3; IOPS-based sizing</t>
  </si>
  <si>
    <t>SAN - Tier 2 (Standard)</t>
  </si>
  <si>
    <t>→ EBS gp3; cost-optimized</t>
  </si>
  <si>
    <t>NAS - File Shares (CIFS/NFS)</t>
  </si>
  <si>
    <t>→ EFS / FSx for Windows</t>
  </si>
  <si>
    <t>Object Storage (on-prem S3-like)</t>
  </si>
  <si>
    <t>→ S3 Standard; consider lifecycle</t>
  </si>
  <si>
    <t>Backup Storage</t>
  </si>
  <si>
    <t>→ S3 Standard-IA / Glacier</t>
  </si>
  <si>
    <t>Archive / Cold Storage</t>
  </si>
  <si>
    <t>→ S3 Glacier Deep Archive</t>
  </si>
  <si>
    <t>Block Storage (Local)</t>
  </si>
  <si>
    <t>→ EBS gp3 / Instance Store</t>
  </si>
  <si>
    <t>TOTAL STORAGE</t>
  </si>
  <si>
    <t>➡️ Input to AWS Pricing Calculator</t>
  </si>
  <si>
    <t>⚠️ Storage Assumption: Data growth rate of 15-20% annually factored into 3-year TCO. S3 Intelligent-Tiering recommended for variable access.</t>
  </si>
  <si>
    <t>Section 4 — On-Premises Database Inventory</t>
  </si>
  <si>
    <t>Database Engine</t>
  </si>
  <si>
    <t>Total Size (GB)</t>
  </si>
  <si>
    <t>Annual License ($)</t>
  </si>
  <si>
    <t>AWS Target / Migration Path</t>
  </si>
  <si>
    <t>Oracle Enterprise Edition</t>
  </si>
  <si>
    <t>[Enter Version]</t>
  </si>
  <si>
    <t>→ RDS Oracle (BYOL) / Aurora PostgreSQL</t>
  </si>
  <si>
    <t>Oracle Standard Edition</t>
  </si>
  <si>
    <t>→ RDS Oracle (LI) / Aurora PostgreSQL</t>
  </si>
  <si>
    <t>SQL Server Enterprise</t>
  </si>
  <si>
    <t>→ RDS SQL Server (BYOL) / Aurora PostgreSQL</t>
  </si>
  <si>
    <t>SQL Server Standard</t>
  </si>
  <si>
    <t>→ RDS SQL Server (LI)</t>
  </si>
  <si>
    <t>→ RDS MySQL / Aurora MySQL</t>
  </si>
  <si>
    <t>→ RDS PostgreSQL / Aurora PostgreSQL</t>
  </si>
  <si>
    <t>→ DocumentDB / MongoDB Atlas on AWS</t>
  </si>
  <si>
    <t>Other (Redis, Cassandra)</t>
  </si>
  <si>
    <t>→ ElastiCache / Keyspaces / OpenSearch</t>
  </si>
  <si>
    <t>TOTAL DATABASES</t>
  </si>
  <si>
    <t>➡️ Input to AWS DMS / SCT Assessment</t>
  </si>
  <si>
    <t>⚠️ Licensing Assumption: BYOL eligibility confirmed with vendor. License Mobility with SA verified for SQL Server. Oracle requires separate BYOL agreement.</t>
  </si>
  <si>
    <t>Section 5 — Current On-Premises Cost Baseline (TCO Input)</t>
  </si>
  <si>
    <t>% of Total</t>
  </si>
  <si>
    <t>Server Hardware (Depreciation)</t>
  </si>
  <si>
    <t>Straight-line depreciation over 5 years</t>
  </si>
  <si>
    <t>Storage Hardware (Depreciation)</t>
  </si>
  <si>
    <t>Include SAN, NAS, backup arrays</t>
  </si>
  <si>
    <t>Network Equipment</t>
  </si>
  <si>
    <t>Switches, routers, firewalls</t>
  </si>
  <si>
    <t>Software Licenses (OS, DB, MW)</t>
  </si>
  <si>
    <t>Include all recurring licenses</t>
  </si>
  <si>
    <t>Data Center (Power, Cooling)</t>
  </si>
  <si>
    <t>PUE ratio: 1.5-2.0 assumed</t>
  </si>
  <si>
    <t>Data Center Space (Rent)</t>
  </si>
  <si>
    <t>Cost per rack/sqft allocated</t>
  </si>
  <si>
    <t>IT Staff (Operations &amp; Support)</t>
  </si>
  <si>
    <t>FTE hours × burdened rate</t>
  </si>
  <si>
    <t>Vendor Support &amp; Maintenance</t>
  </si>
  <si>
    <t>Hardware + software support contracts</t>
  </si>
  <si>
    <t>Network / Connectivity</t>
  </si>
  <si>
    <t>WAN, internet, MPLS circuits</t>
  </si>
  <si>
    <t>Disaster Recovery / Backup</t>
  </si>
  <si>
    <t>DR site costs, backup infrastructure</t>
  </si>
  <si>
    <t>Security (Tools, Compliance)</t>
  </si>
  <si>
    <t>Security tools, audits, compliance</t>
  </si>
  <si>
    <t>TOTAL CURRENT TCO</t>
  </si>
  <si>
    <t>➡️ Compare with AWS TCO</t>
  </si>
  <si>
    <t>Section 6 — AWS Migration TCO Tool Assumptions &amp; Parameters</t>
  </si>
  <si>
    <t>Parameter</t>
  </si>
  <si>
    <t>AWS Default</t>
  </si>
  <si>
    <t>Time Horizon</t>
  </si>
  <si>
    <t>TCO Analysis Period</t>
  </si>
  <si>
    <t>3 Years</t>
  </si>
  <si>
    <t>AWS TCO Calculator</t>
  </si>
  <si>
    <t>Base Currency</t>
  </si>
  <si>
    <t>USD ($)</t>
  </si>
  <si>
    <t>USD</t>
  </si>
  <si>
    <t>Project Agreement</t>
  </si>
  <si>
    <t>Region</t>
  </si>
  <si>
    <t>Primary AWS Region</t>
  </si>
  <si>
    <t>[Enter Region]</t>
  </si>
  <si>
    <t>Section 2 - AWS Evaluation</t>
  </si>
  <si>
    <t>AWS Cost Explorer</t>
  </si>
  <si>
    <t>Right-Sizing</t>
  </si>
  <si>
    <t>Utilization Threshold</t>
  </si>
  <si>
    <t>Storage Growth</t>
  </si>
  <si>
    <t>Annual Data Growth Rate</t>
  </si>
  <si>
    <t>Storage Reports</t>
  </si>
  <si>
    <t>Egress</t>
  </si>
  <si>
    <t>[Enter GB]</t>
  </si>
  <si>
    <t>Migration Evaluator</t>
  </si>
  <si>
    <t>Business</t>
  </si>
  <si>
    <t>Developer</t>
  </si>
  <si>
    <t>Project Requirements</t>
  </si>
  <si>
    <t>Inflation</t>
  </si>
  <si>
    <t>Annual Cost Inflation</t>
  </si>
  <si>
    <t>Finance Team</t>
  </si>
  <si>
    <t>IT Staff Cost Reduction</t>
  </si>
  <si>
    <t>HR / Operations</t>
  </si>
  <si>
    <t>Power (PUE)</t>
  </si>
  <si>
    <t>Facilities Report</t>
  </si>
  <si>
    <t>Hardware Refresh</t>
  </si>
  <si>
    <t>Server Refresh Cycle</t>
  </si>
  <si>
    <t>5 Years</t>
  </si>
  <si>
    <t>4 Years</t>
  </si>
  <si>
    <t>Finance / IT Asset Mgmt</t>
  </si>
  <si>
    <t>Yes (eligible)</t>
  </si>
  <si>
    <t>Vendor Agreements</t>
  </si>
  <si>
    <t>% Workloads Reserved</t>
  </si>
  <si>
    <t>Workload Analysis</t>
  </si>
  <si>
    <t>% Workloads on Spot</t>
  </si>
  <si>
    <t>Application Assessment</t>
  </si>
  <si>
    <t>Role</t>
  </si>
  <si>
    <t>Name</t>
  </si>
  <si>
    <t>Signature / Approval</t>
  </si>
  <si>
    <t>Comments</t>
  </si>
  <si>
    <t>Cloud Solutions Architect</t>
  </si>
  <si>
    <t>[Enter Name]</t>
  </si>
  <si>
    <t>Finance Representative</t>
  </si>
  <si>
    <t>IT Operations Lead</t>
  </si>
  <si>
    <t>Executive Sponsor</t>
  </si>
  <si>
    <t>➡️  Navigate to 'AWS Evaluation' sheet to apply these assumptions and complete the assessment</t>
  </si>
  <si>
    <t>⚠️ IMPORTANT: All assumptions must be validated and approved before finalizing the AWS TCO analysis. Update this sheet when assumptions change.</t>
  </si>
  <si>
    <t>© 2026 Cloud Readiness Accelerator Framework | AWS Migration TCO Assumptions | Version 1.0 | All Rights Reserved</t>
  </si>
  <si>
    <t>➡️  Step 1: Complete the 'Assumptions' sheet with on-premises discovery data and TCO parameters</t>
  </si>
  <si>
    <t>➡️  Step 2: Navigate to the 'AWS Evaluation' sheet to complete the assessment using assumption data</t>
  </si>
  <si>
    <t>Savings Plans</t>
  </si>
  <si>
    <t>Graviton/ARM</t>
  </si>
  <si>
    <t>% Workloads on Graviton</t>
  </si>
  <si>
    <t>[Enter %]</t>
  </si>
  <si>
    <t>Multi-AZ</t>
  </si>
  <si>
    <t>Database Multi-AZ Deployment</t>
  </si>
  <si>
    <t>Yes</t>
  </si>
  <si>
    <t>No</t>
  </si>
  <si>
    <t>Well-Architected Framework</t>
  </si>
  <si>
    <t>Backup Retention Period (Days)</t>
  </si>
  <si>
    <t>Backup Policy</t>
  </si>
  <si>
    <t>S3 Lifecycle</t>
  </si>
  <si>
    <t>Default EBS Volume Type</t>
  </si>
  <si>
    <t>gp3</t>
  </si>
  <si>
    <t>gp2</t>
  </si>
  <si>
    <t>NAT Gateway</t>
  </si>
  <si>
    <t>Log Retention Period (Days)</t>
  </si>
  <si>
    <t>Indefinite</t>
  </si>
  <si>
    <t>Logging Policy</t>
  </si>
  <si>
    <t>Managed Services</t>
  </si>
  <si>
    <t>30% / 70%</t>
  </si>
  <si>
    <t>100% / 0%</t>
  </si>
  <si>
    <t>Monthly Data Transfer Out (GB)</t>
  </si>
  <si>
    <t>AWS Storage Best Practice</t>
  </si>
  <si>
    <t>Balance compliance vs cost; indefinite retention increases costs</t>
  </si>
  <si>
    <t>DR Architecture Review</t>
  </si>
  <si>
    <t>TCO Ops Analysis</t>
  </si>
  <si>
    <t>▸ 6.1 Baseline TCO Parameters</t>
  </si>
  <si>
    <t>Rationale / Best Practice</t>
  </si>
  <si>
    <t>Source</t>
  </si>
  <si>
    <t>Standard enterprise planning cycle; aligns with RI/SP terms</t>
  </si>
  <si>
    <t>Match client location; document exchange rate if converted</t>
  </si>
  <si>
    <t>Select based on latency, compliance (GDPR), service availability</t>
  </si>
  <si>
    <t>Factor enterprise financial planning assumptions</t>
  </si>
  <si>
    <t>Match current depreciation schedule for accurate comparison</t>
  </si>
  <si>
    <t>▸ 6.2 Compute &amp; Pricing Optimization</t>
  </si>
  <si>
    <t>Conservative buffer for growth; use P95 percentile for peak sizing</t>
  </si>
  <si>
    <t>Reserved Instances</t>
  </si>
  <si>
    <t>Steady-state production workloads; 1-yr or 3-yr terms</t>
  </si>
  <si>
    <t>Compute SP Coverage (%)</t>
  </si>
  <si>
    <t>🟡 More flexible than RIs; applies across families, regions, OS</t>
  </si>
  <si>
    <t>Spot Instances</t>
  </si>
  <si>
    <t>🟡 Dev/Test/Batch; ensure fault-tolerant; use Fleet diversification</t>
  </si>
  <si>
    <t>🟡 Up to 40% better price-performance; evaluate Linux workloads</t>
  </si>
  <si>
    <t>EDP/PPA</t>
  </si>
  <si>
    <t>Enterprise Discount Eligible</t>
  </si>
  <si>
    <t>[REQUIRED]</t>
  </si>
  <si>
    <t>🔴 CRITICAL: 10-30% savings; engage AWS Account Team EARLY</t>
  </si>
  <si>
    <t>AWS Enterprise Sales</t>
  </si>
  <si>
    <t>▸ 6.3 Storage &amp; Data Transfer</t>
  </si>
  <si>
    <t>Factor 3-year projection; based on historical analysis</t>
  </si>
  <si>
    <t>EBS Volume</t>
  </si>
  <si>
    <t>🟢 gp3 is 20% cheaper with 3000 IOPS baseline included</t>
  </si>
  <si>
    <t>AWS Pricing 2024</t>
  </si>
  <si>
    <t>Intelligent-Tiering Enabled</t>
  </si>
  <si>
    <t>🟡 Auto-optimization for variable access; no retrieval fees</t>
  </si>
  <si>
    <t>🔴 CRITICAL: Often 10-15% of bill; $0.09/GB first 10TB</t>
  </si>
  <si>
    <t>Data Processing (GB/month)</t>
  </si>
  <si>
    <t>🔴 CRITICAL: $0.045/GB + $0.045/hr; can exceed EC2 costs</t>
  </si>
  <si>
    <t>VPC Architecture</t>
  </si>
  <si>
    <t>Inter-Region</t>
  </si>
  <si>
    <t>DR Data Transfer (GB/month)</t>
  </si>
  <si>
    <t>🟡 $0.02/GB; significant for active-active or warm DR</t>
  </si>
  <si>
    <t>▸ 6.4 Database &amp; High Availability</t>
  </si>
  <si>
    <t>🔴 CRITICAL: Doubles RDS cost but required for production SLA</t>
  </si>
  <si>
    <t>License Mobility (BYOL)</t>
  </si>
  <si>
    <t>SA verified for SQL Server; Oracle requires separate BYOL agreement</t>
  </si>
  <si>
    <t>Compliance-driven; balance regulatory needs vs storage costs</t>
  </si>
  <si>
    <t>▸ 6.5 Operations &amp; Support</t>
  </si>
  <si>
    <t>Support Plan</t>
  </si>
  <si>
    <t>AWS Support Tier</t>
  </si>
  <si>
    <t>24/7 support required; $100/mo min or 10% of AWS bill</t>
  </si>
  <si>
    <t>Labor Savings</t>
  </si>
  <si>
    <t>Conservative estimate; partial reallocation to cloud ops</t>
  </si>
  <si>
    <t>Self-Managed vs Managed Ratio</t>
  </si>
  <si>
    <t>🟡 Higher managed adoption = 20-40% ops cost reduction</t>
  </si>
  <si>
    <t>Data Center PUE</t>
  </si>
  <si>
    <t>Current DC audit; used for on-prem cost baseline comparison</t>
  </si>
  <si>
    <t>📋 PARAMETER COLOR LEGEND — Priority &amp; Action Guidance</t>
  </si>
  <si>
    <t>🔴 CRITICAL (Red)</t>
  </si>
  <si>
    <t>REQUIRED fields — TCO accuracy depends on these values; engage SMEs immediately; missing data = inaccurate TCO</t>
  </si>
  <si>
    <t>🟡 RECOMMENDED (Amber)</t>
  </si>
  <si>
    <t>High-impact optimization opportunities — 15-40% potential savings; evaluate during planning phase</t>
  </si>
  <si>
    <t>🟢 OPTIMIZED (Green)</t>
  </si>
  <si>
    <t>Best practice defaults already applied — verify suitability for your environment and adjust if needed</t>
  </si>
  <si>
    <t>⬜ STANDARD (White/Gray)</t>
  </si>
  <si>
    <t>Standard parameters — enter values based on discovery data; defaults provided for reference</t>
  </si>
  <si>
    <t>Section 7 — Assumptions Sign-Off &amp; Approval</t>
  </si>
  <si>
    <t>━━━━━━━━━━━━━━━━━━━━━━━━━━━━━━━━━━━━━━━━━━━━━━━━━━━━━━━━━━━━━━━━━━━━━━━━━━━━━━━━━━━━━━━━━━━━━━━━━━━━━━━━━━━━</t>
  </si>
  <si>
    <t>🚫 AWS UNSUPPORTED REGIONS &amp; OPERATING SYSTEMS REFERENCE</t>
  </si>
  <si>
    <t>Guidance for Migration Planning — Regions &amp; OS Types Requiring Special Consideration</t>
  </si>
  <si>
    <t>Document Owner: Cloud Solutions Architecture Team | Classification: Internal | Reference: AWS Documentation</t>
  </si>
  <si>
    <t>Section 1 — Geographic Regions NOT Directly Supported by AWS</t>
  </si>
  <si>
    <t>⚠️ AWS operates in 33+ regions globally. The following geographic areas have LIMITED or NO direct AWS region availability:</t>
  </si>
  <si>
    <t>Geographic Area</t>
  </si>
  <si>
    <t>Country/Territory</t>
  </si>
  <si>
    <t>Limitation Type</t>
  </si>
  <si>
    <t>Alternative AWS Region</t>
  </si>
  <si>
    <t>AWS Documentation Link</t>
  </si>
  <si>
    <t>Africa</t>
  </si>
  <si>
    <t>Most African countries (except South Africa)</t>
  </si>
  <si>
    <t>No Local Region</t>
  </si>
  <si>
    <t>af-south-1 (Cape Town) or eu-south-1 (Milan)</t>
  </si>
  <si>
    <t>https://aws.amazon.com/about-aws/global-infrastructure/regions_az/</t>
  </si>
  <si>
    <t>North Africa (Libya, Tunisia, Algeria)</t>
  </si>
  <si>
    <t>eu-south-1 (Milan) or me-south-1 (Bahrain)</t>
  </si>
  <si>
    <t>Central Asia</t>
  </si>
  <si>
    <t>Kazakhstan, Uzbekistan, Turkmenistan</t>
  </si>
  <si>
    <t>ap-south-1 (Mumbai) or me-south-1 (Bahrain)</t>
  </si>
  <si>
    <t>South America</t>
  </si>
  <si>
    <t>Most countries except Brazil</t>
  </si>
  <si>
    <t>sa-east-1 (São Paulo)</t>
  </si>
  <si>
    <t>Eastern Europe</t>
  </si>
  <si>
    <t>Russia</t>
  </si>
  <si>
    <t>Service Restrictions</t>
  </si>
  <si>
    <t>eu-north-1 (Stockholm) — Subject to sanctions</t>
  </si>
  <si>
    <t>https://aws.amazon.com/compliance/sanctions/</t>
  </si>
  <si>
    <t>Belarus</t>
  </si>
  <si>
    <t>eu-central-1 (Frankfurt) — Subject to sanctions</t>
  </si>
  <si>
    <t>Middle East</t>
  </si>
  <si>
    <t>Iran</t>
  </si>
  <si>
    <t>Fully Restricted</t>
  </si>
  <si>
    <t>Not Available — US Sanctions</t>
  </si>
  <si>
    <t>Syria</t>
  </si>
  <si>
    <t>Asia</t>
  </si>
  <si>
    <t>North Korea</t>
  </si>
  <si>
    <t>Myanmar</t>
  </si>
  <si>
    <t>ap-southeast-1 (Singapore) — Limited</t>
  </si>
  <si>
    <t>Caribbean</t>
  </si>
  <si>
    <t>Cuba</t>
  </si>
  <si>
    <t>Europe</t>
  </si>
  <si>
    <t>Crimea Region</t>
  </si>
  <si>
    <t>⚠️ NOTE: AWS regions are subject to change. Always verify current availability at: https://aws.amazon.com/about-aws/global-infrastructure/regions_az/</t>
  </si>
  <si>
    <t>⚠️ SANCTIONS: US export laws restrict AWS services in certain countries. Review: https://aws.amazon.com/compliance/sanctions/</t>
  </si>
  <si>
    <t>Section 2 — Operating Systems NOT Supported on AWS EC2</t>
  </si>
  <si>
    <t>⚠️ The following OS versions are NOT supported or have LIMITED support on AWS EC2. Plan migration/upgrade accordingly:</t>
  </si>
  <si>
    <t>OS Family</t>
  </si>
  <si>
    <t>Unsupported Version</t>
  </si>
  <si>
    <t>Reason</t>
  </si>
  <si>
    <t>Recommended Migration Path</t>
  </si>
  <si>
    <t>Windows Server</t>
  </si>
  <si>
    <t>Windows Server 2003 / 2003 R2</t>
  </si>
  <si>
    <t>End of Life (EOL) — No AWS AMI available</t>
  </si>
  <si>
    <t>Upgrade to Windows Server 2019/2022 before migration</t>
  </si>
  <si>
    <t>https://docs.aws.amazon.com/AWSEC2/latest/WindowsGuide/ami-windows-server.html</t>
  </si>
  <si>
    <t>Windows Server 2008 (non-R2)</t>
  </si>
  <si>
    <t>End of Extended Support</t>
  </si>
  <si>
    <t>Upgrade to Windows Server 2019/2022 or use BYOL</t>
  </si>
  <si>
    <t>Windows Server 2008 R2</t>
  </si>
  <si>
    <t>Extended Security Updates (ESU) only</t>
  </si>
  <si>
    <t>Upgrade recommended; ESU available via BYOL</t>
  </si>
  <si>
    <t>Windows Server 2012 (non-R2)</t>
  </si>
  <si>
    <t>End of Mainstream Support</t>
  </si>
  <si>
    <t>Upgrade to Windows Server 2019/2022</t>
  </si>
  <si>
    <t>Windows Server 32-bit versions</t>
  </si>
  <si>
    <t>Not Supported on EC2</t>
  </si>
  <si>
    <t>Migrate to 64-bit version</t>
  </si>
  <si>
    <t>Windows Desktop</t>
  </si>
  <si>
    <t>Windows 7/8/8.1/10/11 Desktop</t>
  </si>
  <si>
    <t>Not supported on EC2 (Licensing)</t>
  </si>
  <si>
    <t>Use Amazon WorkSpaces for Windows Desktop</t>
  </si>
  <si>
    <t>https://docs.aws.amazon.com/workspaces/latest/adminguide/amazon-workspaces.html</t>
  </si>
  <si>
    <t>Red Hat Enterprise Linux</t>
  </si>
  <si>
    <t>RHEL 5.x and earlier</t>
  </si>
  <si>
    <t>End of Life — No AWS AMI</t>
  </si>
  <si>
    <t>Upgrade to RHEL 8.x or 9.x</t>
  </si>
  <si>
    <t>https://docs.aws.amazon.com/AWSEC2/latest/UserGuide/ami-types.html</t>
  </si>
  <si>
    <t>RHEL 6.x</t>
  </si>
  <si>
    <t>End of Maintenance Support</t>
  </si>
  <si>
    <t>https://access.redhat.com/support/policy/updates/errata</t>
  </si>
  <si>
    <t>CentOS</t>
  </si>
  <si>
    <t>CentOS 6.x and earlier</t>
  </si>
  <si>
    <t>End of Life</t>
  </si>
  <si>
    <t>Migrate to Amazon Linux 2023 or RHEL</t>
  </si>
  <si>
    <t>CentOS 8 (Stream)</t>
  </si>
  <si>
    <t>CentOS Linux discontinued</t>
  </si>
  <si>
    <t>Migrate to Amazon Linux 2023, RHEL, or Rocky Linux</t>
  </si>
  <si>
    <t>Ubuntu</t>
  </si>
  <si>
    <t>Ubuntu 12.04 LTS and earlier</t>
  </si>
  <si>
    <t>Upgrade to Ubuntu 22.04 LTS or 24.04 LTS</t>
  </si>
  <si>
    <t>Ubuntu 14.04 LTS</t>
  </si>
  <si>
    <t>End of Standard Support</t>
  </si>
  <si>
    <t>SUSE Linux</t>
  </si>
  <si>
    <t>SLES 11 and earlier</t>
  </si>
  <si>
    <t>Upgrade to SLES 15 SP5+</t>
  </si>
  <si>
    <t>Debian</t>
  </si>
  <si>
    <t>Debian 8 (Jessie) and earlier</t>
  </si>
  <si>
    <t>Upgrade to Debian 11 or 12</t>
  </si>
  <si>
    <t>Oracle Linux</t>
  </si>
  <si>
    <t>Oracle Linux 5.x and earlier</t>
  </si>
  <si>
    <t>Upgrade to Oracle Linux 8.x or 9.x</t>
  </si>
  <si>
    <t>macOS</t>
  </si>
  <si>
    <t>macOS versions &lt; 10.14 Mojave</t>
  </si>
  <si>
    <t>Not supported on EC2 Mac</t>
  </si>
  <si>
    <t>Use macOS 11+ on EC2 Mac Instances</t>
  </si>
  <si>
    <t>https://docs.aws.amazon.com/AWSEC2/latest/UserGuide/ec2-mac-instances.html</t>
  </si>
  <si>
    <t>FreeBSD</t>
  </si>
  <si>
    <t>FreeBSD versions &lt; 11.x</t>
  </si>
  <si>
    <t>Limited AMI availability</t>
  </si>
  <si>
    <t>Use FreeBSD 13.x+ or migrate to Amazon Linux</t>
  </si>
  <si>
    <t>Solaris</t>
  </si>
  <si>
    <t>Oracle Solaris (all versions)</t>
  </si>
  <si>
    <t>NOT supported on EC2</t>
  </si>
  <si>
    <t>Replatform to Linux (Amazon Linux 2023/RHEL)</t>
  </si>
  <si>
    <t>AIX</t>
  </si>
  <si>
    <t>IBM AIX (all versions)</t>
  </si>
  <si>
    <t>Replatform to Linux or use IBM Cloud</t>
  </si>
  <si>
    <t>HP-UX</t>
  </si>
  <si>
    <t>HP-UX (all versions)</t>
  </si>
  <si>
    <t>Replatform to Linux (RHEL/Amazon Linux)</t>
  </si>
  <si>
    <t>z/OS</t>
  </si>
  <si>
    <t>IBM z/OS (Mainframe)</t>
  </si>
  <si>
    <t>Use AWS Mainframe Modernization service</t>
  </si>
  <si>
    <t>https://aws.amazon.com/mainframe-modernization/</t>
  </si>
  <si>
    <t>OS/400</t>
  </si>
  <si>
    <t>IBM i (AS/400)</t>
  </si>
  <si>
    <t>Replatform or use partner solutions</t>
  </si>
  <si>
    <t>⚠️ NOTE: AWS AMI availability changes over time. Always verify current supported OS versions at: https://docs.aws.amazon.com/AWSEC2/latest/UserGuide/ami-types.html</t>
  </si>
  <si>
    <t>⚠️ BYOL: Bring Your Own License may be available for some EOL operating systems. Consult AWS License Manager: https://aws.amazon.com/license-manager/</t>
  </si>
  <si>
    <t>Section 3 — Instance Type &amp; Architecture Limitations</t>
  </si>
  <si>
    <t>⚠️ Certain instance types have OS and architecture restrictions:</t>
  </si>
  <si>
    <t>Instance Family</t>
  </si>
  <si>
    <t>Architecture</t>
  </si>
  <si>
    <t>OS Limitation</t>
  </si>
  <si>
    <t>Impact</t>
  </si>
  <si>
    <t>Graviton (t4g, m6g, c6g, r6g, etc.)</t>
  </si>
  <si>
    <t>ARM64 (aarch64)</t>
  </si>
  <si>
    <t>Windows NOT supported</t>
  </si>
  <si>
    <t>Linux workloads only; 40% better price-performance</t>
  </si>
  <si>
    <t>https://aws.amazon.com/ec2/graviton/</t>
  </si>
  <si>
    <t>Graviton2/Graviton3</t>
  </si>
  <si>
    <t>32-bit applications NOT supported</t>
  </si>
  <si>
    <t>Requires 64-bit ARM-compatible applications</t>
  </si>
  <si>
    <t>Mac Instances (mac1, mac2)</t>
  </si>
  <si>
    <t>x86_64 / Apple Silicon</t>
  </si>
  <si>
    <t>macOS only (10.14+)</t>
  </si>
  <si>
    <t>For macOS/iOS development only</t>
  </si>
  <si>
    <t>Bare Metal (*.metal)</t>
  </si>
  <si>
    <t>x86_64</t>
  </si>
  <si>
    <t>Requires compatible OS</t>
  </si>
  <si>
    <t>No hypervisor; direct hardware access</t>
  </si>
  <si>
    <t>https://docs.aws.amazon.com/AWSEC2/latest/UserGuide/instance-types.html</t>
  </si>
  <si>
    <t>High Memory (u-* instances)</t>
  </si>
  <si>
    <t>SAP HANA certified OS only</t>
  </si>
  <si>
    <t>SLES for SAP, RHEL for SAP required</t>
  </si>
  <si>
    <t>https://aws.amazon.com/sap/solutions/</t>
  </si>
  <si>
    <t>Outposts</t>
  </si>
  <si>
    <t>Various</t>
  </si>
  <si>
    <t>Limited OS selection</t>
  </si>
  <si>
    <t>Verify supported AMIs for Outposts</t>
  </si>
  <si>
    <t>https://docs.aws.amazon.com/outposts/latest/userguide/</t>
  </si>
  <si>
    <t>Section 4 — Key AWS Documentation References</t>
  </si>
  <si>
    <t>Topic</t>
  </si>
  <si>
    <t>URL</t>
  </si>
  <si>
    <t>AWS Global Infrastructure</t>
  </si>
  <si>
    <t>Complete list of AWS regions and availability zones</t>
  </si>
  <si>
    <t>AWS Regional Services</t>
  </si>
  <si>
    <t>Services available in each AWS region</t>
  </si>
  <si>
    <t>https://aws.amazon.com/about-aws/global-infrastructure/regional-product-services/</t>
  </si>
  <si>
    <t>EC2 Supported Operating Systems</t>
  </si>
  <si>
    <t>List of supported OS on Amazon EC2</t>
  </si>
  <si>
    <t>Windows AMI Versions</t>
  </si>
  <si>
    <t>Supported Windows Server versions on EC2</t>
  </si>
  <si>
    <t>EC2 Instance Types</t>
  </si>
  <si>
    <t>Complete instance type specifications</t>
  </si>
  <si>
    <t>https://aws.amazon.com/ec2/instance-types/</t>
  </si>
  <si>
    <t>AWS Graviton Processors</t>
  </si>
  <si>
    <t>ARM-based instance compatibility</t>
  </si>
  <si>
    <t>AWS Compliance Programs</t>
  </si>
  <si>
    <t>Sanctions and export compliance</t>
  </si>
  <si>
    <t>VM Import/Export</t>
  </si>
  <si>
    <t>Requirements for importing VMs to AWS</t>
  </si>
  <si>
    <t>https://docs.aws.amazon.com/vm-import/latest/userguide/vmimport-image-import.html</t>
  </si>
  <si>
    <t>AWS License Manager</t>
  </si>
  <si>
    <t>BYOL and license tracking</t>
  </si>
  <si>
    <t>https://aws.amazon.com/license-manager/</t>
  </si>
  <si>
    <t>AWS Mainframe Modernization</t>
  </si>
  <si>
    <t>Mainframe migration options</t>
  </si>
  <si>
    <t>Amazon WorkSpaces</t>
  </si>
  <si>
    <t>Virtual desktop for Windows clients</t>
  </si>
  <si>
    <t>Section 5 — Migration Impact Assessment Template</t>
  </si>
  <si>
    <t>Use this section to document unsupported items discovered in your environment:</t>
  </si>
  <si>
    <t>Affected System</t>
  </si>
  <si>
    <t>Current OS/Region</t>
  </si>
  <si>
    <t>Issue Type</t>
  </si>
  <si>
    <t>Recommended Action</t>
  </si>
  <si>
    <t>Migration Impact (High/Med/Low)</t>
  </si>
  <si>
    <t>[Enter System Name]</t>
  </si>
  <si>
    <t>[Enter Current OS]</t>
  </si>
  <si>
    <t>[Region/OS/Architecture]</t>
  </si>
  <si>
    <t>[Upgrade/Replatform/Exclude]</t>
  </si>
  <si>
    <t>➡️  Navigate to 'AWS Evaluation' sheet to incorporate findings into compatibility assessment</t>
  </si>
  <si>
    <t>⚠️ IMPORTANT: This reference is based on AWS documentation as of April 2026. AWS services evolve rapidly — always verify with current AWS documentation before finalizing migration plans.</t>
  </si>
  <si>
    <t>© 2026 Cloud Readiness Accelerator Framework | AWS Unsupported Regions &amp; OS Reference | Version 1.0 | All Rights Reserved</t>
  </si>
  <si>
    <t>➡️  Step 3: Review the 'AWS Unsupported' sheet for regions &amp; OS compatibility before finalizing migration plans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</si>
</sst>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quot; / 100&quot;"/>
    <numFmt numFmtId="167" formatCode="#,##0.0"/>
    <numFmt numFmtId="168" formatCode="[$$-409]#,##0"/>
    <numFmt numFmtId="169" formatCode="[$$-409]#,##0.00"/>
  </numFmts>
  <fonts count="76" x14ac:knownFonts="1">
    <font>
      <sz val="11"/>
      <color theme="1"/>
      <name val="Calibri"/>
      <family val="2"/>
      <charset val="1"/>
    </font>
    <font>
      <b/>
      <sz val="11"/>
      <color theme="1"/>
      <name val="Calibri"/>
      <family val="2"/>
      <charset val="1"/>
    </font>
    <font>
      <b/>
      <sz val="11"/>
      <color rgb="FFFFFFFF"/>
      <name val="Calibri"/>
      <family val="2"/>
      <charset val="1"/>
    </font>
    <font>
      <b/>
      <sz val="12"/>
      <color rgb="FFFFFFFF"/>
      <name val="Calibri"/>
      <family val="2"/>
      <charset val="1"/>
    </font>
    <font>
      <sz val="9"/>
      <color theme="1"/>
      <name val="Calibri"/>
      <family val="2"/>
      <charset val="1"/>
    </font>
    <font>
      <sz val="11"/>
      <color theme="1"/>
      <name val="Segoe UI"/>
    </font>
    <font>
      <b/>
      <sz val="18"/>
      <color rgb="FFFFFFFF"/>
      <name val="Segoe UI"/>
    </font>
    <font>
      <b/>
      <sz val="13"/>
      <color rgb="FFFFFFFF"/>
      <name val="Segoe UI"/>
    </font>
    <font>
      <b/>
      <sz val="11"/>
      <color rgb="FFFFFFFF"/>
      <name val="Segoe UI"/>
    </font>
    <font>
      <b/>
      <sz val="12"/>
      <color rgb="FFFFFFFF"/>
      <name val="Segoe UI"/>
    </font>
    <font>
      <b/>
      <sz val="10"/>
      <color rgb="FFFFFFFF"/>
      <name val="Segoe UI"/>
    </font>
    <font>
      <sz val="10"/>
      <color theme="1"/>
      <name val="Segoe UI"/>
    </font>
    <font>
      <b/>
      <sz val="10"/>
      <color theme="1"/>
      <name val="Segoe UI"/>
    </font>
    <font>
      <b/>
      <sz val="10"/>
      <color rgb="FF1F2937"/>
      <name val="Segoe UI"/>
    </font>
    <font>
      <i/>
      <sz val="10"/>
      <color rgb="FF1F2937"/>
      <name val="Segoe UI"/>
    </font>
    <font>
      <sz val="10"/>
      <color rgb="FF1F2937"/>
      <name val="Segoe UI"/>
    </font>
    <font>
      <i/>
      <sz val="10"/>
      <color rgb="FFFF9900"/>
      <name val="Segoe UI"/>
    </font>
    <font>
      <i/>
      <sz val="11"/>
      <color rgb="FFFF9900"/>
      <name val="Segoe UI"/>
    </font>
    <font>
      <b/>
      <sz val="11"/>
      <color rgb="FFE65100"/>
      <name val="Segoe UI"/>
    </font>
    <font>
      <b/>
      <sz val="12"/>
      <color rgb="FF1F2937"/>
      <name val="Segoe UI"/>
    </font>
    <font>
      <b/>
      <i/>
      <sz val="10"/>
      <color rgb="FF1565C0"/>
      <name val="Segoe UI"/>
    </font>
    <font>
      <b/>
      <sz val="10"/>
      <color rgb="FF1565C0"/>
      <name val="Segoe UI"/>
    </font>
    <font>
      <b/>
      <sz val="10"/>
      <color rgb="FF232F3E"/>
      <name val="Segoe UI"/>
    </font>
    <font>
      <b/>
      <sz val="9"/>
      <color rgb="FF232F3E"/>
      <name val="Segoe UI"/>
    </font>
    <font>
      <i/>
      <sz val="10"/>
      <color rgb="FF9CA3AF"/>
      <name val="Segoe UI"/>
    </font>
    <font>
      <b/>
      <i/>
      <sz val="10"/>
      <color rgb="FF9CA3AF"/>
      <name val="Segoe UI"/>
    </font>
    <font>
      <b/>
      <sz val="11"/>
      <color rgb="FF232F3E"/>
      <name val="Segoe UI"/>
    </font>
    <font>
      <i/>
      <sz val="9"/>
      <color rgb="FFE65100"/>
      <name val="Segoe UI"/>
    </font>
    <font>
      <b/>
      <sz val="10"/>
      <color rgb="FF1E8E3E"/>
      <name val="Segoe UI"/>
    </font>
    <font>
      <b/>
      <i/>
      <sz val="9"/>
      <color rgb="FFE65100"/>
      <name val="Segoe UI"/>
    </font>
    <font>
      <b/>
      <i/>
      <sz val="10"/>
      <color rgb="FFFFFFFF"/>
      <name val="Segoe UI"/>
    </font>
    <font>
      <b/>
      <i/>
      <sz val="10"/>
      <color rgb="FF1E8E3E"/>
      <name val="Segoe UI"/>
    </font>
    <font>
      <b/>
      <i/>
      <sz val="11"/>
      <color rgb="FF232F3E"/>
      <name val="Segoe UI"/>
    </font>
    <font>
      <b/>
      <sz val="10"/>
      <color rgb="FFC62828"/>
      <name val="Segoe UI"/>
    </font>
    <font>
      <b/>
      <sz val="12"/>
      <color rgb="FF232F3E"/>
      <name val="Segoe UI"/>
    </font>
    <font>
      <i/>
      <sz val="9"/>
      <color rgb="FF6B7280"/>
      <name val="Segoe UI"/>
    </font>
    <font>
      <i/>
      <sz val="9"/>
      <color rgb="FF9CA3AF"/>
      <name val="Segoe UI"/>
    </font>
    <font>
      <b/>
      <i/>
      <sz val="10"/>
      <color rgb="FF999999"/>
      <name val="Segoe UI"/>
    </font>
    <font>
      <b/>
      <sz val="10"/>
      <color rgb="FF137333"/>
      <name val="Segoe UI"/>
    </font>
    <font>
      <b/>
      <sz val="10"/>
      <color rgb="FFC53929"/>
      <name val="Segoe UI"/>
    </font>
    <font>
      <sz val="10"/>
      <color rgb="FFFF9900"/>
      <name val="Segoe UI"/>
    </font>
    <font>
      <sz val="10"/>
      <color rgb="FFFFFFFF"/>
      <name val="Segoe UI"/>
    </font>
    <font>
      <sz val="9"/>
      <color rgb="FF9CA3AF"/>
      <name val="Segoe UI"/>
    </font>
    <font>
      <sz val="10"/>
      <color rgb="FF5D4037"/>
      <name val="Segoe UI"/>
    </font>
    <font>
      <b/>
      <i/>
      <sz val="10"/>
      <color rgb="FF1B5E20"/>
      <name val="Segoe UI"/>
    </font>
    <font>
      <b/>
      <sz val="10"/>
      <color rgb="FF1B5E20"/>
      <name val="Segoe UI"/>
    </font>
    <font>
      <i/>
      <sz val="9"/>
      <color rgb="FF666666"/>
      <name val="Segoe UI"/>
    </font>
    <font>
      <i/>
      <sz val="9"/>
      <color theme="1"/>
      <name val="Segoe UI"/>
    </font>
    <font>
      <b/>
      <sz val="14"/>
      <color rgb="FFFFFFFF"/>
      <name val="Segoe UI"/>
    </font>
    <font>
      <b/>
      <sz val="14"/>
      <color rgb="FF1E8E3E"/>
      <name val="Segoe UI"/>
    </font>
    <font>
      <b/>
      <sz val="9"/>
      <color rgb="FF1E8E3E"/>
      <name val="Segoe UI"/>
    </font>
    <font>
      <b/>
      <sz val="13"/>
      <color rgb="FFFFFFFF"/>
      <name val="Calibri"/>
      <family val="2"/>
      <charset val="1"/>
    </font>
    <font>
      <b/>
      <sz val="11"/>
      <color rgb="FF232F3E"/>
      <name val="Calibri"/>
      <family val="2"/>
      <charset val="1"/>
    </font>
    <font>
      <b/>
      <sz val="11"/>
      <color rgb="FF1565C0"/>
      <name val="Calibri"/>
      <family val="2"/>
      <charset val="1"/>
    </font>
    <font>
      <i/>
      <sz val="12"/>
      <color rgb="FFFF9900"/>
      <name val="Segoe UI"/>
    </font>
    <font>
      <b/>
      <sz val="12"/>
      <color rgb="FF1E8E3E"/>
      <name val="Segoe UI"/>
    </font>
    <font>
      <b/>
      <sz val="11"/>
      <color rgb="FF1E8E3E"/>
      <name val="Segoe UI"/>
    </font>
    <font>
      <i/>
      <sz val="11"/>
      <color rgb="FFE65100"/>
      <name val="Segoe UI"/>
    </font>
    <font>
      <i/>
      <sz val="11"/>
      <color rgb="FF546E7A"/>
      <name val="Segoe UI"/>
    </font>
    <font>
      <b/>
      <i/>
      <sz val="11"/>
      <color rgb="FF546E7A"/>
      <name val="Segoe UI"/>
    </font>
    <font>
      <i/>
      <sz val="11"/>
      <color rgb="FF78909C"/>
      <name val="Segoe UI"/>
    </font>
    <font>
      <b/>
      <sz val="10"/>
      <color rgb="FF232F3E"/>
      <name val="Calibri"/>
      <family val="2"/>
      <charset val="1"/>
    </font>
    <font>
      <i/>
      <sz val="11"/>
      <color rgb="FFE65100"/>
      <name val="Calibri"/>
      <family val="2"/>
      <charset val="1"/>
    </font>
    <font>
      <sz val="11"/>
      <color rgb="FF232F3E"/>
      <name val="Calibri"/>
      <family val="2"/>
      <charset val="1"/>
    </font>
    <font>
      <sz val="9"/>
      <color rgb="FF9E9E9E"/>
      <name val="Calibri"/>
      <family val="2"/>
      <charset val="1"/>
    </font>
    <font>
      <b/>
      <sz val="12"/>
      <color rgb="FFFF9900"/>
      <name val="Segoe UI"/>
    </font>
    <font>
      <sz val="10"/>
      <color rgb="FFA0A0A0"/>
      <name val="Segoe UI"/>
    </font>
    <font>
      <b/>
      <sz val="10"/>
      <color rgb="FFE65100"/>
      <name val="Segoe UI"/>
    </font>
    <font>
      <i/>
      <sz val="11"/>
      <color rgb="FF5D4037"/>
      <name val="Segoe UI"/>
    </font>
    <font>
      <i/>
      <sz val="11"/>
      <color theme="1"/>
      <name val="Segoe UI"/>
    </font>
    <font>
      <b/>
      <sz val="11"/>
      <color theme="1"/>
      <name val="Segoe UI"/>
    </font>
    <font>
      <u/>
      <sz val="11"/>
      <color rgb="FF1565C0"/>
      <name val="Segoe UI"/>
    </font>
    <font>
      <i/>
      <sz val="11"/>
      <color rgb="FF1565C0"/>
      <name val="Segoe UI"/>
    </font>
    <font>
      <i/>
      <sz val="11"/>
      <color rgb="FF9E9E9E"/>
      <name val="Segoe UI"/>
    </font>
    <font>
      <b/>
      <sz val="11"/>
      <color rgb="FF1565C0"/>
      <name val="Segoe UI"/>
    </font>
    <font>
      <b/>
      <sz val="12"/>
      <color rgb="FF1565C0"/>
      <name val="Segoe UI"/>
    </font>
  </fonts>
  <fills count="15">
    <fill>
      <patternFill patternType="none"/>
    </fill>
    <fill>
      <patternFill patternType="gray125"/>
    </fill>
    <fill>
      <patternFill patternType="solid">
        <fgColor rgb="FFFFF2CC"/>
        <bgColor rgb="FFFFFFFF"/>
      </patternFill>
    </fill>
    <fill>
      <patternFill patternType="solid">
        <fgColor rgb="FF232F3E"/>
        <bgColor indexed="64"/>
      </patternFill>
    </fill>
    <fill>
      <patternFill patternType="solid">
        <fgColor rgb="FFFF9900"/>
        <bgColor indexed="64"/>
      </patternFill>
    </fill>
    <fill>
      <patternFill patternType="solid">
        <fgColor rgb="FFFFF3E0"/>
        <bgColor indexed="64"/>
      </patternFill>
    </fill>
    <fill>
      <patternFill patternType="solid">
        <fgColor rgb="FFE8F5E9"/>
        <bgColor indexed="64"/>
      </patternFill>
    </fill>
    <fill>
      <patternFill patternType="solid">
        <fgColor rgb="FFE3F2FD"/>
        <bgColor indexed="64"/>
      </patternFill>
    </fill>
    <fill>
      <patternFill patternType="solid">
        <fgColor rgb="FFFFEBEE"/>
        <bgColor indexed="64"/>
      </patternFill>
    </fill>
    <fill>
      <patternFill patternType="solid">
        <fgColor rgb="FFFFFFFF"/>
        <bgColor indexed="64"/>
      </patternFill>
    </fill>
    <fill>
      <patternFill patternType="solid">
        <fgColor rgb="FFFFF8E1"/>
        <bgColor indexed="64"/>
      </patternFill>
    </fill>
    <fill>
      <patternFill patternType="solid">
        <fgColor rgb="FF37475A"/>
        <bgColor indexed="64"/>
      </patternFill>
    </fill>
    <fill>
      <patternFill patternType="solid">
        <fgColor rgb="FFF7F8F9"/>
        <bgColor indexed="64"/>
      </patternFill>
    </fill>
    <fill>
      <patternFill patternType="solid">
        <fgColor rgb="FFE8EAF6"/>
        <bgColor indexed="64"/>
      </patternFill>
    </fill>
    <fill>
      <patternFill patternType="solid">
        <fgColor rgb="FFEDE7F6"/>
        <bgColor indexed="64"/>
      </patternFill>
    </fill>
  </fills>
  <borders count="34">
    <border>
      <left/>
      <right/>
      <top/>
      <bottom/>
      <diagonal/>
    </border>
    <border>
      <left/>
      <right/>
      <top/>
      <bottom style="thin">
        <color rgb="FF232F3E"/>
      </bottom>
      <diagonal/>
    </border>
    <border>
      <left/>
      <right/>
      <top style="thin">
        <color rgb="FF232F3E"/>
      </top>
      <bottom/>
      <diagonal/>
    </border>
    <border>
      <left/>
      <right/>
      <top style="thin">
        <color rgb="FF232F3E"/>
      </top>
      <bottom style="thin">
        <color rgb="FF232F3E"/>
      </bottom>
      <diagonal/>
    </border>
    <border>
      <left/>
      <right/>
      <top/>
      <bottom style="thin">
        <color rgb="FFD32F2F"/>
      </bottom>
      <diagonal/>
    </border>
    <border>
      <left/>
      <right/>
      <top/>
      <bottom style="medium">
        <color rgb="FFFF9900"/>
      </bottom>
      <diagonal/>
    </border>
    <border>
      <left style="thin">
        <color auto="1"/>
      </left>
      <right/>
      <top/>
      <bottom/>
      <diagonal/>
    </border>
    <border>
      <left style="thick">
        <color rgb="FFFF9900"/>
      </left>
      <right/>
      <top/>
      <bottom/>
      <diagonal/>
    </border>
    <border>
      <left/>
      <right/>
      <top style="thin">
        <color rgb="FFE5E7EB"/>
      </top>
      <bottom style="thin">
        <color rgb="FFE5E7EB"/>
      </bottom>
      <diagonal/>
    </border>
    <border>
      <left/>
      <right/>
      <top style="thin">
        <color rgb="FFE5E7EB"/>
      </top>
      <bottom/>
      <diagonal/>
    </border>
    <border>
      <left/>
      <right/>
      <top style="medium">
        <color rgb="FF232F3E"/>
      </top>
      <bottom/>
      <diagonal/>
    </border>
    <border>
      <left/>
      <right/>
      <top/>
      <bottom style="medium">
        <color rgb="FF1E8E3E"/>
      </bottom>
      <diagonal/>
    </border>
    <border>
      <left/>
      <right/>
      <top/>
      <bottom style="medium">
        <color rgb="FF232F3E"/>
      </bottom>
      <diagonal/>
    </border>
    <border>
      <left style="thick">
        <color rgb="FFFF9900"/>
      </left>
      <right/>
      <top style="medium">
        <color rgb="FF232F3E"/>
      </top>
      <bottom/>
      <diagonal/>
    </border>
    <border>
      <left style="medium">
        <color rgb="FF232F3E"/>
      </left>
      <right/>
      <top style="medium">
        <color rgb="FF232F3E"/>
      </top>
      <bottom/>
      <diagonal/>
    </border>
    <border>
      <left style="medium">
        <color rgb="FF232F3E"/>
      </left>
      <right/>
      <top/>
      <bottom/>
      <diagonal/>
    </border>
    <border>
      <left style="medium">
        <color rgb="FF232F3E"/>
      </left>
      <right/>
      <top style="thin">
        <color rgb="FFE5E7EB"/>
      </top>
      <bottom/>
      <diagonal/>
    </border>
    <border>
      <left style="medium">
        <color rgb="FF232F3E"/>
      </left>
      <right/>
      <top style="thin">
        <color rgb="FFE5E7EB"/>
      </top>
      <bottom style="thin">
        <color rgb="FFE5E7EB"/>
      </bottom>
      <diagonal/>
    </border>
    <border>
      <left style="medium">
        <color rgb="FF232F3E"/>
      </left>
      <right/>
      <top/>
      <bottom style="medium">
        <color rgb="FF232F3E"/>
      </bottom>
      <diagonal/>
    </border>
    <border>
      <left/>
      <right style="medium">
        <color rgb="FF232F3E"/>
      </right>
      <top style="medium">
        <color rgb="FF232F3E"/>
      </top>
      <bottom/>
      <diagonal/>
    </border>
    <border>
      <left/>
      <right style="medium">
        <color rgb="FF232F3E"/>
      </right>
      <top/>
      <bottom/>
      <diagonal/>
    </border>
    <border>
      <left/>
      <right style="medium">
        <color rgb="FF232F3E"/>
      </right>
      <top style="thin">
        <color rgb="FFE5E7EB"/>
      </top>
      <bottom/>
      <diagonal/>
    </border>
    <border>
      <left/>
      <right style="medium">
        <color rgb="FF232F3E"/>
      </right>
      <top style="thin">
        <color rgb="FFE5E7EB"/>
      </top>
      <bottom style="thin">
        <color rgb="FFE5E7EB"/>
      </bottom>
      <diagonal/>
    </border>
    <border>
      <left/>
      <right style="medium">
        <color rgb="FF232F3E"/>
      </right>
      <top/>
      <bottom style="medium">
        <color rgb="FF232F3E"/>
      </bottom>
      <diagonal/>
    </border>
    <border>
      <left style="medium">
        <color rgb="FF232F3E"/>
      </left>
      <right/>
      <top/>
      <bottom style="medium">
        <color rgb="FF1E8E3E"/>
      </bottom>
      <diagonal/>
    </border>
    <border>
      <left/>
      <right style="medium">
        <color rgb="FF232F3E"/>
      </right>
      <top/>
      <bottom style="medium">
        <color rgb="FF1E8E3E"/>
      </bottom>
      <diagonal/>
    </border>
    <border>
      <left style="thick">
        <color rgb="FFFF9900"/>
      </left>
      <right/>
      <top/>
      <bottom style="thin">
        <color rgb="FFD32F2F"/>
      </bottom>
      <diagonal/>
    </border>
    <border>
      <left style="thin">
        <color indexed="64"/>
      </left>
      <right style="thin">
        <color indexed="64"/>
      </right>
      <top style="thin">
        <color indexed="64"/>
      </top>
      <bottom style="thin">
        <color indexed="64"/>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E0E0E0"/>
      </top>
      <bottom style="thin">
        <color rgb="FF232F3E"/>
      </bottom>
      <diagonal/>
    </border>
    <border>
      <left/>
      <right/>
      <top style="thin">
        <color rgb="FF1E8E3E"/>
      </top>
      <bottom style="double">
        <color rgb="FF1E8E3E"/>
      </bottom>
      <diagonal/>
    </border>
    <border>
      <left/>
      <right/>
      <top style="thin">
        <color rgb="FF232F3E"/>
      </top>
      <bottom style="thick">
        <color rgb="FF232F3E"/>
      </bottom>
      <diagonal/>
    </border>
  </borders>
  <cellStyleXfs count="1">
    <xf numFmtId="0" fontId="0" fillId="0" borderId="0"/>
  </cellStyleXfs>
  <cellXfs count="378">
    <xf numFmtId="0" fontId="0" fillId="0" borderId="0" xfId="0"/>
    <xf numFmtId="0" fontId="0" fillId="0" borderId="0" xfId="0" applyAlignment="1">
      <alignment horizontal="center"/>
    </xf>
    <xf numFmtId="0" fontId="0" fillId="9" borderId="0" xfId="0" applyFill="1"/>
    <xf numFmtId="0" fontId="0" fillId="10" borderId="0" xfId="0" applyFill="1"/>
    <xf numFmtId="0" fontId="5" fillId="0" borderId="0" xfId="0" applyFont="1"/>
    <xf numFmtId="0" fontId="15" fillId="2" borderId="0" xfId="0" applyFont="1" applyFill="1" applyAlignment="1">
      <alignment horizontal="left" vertical="center" wrapText="1"/>
    </xf>
    <xf numFmtId="0" fontId="13" fillId="2" borderId="0" xfId="0" applyFont="1" applyFill="1" applyAlignment="1">
      <alignment horizontal="left" vertical="center" wrapText="1"/>
    </xf>
    <xf numFmtId="0" fontId="14" fillId="2" borderId="0" xfId="0" applyFont="1" applyFill="1" applyAlignment="1">
      <alignment horizontal="left" vertical="center" wrapText="1"/>
    </xf>
    <xf numFmtId="0" fontId="10" fillId="11" borderId="0" xfId="0" applyFont="1" applyFill="1" applyAlignment="1">
      <alignment horizontal="center" vertical="center" wrapText="1"/>
    </xf>
    <xf numFmtId="0" fontId="15" fillId="9" borderId="0" xfId="0" applyFont="1" applyFill="1" applyAlignment="1">
      <alignment horizontal="left" vertical="center" wrapText="1"/>
    </xf>
    <xf numFmtId="0" fontId="15" fillId="12" borderId="0" xfId="0" applyFont="1" applyFill="1" applyAlignment="1">
      <alignment horizontal="left" vertical="center" wrapText="1"/>
    </xf>
    <xf numFmtId="0" fontId="15" fillId="12" borderId="9" xfId="0" applyFont="1" applyFill="1" applyBorder="1" applyAlignment="1">
      <alignment horizontal="left" vertical="center" wrapText="1"/>
    </xf>
    <xf numFmtId="0" fontId="15" fillId="9" borderId="8" xfId="0" applyFont="1" applyFill="1" applyBorder="1" applyAlignment="1">
      <alignment horizontal="left" vertical="center" wrapText="1"/>
    </xf>
    <xf numFmtId="0" fontId="15" fillId="9" borderId="9" xfId="0" applyFont="1" applyFill="1" applyBorder="1" applyAlignment="1">
      <alignment horizontal="left" vertical="center" wrapText="1"/>
    </xf>
    <xf numFmtId="0" fontId="22" fillId="13" borderId="0" xfId="0" applyFont="1" applyFill="1" applyAlignment="1">
      <alignment horizontal="left" vertical="center" wrapText="1"/>
    </xf>
    <xf numFmtId="0" fontId="23" fillId="13" borderId="0" xfId="0" applyFont="1" applyFill="1" applyAlignment="1">
      <alignment horizontal="left" vertical="center" wrapText="1"/>
    </xf>
    <xf numFmtId="0" fontId="30" fillId="11" borderId="0" xfId="0" applyFont="1" applyFill="1" applyAlignment="1">
      <alignment horizontal="center" vertical="center" wrapText="1"/>
    </xf>
    <xf numFmtId="0" fontId="15" fillId="12" borderId="0" xfId="0" applyFont="1" applyFill="1" applyAlignment="1">
      <alignment horizontal="center" vertical="center" wrapText="1"/>
    </xf>
    <xf numFmtId="0" fontId="15" fillId="9" borderId="0" xfId="0" applyFont="1" applyFill="1" applyAlignment="1">
      <alignment horizontal="center" vertical="center" wrapText="1"/>
    </xf>
    <xf numFmtId="0" fontId="15" fillId="12" borderId="9" xfId="0" applyFont="1" applyFill="1" applyBorder="1" applyAlignment="1">
      <alignment horizontal="center" vertical="center" wrapText="1"/>
    </xf>
    <xf numFmtId="0" fontId="15" fillId="9" borderId="9" xfId="0" applyFont="1" applyFill="1" applyBorder="1" applyAlignment="1">
      <alignment horizontal="center" vertical="center" wrapText="1"/>
    </xf>
    <xf numFmtId="0" fontId="15" fillId="9" borderId="8" xfId="0" applyFont="1" applyFill="1" applyBorder="1" applyAlignment="1">
      <alignment horizontal="center" vertical="center" wrapText="1"/>
    </xf>
    <xf numFmtId="9" fontId="15" fillId="12" borderId="0" xfId="0" applyNumberFormat="1" applyFont="1" applyFill="1" applyAlignment="1">
      <alignment horizontal="center" vertical="center" wrapText="1"/>
    </xf>
    <xf numFmtId="165" fontId="15" fillId="12" borderId="0" xfId="0" applyNumberFormat="1" applyFont="1" applyFill="1" applyAlignment="1">
      <alignment horizontal="center" vertical="center" wrapText="1"/>
    </xf>
    <xf numFmtId="0" fontId="28" fillId="6" borderId="11" xfId="0" applyFont="1" applyFill="1" applyBorder="1" applyAlignment="1">
      <alignment horizontal="center" vertical="center" wrapText="1"/>
    </xf>
    <xf numFmtId="0" fontId="31" fillId="6" borderId="11" xfId="0" applyFont="1" applyFill="1" applyBorder="1" applyAlignment="1">
      <alignment horizontal="center" vertical="center" wrapText="1"/>
    </xf>
    <xf numFmtId="9" fontId="15" fillId="9" borderId="9" xfId="0" applyNumberFormat="1" applyFont="1" applyFill="1" applyBorder="1" applyAlignment="1">
      <alignment horizontal="center" vertical="center" wrapText="1"/>
    </xf>
    <xf numFmtId="9" fontId="15" fillId="12" borderId="8" xfId="0" applyNumberFormat="1" applyFont="1" applyFill="1" applyBorder="1" applyAlignment="1">
      <alignment horizontal="center" vertical="center" wrapText="1"/>
    </xf>
    <xf numFmtId="9" fontId="15" fillId="12" borderId="9" xfId="0" applyNumberFormat="1" applyFont="1" applyFill="1" applyBorder="1" applyAlignment="1">
      <alignment horizontal="center" vertical="center" wrapText="1"/>
    </xf>
    <xf numFmtId="165" fontId="15" fillId="9" borderId="9" xfId="0" applyNumberFormat="1" applyFont="1" applyFill="1" applyBorder="1" applyAlignment="1">
      <alignment horizontal="center" vertical="center" wrapText="1"/>
    </xf>
    <xf numFmtId="165" fontId="15" fillId="12" borderId="8" xfId="0" applyNumberFormat="1" applyFont="1" applyFill="1" applyBorder="1" applyAlignment="1">
      <alignment horizontal="center" vertical="center" wrapText="1"/>
    </xf>
    <xf numFmtId="165" fontId="15" fillId="12" borderId="9" xfId="0" applyNumberFormat="1" applyFont="1" applyFill="1" applyBorder="1" applyAlignment="1">
      <alignment horizontal="center" vertical="center" wrapText="1"/>
    </xf>
    <xf numFmtId="0" fontId="34" fillId="4" borderId="12" xfId="0" applyFont="1" applyFill="1" applyBorder="1" applyAlignment="1">
      <alignment horizontal="left" vertical="center" wrapText="1"/>
    </xf>
    <xf numFmtId="9" fontId="34" fillId="4" borderId="12" xfId="0" applyNumberFormat="1" applyFont="1" applyFill="1" applyBorder="1" applyAlignment="1">
      <alignment horizontal="center" vertical="center" wrapText="1"/>
    </xf>
    <xf numFmtId="0" fontId="34" fillId="4" borderId="12" xfId="0" applyFont="1" applyFill="1" applyBorder="1" applyAlignment="1">
      <alignment horizontal="center" vertical="center" wrapText="1"/>
    </xf>
    <xf numFmtId="166" fontId="34" fillId="4" borderId="12" xfId="0" applyNumberFormat="1" applyFont="1" applyFill="1" applyBorder="1" applyAlignment="1">
      <alignment horizontal="center" vertical="center" wrapText="1"/>
    </xf>
    <xf numFmtId="0" fontId="10" fillId="11" borderId="15" xfId="0" applyFont="1" applyFill="1" applyBorder="1" applyAlignment="1">
      <alignment horizontal="center" vertical="center" wrapText="1"/>
    </xf>
    <xf numFmtId="0" fontId="15" fillId="9" borderId="15" xfId="0" applyFont="1" applyFill="1" applyBorder="1" applyAlignment="1">
      <alignment horizontal="left" vertical="center" wrapText="1"/>
    </xf>
    <xf numFmtId="0" fontId="15" fillId="12" borderId="16" xfId="0" applyFont="1" applyFill="1" applyBorder="1" applyAlignment="1">
      <alignment horizontal="left" vertical="center" wrapText="1"/>
    </xf>
    <xf numFmtId="0" fontId="15" fillId="9" borderId="16" xfId="0" applyFont="1" applyFill="1" applyBorder="1" applyAlignment="1">
      <alignment horizontal="left" vertical="center" wrapText="1"/>
    </xf>
    <xf numFmtId="0" fontId="22" fillId="13" borderId="15" xfId="0" applyFont="1" applyFill="1" applyBorder="1" applyAlignment="1">
      <alignment horizontal="left" vertical="center" wrapText="1"/>
    </xf>
    <xf numFmtId="0" fontId="15" fillId="12" borderId="15" xfId="0" applyFont="1" applyFill="1" applyBorder="1" applyAlignment="1">
      <alignment horizontal="left" vertical="center" wrapText="1"/>
    </xf>
    <xf numFmtId="0" fontId="15" fillId="9" borderId="17" xfId="0" applyFont="1" applyFill="1" applyBorder="1" applyAlignment="1">
      <alignment horizontal="left" vertical="center" wrapText="1"/>
    </xf>
    <xf numFmtId="0" fontId="10" fillId="11" borderId="20" xfId="0" applyFont="1" applyFill="1" applyBorder="1" applyAlignment="1">
      <alignment horizontal="center" vertical="center" wrapText="1"/>
    </xf>
    <xf numFmtId="0" fontId="23" fillId="13" borderId="20" xfId="0" applyFont="1" applyFill="1" applyBorder="1" applyAlignment="1">
      <alignment horizontal="left" vertical="center" wrapText="1"/>
    </xf>
    <xf numFmtId="0" fontId="21" fillId="7" borderId="12" xfId="0" applyFont="1" applyFill="1" applyBorder="1" applyAlignment="1">
      <alignment horizontal="left" vertical="center" wrapText="1"/>
    </xf>
    <xf numFmtId="0" fontId="20" fillId="7" borderId="12" xfId="0" applyFont="1" applyFill="1" applyBorder="1" applyAlignment="1">
      <alignment horizontal="left" vertical="center" wrapText="1"/>
    </xf>
    <xf numFmtId="0" fontId="28" fillId="6" borderId="16" xfId="0" applyFont="1" applyFill="1" applyBorder="1" applyAlignment="1">
      <alignment horizontal="left" vertical="center" wrapText="1"/>
    </xf>
    <xf numFmtId="0" fontId="21" fillId="7" borderId="18" xfId="0" applyFont="1" applyFill="1" applyBorder="1" applyAlignment="1">
      <alignment horizontal="left" vertical="center" wrapText="1"/>
    </xf>
    <xf numFmtId="0" fontId="21" fillId="7" borderId="23" xfId="0" applyFont="1" applyFill="1" applyBorder="1" applyAlignment="1">
      <alignment horizontal="left" vertical="center" wrapText="1"/>
    </xf>
    <xf numFmtId="0" fontId="28" fillId="6" borderId="24" xfId="0" applyFont="1" applyFill="1" applyBorder="1" applyAlignment="1">
      <alignment horizontal="left" vertical="center" wrapText="1"/>
    </xf>
    <xf numFmtId="0" fontId="13" fillId="12" borderId="16" xfId="0" applyFont="1" applyFill="1" applyBorder="1" applyAlignment="1">
      <alignment horizontal="left" vertical="center" wrapText="1"/>
    </xf>
    <xf numFmtId="0" fontId="15" fillId="12" borderId="17" xfId="0" applyFont="1" applyFill="1" applyBorder="1" applyAlignment="1">
      <alignment horizontal="left" vertical="center" wrapText="1"/>
    </xf>
    <xf numFmtId="0" fontId="28" fillId="6" borderId="25" xfId="0" applyFont="1" applyFill="1" applyBorder="1" applyAlignment="1">
      <alignment horizontal="left" vertical="center" wrapText="1"/>
    </xf>
    <xf numFmtId="0" fontId="33" fillId="8" borderId="12" xfId="0" applyFont="1" applyFill="1" applyBorder="1" applyAlignment="1">
      <alignment horizontal="left" vertical="center" wrapText="1"/>
    </xf>
    <xf numFmtId="0" fontId="33" fillId="8" borderId="18" xfId="0" applyFont="1" applyFill="1" applyBorder="1" applyAlignment="1">
      <alignment horizontal="left" vertical="center" wrapText="1"/>
    </xf>
    <xf numFmtId="0" fontId="13" fillId="12" borderId="17" xfId="0" applyFont="1" applyFill="1" applyBorder="1" applyAlignment="1">
      <alignment horizontal="left" vertical="center" wrapText="1"/>
    </xf>
    <xf numFmtId="0" fontId="34" fillId="4" borderId="18" xfId="0" applyFont="1" applyFill="1" applyBorder="1" applyAlignment="1">
      <alignment horizontal="left" vertical="center" wrapText="1"/>
    </xf>
    <xf numFmtId="0" fontId="34" fillId="4" borderId="23" xfId="0" applyFont="1" applyFill="1" applyBorder="1" applyAlignment="1">
      <alignment horizontal="left" vertical="center" wrapText="1"/>
    </xf>
    <xf numFmtId="0" fontId="15" fillId="4" borderId="0" xfId="0" applyFont="1" applyFill="1" applyAlignment="1">
      <alignment vertical="center"/>
    </xf>
    <xf numFmtId="0" fontId="15" fillId="12" borderId="15" xfId="0" applyFont="1" applyFill="1" applyBorder="1" applyAlignment="1">
      <alignment vertical="center"/>
    </xf>
    <xf numFmtId="0" fontId="15" fillId="12" borderId="0" xfId="0" applyFont="1" applyFill="1" applyAlignment="1">
      <alignment vertical="center"/>
    </xf>
    <xf numFmtId="0" fontId="15" fillId="12" borderId="20" xfId="0" applyFont="1" applyFill="1" applyBorder="1" applyAlignment="1">
      <alignment vertical="center"/>
    </xf>
    <xf numFmtId="0" fontId="15" fillId="12" borderId="18" xfId="0" applyFont="1" applyFill="1" applyBorder="1" applyAlignment="1">
      <alignment vertical="center"/>
    </xf>
    <xf numFmtId="0" fontId="15" fillId="12" borderId="12" xfId="0" applyFont="1" applyFill="1" applyBorder="1" applyAlignment="1">
      <alignment vertical="center"/>
    </xf>
    <xf numFmtId="0" fontId="15" fillId="12" borderId="23" xfId="0" applyFont="1" applyFill="1" applyBorder="1" applyAlignment="1">
      <alignment vertical="center"/>
    </xf>
    <xf numFmtId="0" fontId="13" fillId="0" borderId="0" xfId="0" applyFont="1" applyAlignment="1">
      <alignment vertical="center"/>
    </xf>
    <xf numFmtId="0" fontId="15" fillId="0" borderId="0" xfId="0" applyFont="1" applyAlignment="1">
      <alignment vertical="center"/>
    </xf>
    <xf numFmtId="0" fontId="15" fillId="9" borderId="17" xfId="0" applyFont="1" applyFill="1" applyBorder="1" applyAlignment="1">
      <alignment vertical="center"/>
    </xf>
    <xf numFmtId="0" fontId="14" fillId="9" borderId="8" xfId="0" applyFont="1" applyFill="1" applyBorder="1" applyAlignment="1">
      <alignment vertical="center"/>
    </xf>
    <xf numFmtId="0" fontId="15" fillId="9" borderId="8" xfId="0" applyFont="1" applyFill="1" applyBorder="1" applyAlignment="1">
      <alignment vertical="center"/>
    </xf>
    <xf numFmtId="0" fontId="15" fillId="9" borderId="22" xfId="0" applyFont="1" applyFill="1" applyBorder="1" applyAlignment="1">
      <alignment vertical="center"/>
    </xf>
    <xf numFmtId="0" fontId="14" fillId="0" borderId="0" xfId="0" applyFont="1" applyAlignment="1">
      <alignment vertical="center"/>
    </xf>
    <xf numFmtId="0" fontId="15" fillId="0" borderId="15" xfId="0" applyFont="1" applyBorder="1" applyAlignment="1">
      <alignment vertical="center"/>
    </xf>
    <xf numFmtId="0" fontId="15" fillId="0" borderId="20" xfId="0" applyFont="1" applyBorder="1" applyAlignment="1">
      <alignment vertical="center"/>
    </xf>
    <xf numFmtId="0" fontId="13" fillId="0" borderId="15" xfId="0" applyFont="1" applyBorder="1" applyAlignment="1">
      <alignment vertical="center"/>
    </xf>
    <xf numFmtId="0" fontId="35" fillId="12" borderId="18" xfId="0" applyFont="1" applyFill="1" applyBorder="1" applyAlignment="1">
      <alignment vertical="center"/>
    </xf>
    <xf numFmtId="0" fontId="35" fillId="12" borderId="12" xfId="0" applyFont="1" applyFill="1" applyBorder="1" applyAlignment="1">
      <alignment vertical="center"/>
    </xf>
    <xf numFmtId="0" fontId="35" fillId="12" borderId="23" xfId="0" applyFont="1" applyFill="1" applyBorder="1" applyAlignment="1">
      <alignment vertical="center"/>
    </xf>
    <xf numFmtId="0" fontId="11" fillId="0" borderId="0" xfId="0" applyFont="1" applyAlignment="1">
      <alignment vertical="center"/>
    </xf>
    <xf numFmtId="0" fontId="11" fillId="0" borderId="0" xfId="0" applyFont="1" applyAlignment="1">
      <alignment vertical="center" wrapText="1"/>
    </xf>
    <xf numFmtId="0" fontId="12" fillId="0" borderId="0" xfId="0" applyFont="1" applyAlignment="1">
      <alignment vertical="center" wrapText="1"/>
    </xf>
    <xf numFmtId="0" fontId="38" fillId="0" borderId="0" xfId="0" applyFont="1" applyAlignment="1">
      <alignment vertical="center"/>
    </xf>
    <xf numFmtId="0" fontId="39" fillId="0" borderId="0" xfId="0" applyFont="1" applyAlignment="1">
      <alignment vertical="center"/>
    </xf>
    <xf numFmtId="0" fontId="11" fillId="0" borderId="0" xfId="0" applyFont="1" applyAlignment="1">
      <alignment horizontal="left" vertical="center"/>
    </xf>
    <xf numFmtId="17" fontId="11" fillId="0" borderId="0" xfId="0" applyNumberFormat="1" applyFont="1" applyAlignment="1">
      <alignment horizontal="center" vertical="center"/>
    </xf>
    <xf numFmtId="0" fontId="12" fillId="0" borderId="0" xfId="0" applyFont="1" applyAlignment="1">
      <alignment vertical="center"/>
    </xf>
    <xf numFmtId="0" fontId="11" fillId="4" borderId="0" xfId="0" applyFont="1" applyFill="1" applyAlignment="1">
      <alignment vertical="center"/>
    </xf>
    <xf numFmtId="0" fontId="26" fillId="13" borderId="0" xfId="0" applyFont="1" applyFill="1" applyAlignment="1">
      <alignment vertical="center"/>
    </xf>
    <xf numFmtId="0" fontId="10" fillId="11" borderId="1" xfId="0" applyFont="1" applyFill="1" applyBorder="1" applyAlignment="1">
      <alignment horizontal="center" vertical="center" wrapText="1"/>
    </xf>
    <xf numFmtId="0" fontId="10" fillId="11" borderId="0" xfId="0" applyFont="1" applyFill="1" applyAlignment="1">
      <alignment horizontal="center" vertical="center"/>
    </xf>
    <xf numFmtId="0" fontId="10" fillId="11" borderId="1" xfId="0" applyFont="1" applyFill="1" applyBorder="1" applyAlignment="1">
      <alignment horizontal="center" vertical="center"/>
    </xf>
    <xf numFmtId="0" fontId="11" fillId="9" borderId="0" xfId="0" applyFont="1" applyFill="1" applyAlignment="1">
      <alignment vertical="center" wrapText="1"/>
    </xf>
    <xf numFmtId="0" fontId="11" fillId="9" borderId="0" xfId="0" applyFont="1" applyFill="1" applyAlignment="1">
      <alignment vertical="center"/>
    </xf>
    <xf numFmtId="0" fontId="11" fillId="12" borderId="0" xfId="0" applyFont="1" applyFill="1" applyAlignment="1">
      <alignment vertical="center" wrapText="1"/>
    </xf>
    <xf numFmtId="0" fontId="11" fillId="12" borderId="0" xfId="0" applyFont="1" applyFill="1" applyAlignment="1">
      <alignment vertical="center"/>
    </xf>
    <xf numFmtId="0" fontId="12" fillId="12" borderId="0" xfId="0" applyFont="1" applyFill="1" applyAlignment="1">
      <alignment vertical="center" wrapText="1"/>
    </xf>
    <xf numFmtId="0" fontId="12" fillId="9" borderId="0" xfId="0" applyFont="1" applyFill="1" applyAlignment="1">
      <alignment vertical="center" wrapText="1"/>
    </xf>
    <xf numFmtId="49" fontId="11" fillId="12" borderId="0" xfId="0" applyNumberFormat="1" applyFont="1" applyFill="1" applyAlignment="1">
      <alignment vertical="center"/>
    </xf>
    <xf numFmtId="0" fontId="43" fillId="10" borderId="0" xfId="0" applyFont="1" applyFill="1" applyAlignment="1">
      <alignment vertical="center" wrapText="1"/>
    </xf>
    <xf numFmtId="0" fontId="43" fillId="10" borderId="0" xfId="0" applyFont="1" applyFill="1" applyAlignment="1">
      <alignment vertical="center"/>
    </xf>
    <xf numFmtId="0" fontId="11" fillId="12" borderId="8" xfId="0" applyFont="1" applyFill="1" applyBorder="1" applyAlignment="1">
      <alignment vertical="center" wrapText="1"/>
    </xf>
    <xf numFmtId="0" fontId="11" fillId="12" borderId="8" xfId="0" applyFont="1" applyFill="1" applyBorder="1" applyAlignment="1">
      <alignment vertical="center"/>
    </xf>
    <xf numFmtId="0" fontId="11" fillId="12" borderId="9" xfId="0" applyFont="1" applyFill="1" applyBorder="1" applyAlignment="1">
      <alignment vertical="center" wrapText="1"/>
    </xf>
    <xf numFmtId="0" fontId="11" fillId="12" borderId="9" xfId="0" applyFont="1" applyFill="1" applyBorder="1" applyAlignment="1">
      <alignment vertical="center"/>
    </xf>
    <xf numFmtId="0" fontId="11" fillId="9" borderId="8" xfId="0" applyFont="1" applyFill="1" applyBorder="1" applyAlignment="1">
      <alignment vertical="center" wrapText="1"/>
    </xf>
    <xf numFmtId="0" fontId="11" fillId="9" borderId="8" xfId="0" applyFont="1" applyFill="1" applyBorder="1" applyAlignment="1">
      <alignment vertical="center"/>
    </xf>
    <xf numFmtId="0" fontId="11" fillId="9" borderId="9" xfId="0" applyFont="1" applyFill="1" applyBorder="1" applyAlignment="1">
      <alignment vertical="center" wrapText="1"/>
    </xf>
    <xf numFmtId="0" fontId="11" fillId="9" borderId="9" xfId="0" applyFont="1" applyFill="1" applyBorder="1" applyAlignment="1">
      <alignment vertical="center"/>
    </xf>
    <xf numFmtId="0" fontId="11" fillId="9" borderId="2" xfId="0" applyFont="1" applyFill="1" applyBorder="1" applyAlignment="1">
      <alignment vertical="center"/>
    </xf>
    <xf numFmtId="0" fontId="11" fillId="9" borderId="2" xfId="0" applyFont="1" applyFill="1" applyBorder="1" applyAlignment="1">
      <alignment horizontal="center" vertical="center"/>
    </xf>
    <xf numFmtId="0" fontId="11" fillId="12" borderId="9" xfId="0" applyFont="1" applyFill="1" applyBorder="1" applyAlignment="1">
      <alignment horizontal="center" vertical="center"/>
    </xf>
    <xf numFmtId="0" fontId="11" fillId="9" borderId="9" xfId="0" applyFont="1" applyFill="1" applyBorder="1" applyAlignment="1">
      <alignment horizontal="center" vertical="center"/>
    </xf>
    <xf numFmtId="0" fontId="11" fillId="0" borderId="8" xfId="0" applyFont="1" applyBorder="1" applyAlignment="1">
      <alignment vertical="center"/>
    </xf>
    <xf numFmtId="0" fontId="11" fillId="0" borderId="8" xfId="0" applyFont="1" applyBorder="1" applyAlignment="1">
      <alignment vertical="center" wrapText="1"/>
    </xf>
    <xf numFmtId="0" fontId="11" fillId="9" borderId="27" xfId="0" applyFont="1" applyFill="1" applyBorder="1" applyAlignment="1">
      <alignment vertical="center"/>
    </xf>
    <xf numFmtId="0" fontId="11" fillId="12" borderId="27" xfId="0" applyFont="1" applyFill="1" applyBorder="1" applyAlignment="1">
      <alignment vertical="center"/>
    </xf>
    <xf numFmtId="0" fontId="10" fillId="11" borderId="27" xfId="0" applyFont="1" applyFill="1" applyBorder="1" applyAlignment="1">
      <alignment horizontal="center" vertical="center"/>
    </xf>
    <xf numFmtId="0" fontId="15" fillId="9" borderId="15" xfId="0" applyFont="1" applyFill="1" applyBorder="1" applyAlignment="1" applyProtection="1">
      <alignment horizontal="left" vertical="center" wrapText="1"/>
      <protection locked="0"/>
    </xf>
    <xf numFmtId="0" fontId="15" fillId="9" borderId="0" xfId="0" applyFont="1" applyFill="1" applyAlignment="1" applyProtection="1">
      <alignment horizontal="left" vertical="center" wrapText="1"/>
      <protection locked="0"/>
    </xf>
    <xf numFmtId="0" fontId="15" fillId="9" borderId="0" xfId="0" applyFont="1" applyFill="1" applyAlignment="1" applyProtection="1">
      <alignment horizontal="center" vertical="center" wrapText="1"/>
      <protection locked="0"/>
    </xf>
    <xf numFmtId="0" fontId="15" fillId="9" borderId="20" xfId="0" applyFont="1" applyFill="1" applyBorder="1" applyAlignment="1" applyProtection="1">
      <alignment horizontal="left" vertical="center" wrapText="1"/>
      <protection locked="0"/>
    </xf>
    <xf numFmtId="0" fontId="15" fillId="12" borderId="16" xfId="0" applyFont="1" applyFill="1" applyBorder="1" applyAlignment="1" applyProtection="1">
      <alignment horizontal="left" vertical="center" wrapText="1"/>
      <protection locked="0"/>
    </xf>
    <xf numFmtId="0" fontId="15" fillId="12" borderId="9" xfId="0" applyFont="1" applyFill="1" applyBorder="1" applyAlignment="1" applyProtection="1">
      <alignment horizontal="left" vertical="center" wrapText="1"/>
      <protection locked="0"/>
    </xf>
    <xf numFmtId="0" fontId="15" fillId="12" borderId="9" xfId="0" applyFont="1" applyFill="1" applyBorder="1" applyAlignment="1" applyProtection="1">
      <alignment horizontal="center" vertical="center" wrapText="1"/>
      <protection locked="0"/>
    </xf>
    <xf numFmtId="0" fontId="15" fillId="12" borderId="21" xfId="0" applyFont="1" applyFill="1" applyBorder="1" applyAlignment="1" applyProtection="1">
      <alignment horizontal="left" vertical="center" wrapText="1"/>
      <protection locked="0"/>
    </xf>
    <xf numFmtId="0" fontId="15" fillId="9" borderId="16" xfId="0" applyFont="1" applyFill="1" applyBorder="1" applyAlignment="1" applyProtection="1">
      <alignment horizontal="left" vertical="center" wrapText="1"/>
      <protection locked="0"/>
    </xf>
    <xf numFmtId="0" fontId="15" fillId="9" borderId="9" xfId="0" applyFont="1" applyFill="1" applyBorder="1" applyAlignment="1" applyProtection="1">
      <alignment horizontal="left" vertical="center" wrapText="1"/>
      <protection locked="0"/>
    </xf>
    <xf numFmtId="0" fontId="15" fillId="9" borderId="9" xfId="0" applyFont="1" applyFill="1" applyBorder="1" applyAlignment="1" applyProtection="1">
      <alignment horizontal="center" vertical="center" wrapText="1"/>
      <protection locked="0"/>
    </xf>
    <xf numFmtId="0" fontId="15" fillId="9" borderId="21" xfId="0" applyFont="1" applyFill="1" applyBorder="1" applyAlignment="1" applyProtection="1">
      <alignment horizontal="left" vertical="center" wrapText="1"/>
      <protection locked="0"/>
    </xf>
    <xf numFmtId="0" fontId="13" fillId="9" borderId="17" xfId="0" applyFont="1" applyFill="1" applyBorder="1" applyAlignment="1" applyProtection="1">
      <alignment horizontal="left" vertical="center" wrapText="1"/>
      <protection locked="0"/>
    </xf>
    <xf numFmtId="0" fontId="15" fillId="9" borderId="8" xfId="0" applyFont="1" applyFill="1" applyBorder="1" applyAlignment="1" applyProtection="1">
      <alignment horizontal="left" vertical="center" wrapText="1"/>
      <protection locked="0"/>
    </xf>
    <xf numFmtId="0" fontId="15" fillId="9" borderId="8" xfId="0" applyFont="1" applyFill="1" applyBorder="1" applyAlignment="1" applyProtection="1">
      <alignment horizontal="center" vertical="center" wrapText="1"/>
      <protection locked="0"/>
    </xf>
    <xf numFmtId="0" fontId="15" fillId="9" borderId="22" xfId="0" applyFont="1" applyFill="1" applyBorder="1" applyAlignment="1" applyProtection="1">
      <alignment horizontal="left" vertical="center" wrapText="1"/>
      <protection locked="0"/>
    </xf>
    <xf numFmtId="0" fontId="24" fillId="9" borderId="15" xfId="0" applyFont="1" applyFill="1" applyBorder="1" applyAlignment="1" applyProtection="1">
      <alignment vertical="center"/>
      <protection locked="0"/>
    </xf>
    <xf numFmtId="0" fontId="24" fillId="9" borderId="0" xfId="0" applyFont="1" applyFill="1" applyAlignment="1" applyProtection="1">
      <alignment vertical="center"/>
      <protection locked="0"/>
    </xf>
    <xf numFmtId="0" fontId="24" fillId="9" borderId="0" xfId="0" applyFont="1" applyFill="1" applyAlignment="1" applyProtection="1">
      <alignment horizontal="center" vertical="center"/>
      <protection locked="0"/>
    </xf>
    <xf numFmtId="0" fontId="24" fillId="9" borderId="20" xfId="0" applyFont="1" applyFill="1" applyBorder="1" applyAlignment="1" applyProtection="1">
      <alignment vertical="center"/>
      <protection locked="0"/>
    </xf>
    <xf numFmtId="0" fontId="25" fillId="9" borderId="15" xfId="0" applyFont="1" applyFill="1" applyBorder="1" applyAlignment="1" applyProtection="1">
      <alignment horizontal="center" vertical="center" wrapText="1"/>
      <protection locked="0"/>
    </xf>
    <xf numFmtId="0" fontId="25" fillId="9" borderId="0" xfId="0" applyFont="1" applyFill="1" applyAlignment="1" applyProtection="1">
      <alignment horizontal="center" vertical="center" wrapText="1"/>
      <protection locked="0"/>
    </xf>
    <xf numFmtId="0" fontId="25" fillId="9" borderId="20" xfId="0" applyFont="1" applyFill="1" applyBorder="1" applyAlignment="1" applyProtection="1">
      <alignment horizontal="center" vertical="center" wrapText="1"/>
      <protection locked="0"/>
    </xf>
    <xf numFmtId="0" fontId="15" fillId="12" borderId="0" xfId="0" applyFont="1" applyFill="1" applyAlignment="1" applyProtection="1">
      <alignment horizontal="center" vertical="center" wrapText="1"/>
      <protection locked="0"/>
    </xf>
    <xf numFmtId="0" fontId="15" fillId="12" borderId="0" xfId="0" applyFont="1" applyFill="1" applyAlignment="1" applyProtection="1">
      <alignment horizontal="left" vertical="center" wrapText="1"/>
      <protection locked="0"/>
    </xf>
    <xf numFmtId="0" fontId="15" fillId="12" borderId="20" xfId="0" applyFont="1" applyFill="1" applyBorder="1" applyAlignment="1" applyProtection="1">
      <alignment horizontal="left" vertical="center" wrapText="1"/>
      <protection locked="0"/>
    </xf>
    <xf numFmtId="1" fontId="15" fillId="9" borderId="9" xfId="0" applyNumberFormat="1" applyFont="1" applyFill="1" applyBorder="1" applyAlignment="1" applyProtection="1">
      <alignment horizontal="center" vertical="center" wrapText="1"/>
      <protection locked="0"/>
    </xf>
    <xf numFmtId="0" fontId="28" fillId="6" borderId="9" xfId="0" applyFont="1" applyFill="1" applyBorder="1" applyAlignment="1" applyProtection="1">
      <alignment horizontal="center" vertical="center" wrapText="1"/>
      <protection locked="0"/>
    </xf>
    <xf numFmtId="0" fontId="10" fillId="11" borderId="20" xfId="0" applyFont="1" applyFill="1" applyBorder="1" applyAlignment="1" applyProtection="1">
      <alignment horizontal="center" vertical="center" wrapText="1"/>
      <protection locked="0"/>
    </xf>
    <xf numFmtId="0" fontId="28" fillId="6" borderId="21" xfId="0" applyFont="1" applyFill="1" applyBorder="1" applyAlignment="1" applyProtection="1">
      <alignment horizontal="left" vertical="center" wrapText="1"/>
      <protection locked="0"/>
    </xf>
    <xf numFmtId="0" fontId="20" fillId="7" borderId="12" xfId="0" applyFont="1" applyFill="1" applyBorder="1" applyAlignment="1" applyProtection="1">
      <alignment horizontal="left" vertical="center" wrapText="1"/>
      <protection locked="0"/>
    </xf>
    <xf numFmtId="164" fontId="14" fillId="12" borderId="0" xfId="0" applyNumberFormat="1" applyFont="1" applyFill="1" applyAlignment="1" applyProtection="1">
      <alignment horizontal="center" vertical="center" wrapText="1"/>
      <protection locked="0"/>
    </xf>
    <xf numFmtId="164" fontId="14" fillId="9" borderId="9" xfId="0" applyNumberFormat="1" applyFont="1" applyFill="1" applyBorder="1" applyAlignment="1" applyProtection="1">
      <alignment horizontal="center" vertical="center" wrapText="1"/>
      <protection locked="0"/>
    </xf>
    <xf numFmtId="164" fontId="14" fillId="12" borderId="9" xfId="0" applyNumberFormat="1" applyFont="1" applyFill="1" applyBorder="1" applyAlignment="1" applyProtection="1">
      <alignment horizontal="center" vertical="center" wrapText="1"/>
      <protection locked="0"/>
    </xf>
    <xf numFmtId="164" fontId="15" fillId="12" borderId="9" xfId="0" applyNumberFormat="1" applyFont="1" applyFill="1" applyBorder="1" applyAlignment="1" applyProtection="1">
      <alignment horizontal="center" vertical="center" wrapText="1"/>
      <protection locked="0"/>
    </xf>
    <xf numFmtId="164" fontId="15" fillId="9" borderId="9" xfId="0" applyNumberFormat="1" applyFont="1" applyFill="1" applyBorder="1" applyAlignment="1" applyProtection="1">
      <alignment horizontal="center" vertical="center" wrapText="1"/>
      <protection locked="0"/>
    </xf>
    <xf numFmtId="164" fontId="15" fillId="9" borderId="8" xfId="0" applyNumberFormat="1" applyFont="1" applyFill="1" applyBorder="1" applyAlignment="1" applyProtection="1">
      <alignment horizontal="center" vertical="center" wrapText="1"/>
      <protection locked="0"/>
    </xf>
    <xf numFmtId="0" fontId="15" fillId="12" borderId="22" xfId="0" applyFont="1" applyFill="1" applyBorder="1" applyAlignment="1" applyProtection="1">
      <alignment horizontal="left" vertical="center" wrapText="1"/>
      <protection locked="0"/>
    </xf>
    <xf numFmtId="0" fontId="21" fillId="7" borderId="12" xfId="0" applyFont="1" applyFill="1" applyBorder="1" applyAlignment="1" applyProtection="1">
      <alignment horizontal="left" vertical="center" wrapText="1"/>
      <protection locked="0"/>
    </xf>
    <xf numFmtId="0" fontId="33" fillId="8" borderId="12" xfId="0" applyFont="1" applyFill="1" applyBorder="1" applyAlignment="1" applyProtection="1">
      <alignment horizontal="center" vertical="center"/>
      <protection locked="0"/>
    </xf>
    <xf numFmtId="0" fontId="33" fillId="8" borderId="23" xfId="0" applyFont="1" applyFill="1" applyBorder="1" applyAlignment="1" applyProtection="1">
      <alignment vertical="center"/>
      <protection locked="0"/>
    </xf>
    <xf numFmtId="0" fontId="15" fillId="12" borderId="8" xfId="0" applyFont="1" applyFill="1" applyBorder="1" applyAlignment="1" applyProtection="1">
      <alignment horizontal="center" vertical="center" wrapText="1"/>
      <protection locked="0"/>
    </xf>
    <xf numFmtId="0" fontId="15" fillId="12" borderId="8" xfId="0" applyFont="1" applyFill="1" applyBorder="1" applyAlignment="1" applyProtection="1">
      <alignment horizontal="left" vertical="center" wrapText="1"/>
      <protection locked="0"/>
    </xf>
    <xf numFmtId="0" fontId="2" fillId="11" borderId="0" xfId="0" applyFont="1" applyFill="1" applyAlignment="1">
      <alignment horizontal="center"/>
    </xf>
    <xf numFmtId="0" fontId="0" fillId="12" borderId="0" xfId="0" applyFill="1"/>
    <xf numFmtId="0" fontId="0" fillId="6" borderId="0" xfId="0" applyFill="1"/>
    <xf numFmtId="0" fontId="5" fillId="4" borderId="0" xfId="0" applyFont="1" applyFill="1"/>
    <xf numFmtId="0" fontId="5" fillId="0" borderId="0" xfId="0" applyFont="1" applyAlignment="1">
      <alignment horizontal="center"/>
    </xf>
    <xf numFmtId="0" fontId="5" fillId="9" borderId="28" xfId="0" applyFont="1" applyFill="1" applyBorder="1" applyAlignment="1">
      <alignment vertical="center"/>
    </xf>
    <xf numFmtId="0" fontId="5" fillId="9" borderId="28" xfId="0" applyFont="1" applyFill="1" applyBorder="1" applyAlignment="1">
      <alignment horizontal="left" vertical="center"/>
    </xf>
    <xf numFmtId="0" fontId="5" fillId="9" borderId="28" xfId="0" applyFont="1" applyFill="1" applyBorder="1" applyAlignment="1">
      <alignment horizontal="center" vertical="center"/>
    </xf>
    <xf numFmtId="0" fontId="5" fillId="12" borderId="29" xfId="0" applyFont="1" applyFill="1" applyBorder="1" applyAlignment="1">
      <alignment vertical="center"/>
    </xf>
    <xf numFmtId="0" fontId="5" fillId="12" borderId="29" xfId="0" applyFont="1" applyFill="1" applyBorder="1" applyAlignment="1">
      <alignment horizontal="left" vertical="center"/>
    </xf>
    <xf numFmtId="0" fontId="5" fillId="12" borderId="29" xfId="0" applyFont="1" applyFill="1" applyBorder="1" applyAlignment="1">
      <alignment horizontal="center" vertical="center"/>
    </xf>
    <xf numFmtId="0" fontId="5" fillId="9" borderId="29" xfId="0" applyFont="1" applyFill="1" applyBorder="1" applyAlignment="1">
      <alignment vertical="center"/>
    </xf>
    <xf numFmtId="0" fontId="5" fillId="9" borderId="29" xfId="0" applyFont="1" applyFill="1" applyBorder="1" applyAlignment="1">
      <alignment horizontal="left" vertical="center"/>
    </xf>
    <xf numFmtId="0" fontId="5" fillId="9" borderId="29" xfId="0" applyFont="1" applyFill="1" applyBorder="1" applyAlignment="1">
      <alignment horizontal="center" vertical="center"/>
    </xf>
    <xf numFmtId="0" fontId="5" fillId="12" borderId="30" xfId="0" applyFont="1" applyFill="1" applyBorder="1" applyAlignment="1">
      <alignment horizontal="left" vertical="center"/>
    </xf>
    <xf numFmtId="0" fontId="56" fillId="6" borderId="32" xfId="0" applyFont="1" applyFill="1" applyBorder="1"/>
    <xf numFmtId="0" fontId="56" fillId="6" borderId="32" xfId="0" applyFont="1" applyFill="1" applyBorder="1" applyAlignment="1">
      <alignment horizontal="left"/>
    </xf>
    <xf numFmtId="0" fontId="56" fillId="6" borderId="32" xfId="0" applyFont="1" applyFill="1" applyBorder="1" applyAlignment="1">
      <alignment horizontal="center"/>
    </xf>
    <xf numFmtId="0" fontId="5" fillId="9" borderId="30" xfId="0" applyFont="1" applyFill="1" applyBorder="1" applyAlignment="1">
      <alignment horizontal="left" vertical="center"/>
    </xf>
    <xf numFmtId="0" fontId="5" fillId="9" borderId="30" xfId="0" applyFont="1" applyFill="1" applyBorder="1" applyAlignment="1">
      <alignment horizontal="center" vertical="center"/>
    </xf>
    <xf numFmtId="9" fontId="5" fillId="9" borderId="29" xfId="0" applyNumberFormat="1" applyFont="1" applyFill="1" applyBorder="1" applyAlignment="1">
      <alignment horizontal="center" vertical="center"/>
    </xf>
    <xf numFmtId="9" fontId="5" fillId="12" borderId="29" xfId="0" applyNumberFormat="1" applyFont="1" applyFill="1" applyBorder="1" applyAlignment="1">
      <alignment horizontal="center" vertical="center"/>
    </xf>
    <xf numFmtId="0" fontId="5" fillId="12" borderId="31" xfId="0" applyFont="1" applyFill="1" applyBorder="1" applyAlignment="1">
      <alignment vertical="center"/>
    </xf>
    <xf numFmtId="0" fontId="8" fillId="4" borderId="33" xfId="0" applyFont="1" applyFill="1" applyBorder="1"/>
    <xf numFmtId="0" fontId="8" fillId="4" borderId="33" xfId="0" applyFont="1" applyFill="1" applyBorder="1" applyAlignment="1">
      <alignment horizontal="left"/>
    </xf>
    <xf numFmtId="0" fontId="8" fillId="4" borderId="33" xfId="0" applyFont="1" applyFill="1" applyBorder="1" applyAlignment="1">
      <alignment horizontal="center"/>
    </xf>
    <xf numFmtId="3" fontId="5" fillId="9" borderId="28" xfId="0" applyNumberFormat="1" applyFont="1" applyFill="1" applyBorder="1" applyAlignment="1">
      <alignment horizontal="center" vertical="center"/>
    </xf>
    <xf numFmtId="3" fontId="5" fillId="12" borderId="29" xfId="0" applyNumberFormat="1" applyFont="1" applyFill="1" applyBorder="1" applyAlignment="1">
      <alignment horizontal="center" vertical="center"/>
    </xf>
    <xf numFmtId="3" fontId="5" fillId="9" borderId="29" xfId="0" applyNumberFormat="1" applyFont="1" applyFill="1" applyBorder="1" applyAlignment="1">
      <alignment horizontal="center" vertical="center"/>
    </xf>
    <xf numFmtId="3" fontId="5" fillId="12" borderId="30" xfId="0" applyNumberFormat="1" applyFont="1" applyFill="1" applyBorder="1" applyAlignment="1">
      <alignment horizontal="center" vertical="center"/>
    </xf>
    <xf numFmtId="3" fontId="56" fillId="6" borderId="32" xfId="0" applyNumberFormat="1" applyFont="1" applyFill="1" applyBorder="1" applyAlignment="1">
      <alignment horizontal="center"/>
    </xf>
    <xf numFmtId="3" fontId="5" fillId="9" borderId="30" xfId="0" applyNumberFormat="1" applyFont="1" applyFill="1" applyBorder="1" applyAlignment="1">
      <alignment horizontal="center" vertical="center"/>
    </xf>
    <xf numFmtId="3" fontId="8" fillId="4" borderId="33" xfId="0" applyNumberFormat="1" applyFont="1" applyFill="1" applyBorder="1" applyAlignment="1">
      <alignment horizontal="center"/>
    </xf>
    <xf numFmtId="167" fontId="5" fillId="9" borderId="28" xfId="0" applyNumberFormat="1" applyFont="1" applyFill="1" applyBorder="1" applyAlignment="1">
      <alignment horizontal="center" vertical="center"/>
    </xf>
    <xf numFmtId="167" fontId="5" fillId="12" borderId="29" xfId="0" applyNumberFormat="1" applyFont="1" applyFill="1" applyBorder="1" applyAlignment="1">
      <alignment horizontal="center" vertical="center"/>
    </xf>
    <xf numFmtId="167" fontId="5" fillId="9" borderId="29" xfId="0" applyNumberFormat="1" applyFont="1" applyFill="1" applyBorder="1" applyAlignment="1">
      <alignment horizontal="center" vertical="center"/>
    </xf>
    <xf numFmtId="167" fontId="5" fillId="9" borderId="30" xfId="0" applyNumberFormat="1" applyFont="1" applyFill="1" applyBorder="1" applyAlignment="1">
      <alignment horizontal="center" vertical="center"/>
    </xf>
    <xf numFmtId="167" fontId="56" fillId="6" borderId="32" xfId="0" applyNumberFormat="1" applyFont="1" applyFill="1" applyBorder="1" applyAlignment="1">
      <alignment horizontal="center"/>
    </xf>
    <xf numFmtId="9" fontId="5" fillId="9" borderId="28" xfId="0" applyNumberFormat="1" applyFont="1" applyFill="1" applyBorder="1" applyAlignment="1">
      <alignment horizontal="center" vertical="center"/>
    </xf>
    <xf numFmtId="9" fontId="5" fillId="9" borderId="30" xfId="0" applyNumberFormat="1" applyFont="1" applyFill="1" applyBorder="1" applyAlignment="1">
      <alignment horizontal="center" vertical="center"/>
    </xf>
    <xf numFmtId="9" fontId="8" fillId="4" borderId="33" xfId="0" applyNumberFormat="1" applyFont="1" applyFill="1" applyBorder="1" applyAlignment="1">
      <alignment horizontal="center"/>
    </xf>
    <xf numFmtId="0" fontId="58" fillId="9" borderId="28" xfId="0" applyFont="1" applyFill="1" applyBorder="1" applyAlignment="1">
      <alignment horizontal="left" vertical="center"/>
    </xf>
    <xf numFmtId="0" fontId="58" fillId="12" borderId="29" xfId="0" applyFont="1" applyFill="1" applyBorder="1" applyAlignment="1">
      <alignment horizontal="left" vertical="center"/>
    </xf>
    <xf numFmtId="0" fontId="58" fillId="9" borderId="29" xfId="0" applyFont="1" applyFill="1" applyBorder="1" applyAlignment="1">
      <alignment horizontal="left" vertical="center"/>
    </xf>
    <xf numFmtId="0" fontId="58" fillId="12" borderId="31" xfId="0" applyFont="1" applyFill="1" applyBorder="1" applyAlignment="1">
      <alignment horizontal="left" vertical="center"/>
    </xf>
    <xf numFmtId="0" fontId="58" fillId="12" borderId="30" xfId="0" applyFont="1" applyFill="1" applyBorder="1" applyAlignment="1">
      <alignment horizontal="left" vertical="center"/>
    </xf>
    <xf numFmtId="0" fontId="59" fillId="6" borderId="32" xfId="0" applyFont="1" applyFill="1" applyBorder="1" applyAlignment="1">
      <alignment horizontal="left"/>
    </xf>
    <xf numFmtId="0" fontId="58" fillId="9" borderId="30" xfId="0" applyFont="1" applyFill="1" applyBorder="1" applyAlignment="1">
      <alignment horizontal="left" vertical="center"/>
    </xf>
    <xf numFmtId="0" fontId="59" fillId="4" borderId="33" xfId="0" applyFont="1" applyFill="1" applyBorder="1" applyAlignment="1">
      <alignment horizontal="left"/>
    </xf>
    <xf numFmtId="0" fontId="60" fillId="9" borderId="28" xfId="0" applyFont="1" applyFill="1" applyBorder="1" applyAlignment="1">
      <alignment horizontal="center" vertical="center"/>
    </xf>
    <xf numFmtId="0" fontId="60" fillId="12" borderId="29" xfId="0" applyFont="1" applyFill="1" applyBorder="1" applyAlignment="1">
      <alignment horizontal="center" vertical="center"/>
    </xf>
    <xf numFmtId="0" fontId="60" fillId="9" borderId="29" xfId="0" applyFont="1" applyFill="1" applyBorder="1" applyAlignment="1">
      <alignment horizontal="center" vertical="center"/>
    </xf>
    <xf numFmtId="0" fontId="60" fillId="12" borderId="31" xfId="0" applyFont="1" applyFill="1" applyBorder="1" applyAlignment="1">
      <alignment horizontal="center" vertical="center"/>
    </xf>
    <xf numFmtId="0" fontId="60" fillId="9" borderId="28" xfId="0" applyFont="1" applyFill="1" applyBorder="1" applyAlignment="1">
      <alignment vertical="center"/>
    </xf>
    <xf numFmtId="0" fontId="60" fillId="12" borderId="29" xfId="0" applyFont="1" applyFill="1" applyBorder="1" applyAlignment="1">
      <alignment vertical="center"/>
    </xf>
    <xf numFmtId="0" fontId="60" fillId="9" borderId="29" xfId="0" applyFont="1" applyFill="1" applyBorder="1" applyAlignment="1">
      <alignment vertical="center"/>
    </xf>
    <xf numFmtId="0" fontId="60" fillId="12" borderId="30" xfId="0" applyFont="1" applyFill="1" applyBorder="1" applyAlignment="1">
      <alignment vertical="center"/>
    </xf>
    <xf numFmtId="0" fontId="1" fillId="8" borderId="0" xfId="0" applyFont="1" applyFill="1"/>
    <xf numFmtId="0" fontId="4" fillId="8" borderId="0" xfId="0" applyFont="1" applyFill="1"/>
    <xf numFmtId="0" fontId="4" fillId="10" borderId="0" xfId="0" applyFont="1" applyFill="1"/>
    <xf numFmtId="0" fontId="4" fillId="6" borderId="0" xfId="0" applyFont="1" applyFill="1"/>
    <xf numFmtId="0" fontId="4" fillId="12" borderId="0" xfId="0" applyFont="1" applyFill="1"/>
    <xf numFmtId="0" fontId="0" fillId="12" borderId="0" xfId="0" applyFill="1" applyAlignment="1">
      <alignment horizontal="center"/>
    </xf>
    <xf numFmtId="0" fontId="0" fillId="9" borderId="0" xfId="0" applyFill="1" applyAlignment="1">
      <alignment horizontal="center"/>
    </xf>
    <xf numFmtId="9" fontId="0" fillId="12" borderId="0" xfId="0" applyNumberFormat="1" applyFill="1" applyAlignment="1">
      <alignment horizontal="center"/>
    </xf>
    <xf numFmtId="9" fontId="0" fillId="9" borderId="0" xfId="0" applyNumberFormat="1" applyFill="1" applyAlignment="1">
      <alignment horizontal="center"/>
    </xf>
    <xf numFmtId="9" fontId="0" fillId="10" borderId="0" xfId="0" applyNumberFormat="1" applyFill="1" applyAlignment="1">
      <alignment horizontal="center"/>
    </xf>
    <xf numFmtId="0" fontId="1" fillId="8" borderId="0" xfId="0" applyFont="1" applyFill="1" applyAlignment="1">
      <alignment horizontal="center"/>
    </xf>
    <xf numFmtId="0" fontId="0" fillId="6" borderId="0" xfId="0" applyFill="1" applyAlignment="1">
      <alignment horizontal="center"/>
    </xf>
    <xf numFmtId="0" fontId="0" fillId="10" borderId="0" xfId="0" applyFill="1" applyAlignment="1">
      <alignment horizontal="center"/>
    </xf>
    <xf numFmtId="168" fontId="5" fillId="9" borderId="28" xfId="0" applyNumberFormat="1" applyFont="1" applyFill="1" applyBorder="1" applyAlignment="1">
      <alignment horizontal="center" vertical="center"/>
    </xf>
    <xf numFmtId="168" fontId="5" fillId="12" borderId="29" xfId="0" applyNumberFormat="1" applyFont="1" applyFill="1" applyBorder="1" applyAlignment="1">
      <alignment horizontal="center" vertical="center"/>
    </xf>
    <xf numFmtId="168" fontId="5" fillId="9" borderId="29" xfId="0" applyNumberFormat="1" applyFont="1" applyFill="1" applyBorder="1" applyAlignment="1">
      <alignment horizontal="center" vertical="center"/>
    </xf>
    <xf numFmtId="168" fontId="5" fillId="9" borderId="30" xfId="0" applyNumberFormat="1" applyFont="1" applyFill="1" applyBorder="1" applyAlignment="1">
      <alignment horizontal="center" vertical="center"/>
    </xf>
    <xf numFmtId="168" fontId="56" fillId="6" borderId="32" xfId="0" applyNumberFormat="1" applyFont="1" applyFill="1" applyBorder="1" applyAlignment="1">
      <alignment horizontal="center"/>
    </xf>
    <xf numFmtId="168" fontId="5" fillId="12" borderId="30" xfId="0" applyNumberFormat="1" applyFont="1" applyFill="1" applyBorder="1" applyAlignment="1">
      <alignment horizontal="center" vertical="center"/>
    </xf>
    <xf numFmtId="168" fontId="5" fillId="9" borderId="28" xfId="0" applyNumberFormat="1" applyFont="1" applyFill="1" applyBorder="1" applyAlignment="1">
      <alignment vertical="center"/>
    </xf>
    <xf numFmtId="168" fontId="5" fillId="12" borderId="29" xfId="0" applyNumberFormat="1" applyFont="1" applyFill="1" applyBorder="1" applyAlignment="1">
      <alignment vertical="center"/>
    </xf>
    <xf numFmtId="168" fontId="5" fillId="9" borderId="29" xfId="0" applyNumberFormat="1" applyFont="1" applyFill="1" applyBorder="1" applyAlignment="1">
      <alignment vertical="center"/>
    </xf>
    <xf numFmtId="168" fontId="5" fillId="9" borderId="30" xfId="0" applyNumberFormat="1" applyFont="1" applyFill="1" applyBorder="1" applyAlignment="1">
      <alignment vertical="center"/>
    </xf>
    <xf numFmtId="168" fontId="8" fillId="4" borderId="33" xfId="0" applyNumberFormat="1" applyFont="1" applyFill="1" applyBorder="1"/>
    <xf numFmtId="168" fontId="8" fillId="4" borderId="33" xfId="0" applyNumberFormat="1" applyFont="1" applyFill="1" applyBorder="1" applyAlignment="1">
      <alignment horizontal="center"/>
    </xf>
    <xf numFmtId="168" fontId="15" fillId="9" borderId="0" xfId="0" applyNumberFormat="1" applyFont="1" applyFill="1" applyAlignment="1" applyProtection="1">
      <alignment horizontal="center" vertical="center" wrapText="1"/>
      <protection locked="0"/>
    </xf>
    <xf numFmtId="168" fontId="15" fillId="12" borderId="9" xfId="0" applyNumberFormat="1" applyFont="1" applyFill="1" applyBorder="1" applyAlignment="1" applyProtection="1">
      <alignment horizontal="center" vertical="center" wrapText="1"/>
      <protection locked="0"/>
    </xf>
    <xf numFmtId="168" fontId="15" fillId="9" borderId="9" xfId="0" applyNumberFormat="1" applyFont="1" applyFill="1" applyBorder="1" applyAlignment="1" applyProtection="1">
      <alignment horizontal="center" vertical="center" wrapText="1"/>
      <protection locked="0"/>
    </xf>
    <xf numFmtId="168" fontId="28" fillId="6" borderId="9" xfId="0" applyNumberFormat="1" applyFont="1" applyFill="1" applyBorder="1" applyAlignment="1">
      <alignment horizontal="center" vertical="center" wrapText="1"/>
    </xf>
    <xf numFmtId="168" fontId="15" fillId="9" borderId="8" xfId="0" applyNumberFormat="1" applyFont="1" applyFill="1" applyBorder="1" applyAlignment="1" applyProtection="1">
      <alignment horizontal="center" vertical="center" wrapText="1"/>
      <protection locked="0"/>
    </xf>
    <xf numFmtId="168" fontId="28" fillId="6" borderId="11" xfId="0" applyNumberFormat="1" applyFont="1" applyFill="1" applyBorder="1" applyAlignment="1">
      <alignment horizontal="center" vertical="center" wrapText="1"/>
    </xf>
    <xf numFmtId="168" fontId="14" fillId="12" borderId="0" xfId="0" applyNumberFormat="1" applyFont="1" applyFill="1" applyAlignment="1" applyProtection="1">
      <alignment horizontal="center" vertical="center" wrapText="1"/>
      <protection locked="0"/>
    </xf>
    <xf numFmtId="168" fontId="14" fillId="12" borderId="0" xfId="0" applyNumberFormat="1" applyFont="1" applyFill="1" applyAlignment="1">
      <alignment horizontal="center" vertical="center" wrapText="1"/>
    </xf>
    <xf numFmtId="168" fontId="15" fillId="12" borderId="0" xfId="0" applyNumberFormat="1" applyFont="1" applyFill="1" applyAlignment="1">
      <alignment horizontal="center" vertical="center" wrapText="1"/>
    </xf>
    <xf numFmtId="168" fontId="14" fillId="9" borderId="9" xfId="0" applyNumberFormat="1" applyFont="1" applyFill="1" applyBorder="1" applyAlignment="1" applyProtection="1">
      <alignment horizontal="center" vertical="center" wrapText="1"/>
      <protection locked="0"/>
    </xf>
    <xf numFmtId="168" fontId="14" fillId="9" borderId="9" xfId="0" applyNumberFormat="1" applyFont="1" applyFill="1" applyBorder="1" applyAlignment="1">
      <alignment horizontal="center" vertical="center" wrapText="1"/>
    </xf>
    <xf numFmtId="168" fontId="15" fillId="9" borderId="9" xfId="0" applyNumberFormat="1" applyFont="1" applyFill="1" applyBorder="1" applyAlignment="1">
      <alignment horizontal="center" vertical="center" wrapText="1"/>
    </xf>
    <xf numFmtId="168" fontId="14" fillId="12" borderId="9" xfId="0" applyNumberFormat="1" applyFont="1" applyFill="1" applyBorder="1" applyAlignment="1" applyProtection="1">
      <alignment horizontal="center" vertical="center" wrapText="1"/>
      <protection locked="0"/>
    </xf>
    <xf numFmtId="168" fontId="14" fillId="12" borderId="9" xfId="0" applyNumberFormat="1" applyFont="1" applyFill="1" applyBorder="1" applyAlignment="1">
      <alignment horizontal="center" vertical="center" wrapText="1"/>
    </xf>
    <xf numFmtId="168" fontId="15" fillId="12" borderId="9" xfId="0" applyNumberFormat="1" applyFont="1" applyFill="1" applyBorder="1" applyAlignment="1">
      <alignment horizontal="center" vertical="center" wrapText="1"/>
    </xf>
    <xf numFmtId="168" fontId="15" fillId="9" borderId="8" xfId="0" applyNumberFormat="1" applyFont="1" applyFill="1" applyBorder="1" applyAlignment="1">
      <alignment horizontal="center" vertical="center" wrapText="1"/>
    </xf>
    <xf numFmtId="168" fontId="31" fillId="6" borderId="11" xfId="0" applyNumberFormat="1" applyFont="1" applyFill="1" applyBorder="1" applyAlignment="1">
      <alignment horizontal="center" vertical="center" wrapText="1"/>
    </xf>
    <xf numFmtId="168" fontId="15" fillId="12" borderId="0" xfId="0" applyNumberFormat="1" applyFont="1" applyFill="1" applyAlignment="1" applyProtection="1">
      <alignment horizontal="center" vertical="center" wrapText="1"/>
      <protection locked="0"/>
    </xf>
    <xf numFmtId="168" fontId="15" fillId="12" borderId="8" xfId="0" applyNumberFormat="1" applyFont="1" applyFill="1" applyBorder="1" applyAlignment="1" applyProtection="1">
      <alignment horizontal="center" vertical="center" wrapText="1"/>
      <protection locked="0"/>
    </xf>
    <xf numFmtId="169" fontId="15" fillId="9" borderId="0" xfId="0" applyNumberFormat="1" applyFont="1" applyFill="1" applyAlignment="1" applyProtection="1">
      <alignment horizontal="left" vertical="center" wrapText="1"/>
      <protection locked="0"/>
    </xf>
    <xf numFmtId="169" fontId="15" fillId="12" borderId="9" xfId="0" applyNumberFormat="1" applyFont="1" applyFill="1" applyBorder="1" applyAlignment="1" applyProtection="1">
      <alignment horizontal="left" vertical="center" wrapText="1"/>
      <protection locked="0"/>
    </xf>
    <xf numFmtId="169" fontId="15" fillId="9" borderId="9" xfId="0" applyNumberFormat="1" applyFont="1" applyFill="1" applyBorder="1" applyAlignment="1" applyProtection="1">
      <alignment horizontal="left" vertical="center" wrapText="1"/>
      <protection locked="0"/>
    </xf>
    <xf numFmtId="169" fontId="15" fillId="9" borderId="8" xfId="0" applyNumberFormat="1" applyFont="1" applyFill="1" applyBorder="1" applyAlignment="1" applyProtection="1">
      <alignment horizontal="left" vertical="center" wrapText="1"/>
      <protection locked="0"/>
    </xf>
    <xf numFmtId="0" fontId="11" fillId="9" borderId="27" xfId="0" applyFont="1" applyFill="1" applyBorder="1" applyAlignment="1">
      <alignment horizontal="center" vertical="center"/>
    </xf>
    <xf numFmtId="0" fontId="53" fillId="7" borderId="2" xfId="0" applyFont="1" applyFill="1" applyBorder="1" applyAlignment="1">
      <alignment horizontal="center"/>
    </xf>
    <xf numFmtId="0" fontId="40" fillId="12" borderId="0" xfId="0" applyFont="1" applyFill="1" applyAlignment="1">
      <alignment vertical="center"/>
    </xf>
    <xf numFmtId="0" fontId="28" fillId="12" borderId="0" xfId="0" applyFont="1" applyFill="1" applyAlignment="1">
      <alignment horizontal="center" vertical="center"/>
    </xf>
    <xf numFmtId="0" fontId="11" fillId="12" borderId="0" xfId="0" applyFont="1" applyFill="1" applyAlignment="1">
      <alignment vertical="center"/>
    </xf>
    <xf numFmtId="0" fontId="11" fillId="4" borderId="0" xfId="0" applyFont="1" applyFill="1" applyAlignment="1">
      <alignment vertical="center"/>
    </xf>
    <xf numFmtId="0" fontId="48" fillId="9" borderId="0" xfId="0" applyFont="1" applyFill="1" applyAlignment="1">
      <alignment horizontal="center" vertical="center"/>
    </xf>
    <xf numFmtId="0" fontId="49" fillId="9" borderId="0" xfId="0" applyFont="1" applyFill="1" applyAlignment="1">
      <alignment horizontal="center" vertical="center"/>
    </xf>
    <xf numFmtId="0" fontId="48" fillId="3" borderId="0" xfId="0" applyFont="1" applyFill="1" applyAlignment="1">
      <alignment horizontal="center" vertical="center"/>
    </xf>
    <xf numFmtId="0" fontId="16" fillId="12" borderId="0" xfId="0" applyFont="1" applyFill="1" applyAlignment="1">
      <alignment horizontal="center" vertical="center"/>
    </xf>
    <xf numFmtId="0" fontId="40" fillId="12" borderId="0" xfId="0" applyFont="1" applyFill="1" applyAlignment="1">
      <alignment horizontal="center" vertical="center"/>
    </xf>
    <xf numFmtId="0" fontId="40" fillId="3" borderId="0" xfId="0" applyFont="1" applyFill="1" applyAlignment="1">
      <alignment horizontal="center" vertical="center"/>
    </xf>
    <xf numFmtId="0" fontId="42" fillId="9" borderId="0" xfId="0" applyFont="1" applyFill="1" applyAlignment="1">
      <alignment horizontal="center" vertical="center"/>
    </xf>
    <xf numFmtId="0" fontId="50" fillId="9" borderId="0" xfId="0" applyFont="1" applyFill="1" applyAlignment="1">
      <alignment horizontal="center" vertical="center"/>
    </xf>
    <xf numFmtId="0" fontId="42" fillId="3" borderId="0" xfId="0" applyFont="1" applyFill="1" applyAlignment="1">
      <alignment horizontal="center" vertical="center"/>
    </xf>
    <xf numFmtId="0" fontId="40" fillId="4" borderId="0" xfId="0" applyFont="1" applyFill="1" applyAlignment="1">
      <alignment vertical="center"/>
    </xf>
    <xf numFmtId="0" fontId="35" fillId="3" borderId="0" xfId="0" applyFont="1" applyFill="1" applyAlignment="1">
      <alignment horizontal="center" vertical="center"/>
    </xf>
    <xf numFmtId="0" fontId="9" fillId="3" borderId="7" xfId="0" applyFont="1" applyFill="1" applyBorder="1" applyAlignment="1">
      <alignment vertical="center"/>
    </xf>
    <xf numFmtId="0" fontId="9" fillId="3" borderId="0" xfId="0" applyFont="1" applyFill="1" applyAlignment="1">
      <alignment vertical="center"/>
    </xf>
    <xf numFmtId="0" fontId="3" fillId="3" borderId="7" xfId="0" applyFont="1" applyFill="1" applyBorder="1" applyAlignment="1">
      <alignment horizontal="left" vertical="center"/>
    </xf>
    <xf numFmtId="0" fontId="3" fillId="3" borderId="0" xfId="0" applyFont="1" applyFill="1" applyAlignment="1">
      <alignment horizontal="left" vertical="center"/>
    </xf>
    <xf numFmtId="0" fontId="11" fillId="9" borderId="0" xfId="0" applyFont="1" applyFill="1" applyAlignment="1">
      <alignment vertical="center"/>
    </xf>
    <xf numFmtId="0" fontId="28" fillId="9" borderId="0" xfId="0" applyFont="1" applyFill="1" applyAlignment="1">
      <alignment horizontal="center" vertical="center"/>
    </xf>
    <xf numFmtId="0" fontId="11" fillId="0" borderId="0" xfId="0" applyFont="1" applyAlignment="1">
      <alignment vertical="center"/>
    </xf>
    <xf numFmtId="0" fontId="10" fillId="11" borderId="6" xfId="0" applyFont="1" applyFill="1" applyBorder="1" applyAlignment="1">
      <alignment horizontal="center" vertical="center"/>
    </xf>
    <xf numFmtId="0" fontId="10" fillId="11" borderId="0" xfId="0" applyFont="1" applyFill="1" applyAlignment="1">
      <alignment horizontal="center" vertical="center"/>
    </xf>
    <xf numFmtId="0" fontId="44" fillId="6" borderId="0" xfId="0" applyFont="1" applyFill="1" applyAlignment="1">
      <alignment vertical="center"/>
    </xf>
    <xf numFmtId="0" fontId="45" fillId="6" borderId="0" xfId="0" applyFont="1" applyFill="1" applyAlignment="1">
      <alignment vertical="center"/>
    </xf>
    <xf numFmtId="0" fontId="37" fillId="0" borderId="0" xfId="0" applyFont="1" applyAlignment="1">
      <alignment horizontal="center" vertical="center"/>
    </xf>
    <xf numFmtId="0" fontId="12" fillId="0" borderId="0" xfId="0" applyFont="1" applyAlignment="1">
      <alignment vertical="center"/>
    </xf>
    <xf numFmtId="0" fontId="55" fillId="6" borderId="3" xfId="0" applyFont="1" applyFill="1" applyBorder="1" applyAlignment="1">
      <alignment horizontal="center" vertical="center"/>
    </xf>
    <xf numFmtId="0" fontId="9" fillId="3" borderId="7" xfId="0" applyFont="1" applyFill="1" applyBorder="1" applyAlignment="1">
      <alignment vertical="center" wrapText="1"/>
    </xf>
    <xf numFmtId="0" fontId="9" fillId="3" borderId="0" xfId="0" applyFont="1" applyFill="1" applyAlignment="1">
      <alignment vertical="center" wrapText="1"/>
    </xf>
    <xf numFmtId="0" fontId="32" fillId="13" borderId="0" xfId="0" applyFont="1" applyFill="1" applyAlignment="1">
      <alignment vertical="center"/>
    </xf>
    <xf numFmtId="0" fontId="26" fillId="13" borderId="0" xfId="0" applyFont="1" applyFill="1" applyAlignment="1">
      <alignment vertical="center"/>
    </xf>
    <xf numFmtId="0" fontId="26" fillId="13" borderId="0" xfId="0" applyFont="1" applyFill="1" applyAlignment="1">
      <alignment vertical="center" wrapText="1"/>
    </xf>
    <xf numFmtId="0" fontId="46" fillId="13" borderId="0" xfId="0" applyFont="1" applyFill="1" applyAlignment="1">
      <alignment vertical="center"/>
    </xf>
    <xf numFmtId="0" fontId="47" fillId="13" borderId="0" xfId="0" applyFont="1" applyFill="1" applyAlignment="1">
      <alignment vertical="center"/>
    </xf>
    <xf numFmtId="0" fontId="32" fillId="9" borderId="0" xfId="0" applyFont="1" applyFill="1" applyAlignment="1">
      <alignment vertical="center" wrapText="1"/>
    </xf>
    <xf numFmtId="0" fontId="26" fillId="9" borderId="0" xfId="0" applyFont="1" applyFill="1" applyAlignment="1">
      <alignment vertical="center" wrapText="1"/>
    </xf>
    <xf numFmtId="0" fontId="6" fillId="3" borderId="0" xfId="0" applyFont="1" applyFill="1" applyAlignment="1">
      <alignment horizontal="center" vertical="center"/>
    </xf>
    <xf numFmtId="0" fontId="17" fillId="3" borderId="0" xfId="0" applyFont="1" applyFill="1" applyAlignment="1">
      <alignment horizontal="center" vertical="center"/>
    </xf>
    <xf numFmtId="0" fontId="11" fillId="0" borderId="0" xfId="0" applyFont="1" applyAlignment="1">
      <alignment vertical="center" wrapText="1"/>
    </xf>
    <xf numFmtId="0" fontId="63" fillId="0" borderId="0" xfId="0" applyFont="1"/>
    <xf numFmtId="0" fontId="64" fillId="3" borderId="0" xfId="0" applyFont="1" applyFill="1" applyAlignment="1">
      <alignment horizontal="center"/>
    </xf>
    <xf numFmtId="0" fontId="4" fillId="10" borderId="0" xfId="0" applyFont="1" applyFill="1"/>
    <xf numFmtId="0" fontId="4" fillId="6" borderId="0" xfId="0" applyFont="1" applyFill="1"/>
    <xf numFmtId="0" fontId="4" fillId="12" borderId="0" xfId="0" applyFont="1" applyFill="1"/>
    <xf numFmtId="0" fontId="51" fillId="3" borderId="7" xfId="0" applyFont="1" applyFill="1" applyBorder="1" applyAlignment="1">
      <alignment horizontal="left" vertical="center"/>
    </xf>
    <xf numFmtId="0" fontId="51" fillId="3" borderId="0" xfId="0" applyFont="1" applyFill="1" applyAlignment="1">
      <alignment horizontal="left" vertical="center"/>
    </xf>
    <xf numFmtId="0" fontId="53" fillId="7" borderId="0" xfId="0" applyFont="1" applyFill="1"/>
    <xf numFmtId="0" fontId="62" fillId="10" borderId="0" xfId="0" applyFont="1" applyFill="1"/>
    <xf numFmtId="0" fontId="61" fillId="7" borderId="0" xfId="0" applyFont="1" applyFill="1"/>
    <xf numFmtId="0" fontId="52" fillId="14" borderId="0" xfId="0" applyFont="1" applyFill="1"/>
    <xf numFmtId="0" fontId="4" fillId="8" borderId="0" xfId="0" applyFont="1" applyFill="1"/>
    <xf numFmtId="0" fontId="57" fillId="5" borderId="1" xfId="0" applyFont="1" applyFill="1" applyBorder="1"/>
    <xf numFmtId="0" fontId="7" fillId="3" borderId="13" xfId="0" applyFont="1" applyFill="1" applyBorder="1" applyAlignment="1">
      <alignment horizontal="left" vertical="center"/>
    </xf>
    <xf numFmtId="0" fontId="7" fillId="3" borderId="10" xfId="0" applyFont="1" applyFill="1" applyBorder="1" applyAlignment="1">
      <alignment horizontal="left" vertical="center"/>
    </xf>
    <xf numFmtId="0" fontId="26" fillId="14" borderId="0" xfId="0" applyFont="1" applyFill="1"/>
    <xf numFmtId="0" fontId="54" fillId="3" borderId="0" xfId="0" applyFont="1" applyFill="1" applyAlignment="1">
      <alignment horizontal="center" vertical="center"/>
    </xf>
    <xf numFmtId="0" fontId="5" fillId="4" borderId="0" xfId="0" applyFont="1" applyFill="1"/>
    <xf numFmtId="0" fontId="41" fillId="11" borderId="0" xfId="0" applyFont="1" applyFill="1" applyAlignment="1">
      <alignment horizontal="center" vertical="center"/>
    </xf>
    <xf numFmtId="0" fontId="18" fillId="5" borderId="0" xfId="0" applyFont="1" applyFill="1" applyAlignment="1">
      <alignment horizontal="center" vertical="center"/>
    </xf>
    <xf numFmtId="0" fontId="18" fillId="10" borderId="5" xfId="0" applyFont="1" applyFill="1" applyBorder="1" applyAlignment="1">
      <alignment horizontal="center" vertical="center"/>
    </xf>
    <xf numFmtId="0" fontId="19" fillId="12" borderId="0" xfId="0" applyFont="1" applyFill="1" applyAlignment="1">
      <alignment horizontal="center" vertical="center" indent="1"/>
    </xf>
    <xf numFmtId="0" fontId="14" fillId="12" borderId="0" xfId="0" applyFont="1" applyFill="1" applyAlignment="1">
      <alignment horizontal="center" vertical="center" indent="1"/>
    </xf>
    <xf numFmtId="0" fontId="7" fillId="3" borderId="13" xfId="0" applyFont="1" applyFill="1" applyBorder="1" applyAlignment="1">
      <alignment horizontal="left" vertical="center" indent="1"/>
    </xf>
    <xf numFmtId="0" fontId="7" fillId="3" borderId="10" xfId="0" applyFont="1" applyFill="1" applyBorder="1" applyAlignment="1">
      <alignment horizontal="left" vertical="center" indent="1"/>
    </xf>
    <xf numFmtId="0" fontId="7" fillId="3" borderId="19" xfId="0" applyFont="1" applyFill="1" applyBorder="1" applyAlignment="1">
      <alignment horizontal="left" vertical="center" indent="1"/>
    </xf>
    <xf numFmtId="0" fontId="25" fillId="12" borderId="15" xfId="0" applyFont="1" applyFill="1" applyBorder="1" applyAlignment="1">
      <alignment horizontal="left" vertical="center" indent="1"/>
    </xf>
    <xf numFmtId="0" fontId="25" fillId="12" borderId="0" xfId="0" applyFont="1" applyFill="1" applyAlignment="1">
      <alignment horizontal="left" vertical="center" indent="1"/>
    </xf>
    <xf numFmtId="0" fontId="25" fillId="12" borderId="0" xfId="0" applyFont="1" applyFill="1" applyAlignment="1">
      <alignment horizontal="center" vertical="center" indent="1"/>
    </xf>
    <xf numFmtId="0" fontId="25" fillId="12" borderId="20" xfId="0" applyFont="1" applyFill="1" applyBorder="1" applyAlignment="1">
      <alignment horizontal="left" vertical="center" indent="1"/>
    </xf>
    <xf numFmtId="0" fontId="26" fillId="13" borderId="14" xfId="0" applyFont="1" applyFill="1" applyBorder="1" applyAlignment="1">
      <alignment horizontal="left" vertical="center" indent="1"/>
    </xf>
    <xf numFmtId="0" fontId="26" fillId="13" borderId="10" xfId="0" applyFont="1" applyFill="1" applyBorder="1" applyAlignment="1">
      <alignment horizontal="left" vertical="center" indent="1"/>
    </xf>
    <xf numFmtId="0" fontId="26" fillId="13" borderId="19" xfId="0" applyFont="1" applyFill="1" applyBorder="1" applyAlignment="1">
      <alignment horizontal="left" vertical="center" indent="1"/>
    </xf>
    <xf numFmtId="0" fontId="20" fillId="7" borderId="0" xfId="0" applyFont="1" applyFill="1" applyAlignment="1">
      <alignment horizontal="center" vertical="center"/>
    </xf>
    <xf numFmtId="0" fontId="21" fillId="7" borderId="0" xfId="0" applyFont="1" applyFill="1" applyAlignment="1">
      <alignment horizontal="center" vertical="center"/>
    </xf>
    <xf numFmtId="0" fontId="27" fillId="5" borderId="15" xfId="0" applyFont="1" applyFill="1" applyBorder="1" applyAlignment="1">
      <alignment horizontal="left" vertical="center" indent="1"/>
    </xf>
    <xf numFmtId="0" fontId="27" fillId="5" borderId="0" xfId="0" applyFont="1" applyFill="1" applyAlignment="1">
      <alignment horizontal="left" vertical="center" indent="1"/>
    </xf>
    <xf numFmtId="0" fontId="27" fillId="5" borderId="20" xfId="0" applyFont="1" applyFill="1" applyBorder="1" applyAlignment="1">
      <alignment horizontal="left" vertical="center" indent="1"/>
    </xf>
    <xf numFmtId="0" fontId="29" fillId="5" borderId="15" xfId="0" applyFont="1" applyFill="1" applyBorder="1" applyAlignment="1">
      <alignment horizontal="left" vertical="center" indent="1"/>
    </xf>
    <xf numFmtId="0" fontId="29" fillId="5" borderId="0" xfId="0" applyFont="1" applyFill="1" applyAlignment="1">
      <alignment horizontal="left" vertical="center" indent="1"/>
    </xf>
    <xf numFmtId="0" fontId="29" fillId="5" borderId="20" xfId="0" applyFont="1" applyFill="1" applyBorder="1" applyAlignment="1">
      <alignment horizontal="left" vertical="center" indent="1"/>
    </xf>
    <xf numFmtId="0" fontId="36" fillId="3" borderId="0" xfId="0" applyFont="1" applyFill="1" applyAlignment="1">
      <alignment horizontal="center" vertical="center"/>
    </xf>
    <xf numFmtId="0" fontId="32" fillId="13" borderId="10" xfId="0" applyFont="1" applyFill="1" applyBorder="1" applyAlignment="1">
      <alignment horizontal="left" vertical="center" indent="1"/>
    </xf>
    <xf numFmtId="0" fontId="6" fillId="3" borderId="0" xfId="0" applyFont="1" applyFill="1" applyAlignment="1">
      <alignment horizontal="center"/>
    </xf>
    <xf numFmtId="0" fontId="65" fillId="3" borderId="0" xfId="0" applyFont="1" applyFill="1" applyAlignment="1">
      <alignment horizontal="center"/>
    </xf>
    <xf numFmtId="0" fontId="66" fillId="3" borderId="0" xfId="0" applyFont="1" applyFill="1" applyAlignment="1">
      <alignment horizontal="center"/>
    </xf>
    <xf numFmtId="0" fontId="67" fillId="10" borderId="0" xfId="0" applyFont="1" applyFill="1" applyAlignment="1">
      <alignment horizontal="center"/>
    </xf>
    <xf numFmtId="0" fontId="7" fillId="3" borderId="7" xfId="0" applyFont="1" applyFill="1" applyBorder="1"/>
    <xf numFmtId="0" fontId="7" fillId="3" borderId="0" xfId="0" applyFont="1" applyFill="1"/>
    <xf numFmtId="0" fontId="68" fillId="10" borderId="0" xfId="0" applyFont="1" applyFill="1"/>
    <xf numFmtId="0" fontId="8" fillId="11" borderId="0" xfId="0" applyFont="1" applyFill="1" applyAlignment="1">
      <alignment horizontal="center"/>
    </xf>
    <xf numFmtId="0" fontId="5" fillId="12" borderId="0" xfId="0" applyFont="1" applyFill="1"/>
    <xf numFmtId="0" fontId="5" fillId="9" borderId="0" xfId="0" applyFont="1" applyFill="1"/>
    <xf numFmtId="0" fontId="5" fillId="10" borderId="0" xfId="0" applyFont="1" applyFill="1"/>
    <xf numFmtId="0" fontId="5" fillId="8" borderId="0" xfId="0" applyFont="1" applyFill="1"/>
    <xf numFmtId="0" fontId="69" fillId="10" borderId="0" xfId="0" applyFont="1" applyFill="1"/>
    <xf numFmtId="0" fontId="69" fillId="8" borderId="0" xfId="0" applyFont="1" applyFill="1"/>
    <xf numFmtId="0" fontId="70" fillId="8" borderId="0" xfId="0" applyFont="1" applyFill="1"/>
    <xf numFmtId="0" fontId="69" fillId="6" borderId="0" xfId="0" applyFont="1" applyFill="1"/>
    <xf numFmtId="0" fontId="5" fillId="6" borderId="0" xfId="0" applyFont="1" applyFill="1"/>
    <xf numFmtId="0" fontId="71" fillId="12" borderId="0" xfId="0" applyFont="1" applyFill="1"/>
    <xf numFmtId="0" fontId="71" fillId="9" borderId="0" xfId="0" applyFont="1" applyFill="1"/>
    <xf numFmtId="0" fontId="72" fillId="7" borderId="0" xfId="0" applyFont="1" applyFill="1"/>
    <xf numFmtId="0" fontId="73" fillId="12" borderId="0" xfId="0" applyFont="1" applyFill="1"/>
    <xf numFmtId="0" fontId="73" fillId="9" borderId="0" xfId="0" applyFont="1" applyFill="1"/>
    <xf numFmtId="0" fontId="74" fillId="7" borderId="0" xfId="0" applyFont="1" applyFill="1"/>
    <xf numFmtId="0" fontId="18" fillId="10" borderId="0" xfId="0" applyFont="1" applyFill="1"/>
    <xf numFmtId="0" fontId="75" fillId="7" borderId="26" xfId="0" applyFont="1" applyFill="1" applyBorder="1" applyAlignment="1">
      <alignment vertical="center"/>
    </xf>
    <xf numFmtId="0" fontId="75" fillId="7" borderId="4" xfId="0" applyFont="1" applyFill="1" applyBorder="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44870-067C-4320-8383-6DCF398DFC9A}">
  <dimension ref="A1:E174"/>
  <sheetViews>
    <sheetView tabSelected="1" workbookViewId="0">
      <pane ySplit="4" topLeftCell="A32" activePane="bottomLeft" state="frozen"/>
      <selection pane="bottomLeft" sqref="A1:E1"/>
    </sheetView>
  </sheetViews>
  <sheetFormatPr defaultRowHeight="14.5" x14ac:dyDescent="0.35"/>
  <cols>
    <col min="1" max="1" width="51.81640625" bestFit="1" customWidth="1"/>
    <col min="2" max="2" width="54.90625" customWidth="1"/>
    <col min="3" max="3" width="47.1796875" bestFit="1" customWidth="1"/>
    <col min="4" max="4" width="32.7265625" customWidth="1"/>
    <col min="5" max="5" width="18.1796875" customWidth="1"/>
  </cols>
  <sheetData>
    <row r="1" spans="1:5" ht="45" customHeight="1" x14ac:dyDescent="0.35">
      <c r="A1" s="306" t="s">
        <v>146</v>
      </c>
      <c r="B1" s="306"/>
      <c r="C1" s="306"/>
      <c r="D1" s="306"/>
      <c r="E1" s="306"/>
    </row>
    <row r="2" spans="1:5" ht="25" customHeight="1" x14ac:dyDescent="0.35">
      <c r="A2" s="307" t="s">
        <v>147</v>
      </c>
      <c r="B2" s="307"/>
      <c r="C2" s="307"/>
      <c r="D2" s="307"/>
      <c r="E2" s="307"/>
    </row>
    <row r="3" spans="1:5" ht="22" customHeight="1" x14ac:dyDescent="0.35">
      <c r="A3" s="280" t="s">
        <v>148</v>
      </c>
      <c r="B3" s="280"/>
      <c r="C3" s="280"/>
      <c r="D3" s="280"/>
      <c r="E3" s="280"/>
    </row>
    <row r="4" spans="1:5" ht="6" customHeight="1" x14ac:dyDescent="0.35">
      <c r="A4" s="87"/>
      <c r="B4" s="87"/>
      <c r="C4" s="87"/>
      <c r="D4" s="87"/>
      <c r="E4" s="87"/>
    </row>
    <row r="5" spans="1:5" ht="30" customHeight="1" x14ac:dyDescent="0.35">
      <c r="A5" s="283" t="s">
        <v>149</v>
      </c>
      <c r="B5" s="284"/>
      <c r="C5" s="284"/>
      <c r="D5" s="284"/>
      <c r="E5" s="284"/>
    </row>
    <row r="6" spans="1:5" ht="60" customHeight="1" x14ac:dyDescent="0.35">
      <c r="A6" s="308" t="s">
        <v>150</v>
      </c>
      <c r="B6" s="289"/>
      <c r="C6" s="289"/>
      <c r="D6" s="289"/>
      <c r="E6" s="289"/>
    </row>
    <row r="7" spans="1:5" ht="15" customHeight="1" x14ac:dyDescent="0.35">
      <c r="A7" s="79"/>
      <c r="B7" s="79"/>
      <c r="C7" s="79"/>
      <c r="D7" s="79"/>
      <c r="E7" s="79"/>
    </row>
    <row r="8" spans="1:5" ht="30" customHeight="1" x14ac:dyDescent="0.35">
      <c r="A8" s="283" t="s">
        <v>151</v>
      </c>
      <c r="B8" s="284"/>
      <c r="C8" s="284"/>
      <c r="D8" s="284"/>
      <c r="E8" s="284"/>
    </row>
    <row r="9" spans="1:5" ht="26" customHeight="1" x14ac:dyDescent="0.35">
      <c r="A9" s="89" t="s">
        <v>152</v>
      </c>
      <c r="B9" s="89" t="s">
        <v>153</v>
      </c>
      <c r="C9" s="89" t="s">
        <v>154</v>
      </c>
      <c r="D9" s="89" t="s">
        <v>155</v>
      </c>
      <c r="E9" s="90"/>
    </row>
    <row r="10" spans="1:5" ht="16" x14ac:dyDescent="0.35">
      <c r="A10" s="92" t="s">
        <v>156</v>
      </c>
      <c r="B10" s="92" t="s">
        <v>443</v>
      </c>
      <c r="C10" s="92" t="s">
        <v>157</v>
      </c>
      <c r="D10" s="92" t="s">
        <v>158</v>
      </c>
      <c r="E10" s="93"/>
    </row>
    <row r="11" spans="1:5" ht="32" x14ac:dyDescent="0.35">
      <c r="A11" s="103" t="s">
        <v>159</v>
      </c>
      <c r="B11" s="103" t="s">
        <v>160</v>
      </c>
      <c r="C11" s="103" t="s">
        <v>157</v>
      </c>
      <c r="D11" s="103" t="s">
        <v>158</v>
      </c>
      <c r="E11" s="104"/>
    </row>
    <row r="12" spans="1:5" ht="16" x14ac:dyDescent="0.35">
      <c r="A12" s="107" t="s">
        <v>161</v>
      </c>
      <c r="B12" s="107" t="s">
        <v>162</v>
      </c>
      <c r="C12" s="107" t="s">
        <v>163</v>
      </c>
      <c r="D12" s="107" t="s">
        <v>158</v>
      </c>
      <c r="E12" s="108"/>
    </row>
    <row r="13" spans="1:5" ht="16" x14ac:dyDescent="0.35">
      <c r="A13" s="103" t="s">
        <v>164</v>
      </c>
      <c r="B13" s="103" t="s">
        <v>165</v>
      </c>
      <c r="C13" s="103" t="s">
        <v>166</v>
      </c>
      <c r="D13" s="103" t="s">
        <v>158</v>
      </c>
      <c r="E13" s="104"/>
    </row>
    <row r="14" spans="1:5" ht="16" x14ac:dyDescent="0.35">
      <c r="A14" s="107" t="s">
        <v>167</v>
      </c>
      <c r="B14" s="107" t="s">
        <v>168</v>
      </c>
      <c r="C14" s="107" t="s">
        <v>166</v>
      </c>
      <c r="D14" s="107" t="s">
        <v>169</v>
      </c>
      <c r="E14" s="108"/>
    </row>
    <row r="15" spans="1:5" ht="16" x14ac:dyDescent="0.35">
      <c r="A15" s="103" t="s">
        <v>170</v>
      </c>
      <c r="B15" s="103" t="s">
        <v>171</v>
      </c>
      <c r="C15" s="103" t="s">
        <v>172</v>
      </c>
      <c r="D15" s="103" t="s">
        <v>169</v>
      </c>
      <c r="E15" s="104"/>
    </row>
    <row r="16" spans="1:5" ht="16" x14ac:dyDescent="0.35">
      <c r="A16" s="105" t="s">
        <v>173</v>
      </c>
      <c r="B16" s="105" t="s">
        <v>174</v>
      </c>
      <c r="C16" s="105" t="s">
        <v>175</v>
      </c>
      <c r="D16" s="105" t="s">
        <v>158</v>
      </c>
      <c r="E16" s="106"/>
    </row>
    <row r="17" spans="1:5" ht="15" customHeight="1" x14ac:dyDescent="0.35">
      <c r="A17" s="79"/>
      <c r="B17" s="79"/>
      <c r="C17" s="79"/>
      <c r="D17" s="79"/>
      <c r="E17" s="79"/>
    </row>
    <row r="18" spans="1:5" ht="30" customHeight="1" x14ac:dyDescent="0.35">
      <c r="A18" s="283" t="s">
        <v>176</v>
      </c>
      <c r="B18" s="284"/>
      <c r="C18" s="284"/>
      <c r="D18" s="284"/>
      <c r="E18" s="284"/>
    </row>
    <row r="19" spans="1:5" ht="10" customHeight="1" x14ac:dyDescent="0.35">
      <c r="A19" s="79"/>
      <c r="B19" s="79"/>
      <c r="C19" s="79"/>
      <c r="D19" s="79"/>
      <c r="E19" s="79"/>
    </row>
    <row r="20" spans="1:5" ht="26" customHeight="1" x14ac:dyDescent="0.35">
      <c r="A20" s="300" t="s">
        <v>444</v>
      </c>
      <c r="B20" s="300"/>
      <c r="C20" s="300"/>
      <c r="D20" s="300"/>
      <c r="E20" s="300"/>
    </row>
    <row r="21" spans="1:5" ht="32" x14ac:dyDescent="0.35">
      <c r="A21" s="96" t="s">
        <v>177</v>
      </c>
      <c r="B21" s="94" t="s">
        <v>178</v>
      </c>
      <c r="C21" s="95"/>
      <c r="D21" s="95"/>
      <c r="E21" s="95"/>
    </row>
    <row r="22" spans="1:5" ht="32" x14ac:dyDescent="0.35">
      <c r="A22" s="97" t="s">
        <v>179</v>
      </c>
      <c r="B22" s="92" t="s">
        <v>180</v>
      </c>
      <c r="C22" s="93"/>
      <c r="D22" s="93"/>
      <c r="E22" s="93"/>
    </row>
    <row r="23" spans="1:5" ht="32" x14ac:dyDescent="0.35">
      <c r="A23" s="96" t="s">
        <v>181</v>
      </c>
      <c r="B23" s="94" t="s">
        <v>182</v>
      </c>
      <c r="C23" s="95"/>
      <c r="D23" s="95"/>
      <c r="E23" s="95"/>
    </row>
    <row r="24" spans="1:5" ht="32" x14ac:dyDescent="0.35">
      <c r="A24" s="97" t="s">
        <v>183</v>
      </c>
      <c r="B24" s="92" t="s">
        <v>184</v>
      </c>
      <c r="C24" s="93"/>
      <c r="D24" s="93"/>
      <c r="E24" s="93"/>
    </row>
    <row r="25" spans="1:5" ht="16" x14ac:dyDescent="0.35">
      <c r="A25" s="95"/>
      <c r="B25" s="95"/>
      <c r="C25" s="95"/>
      <c r="D25" s="95"/>
      <c r="E25" s="95"/>
    </row>
    <row r="26" spans="1:5" ht="26" customHeight="1" x14ac:dyDescent="0.35">
      <c r="A26" s="304" t="s">
        <v>185</v>
      </c>
      <c r="B26" s="305"/>
      <c r="C26" s="305"/>
      <c r="D26" s="305"/>
      <c r="E26" s="305"/>
    </row>
    <row r="27" spans="1:5" ht="35" customHeight="1" x14ac:dyDescent="0.35">
      <c r="A27" s="94" t="s">
        <v>445</v>
      </c>
      <c r="B27" s="94" t="s">
        <v>186</v>
      </c>
      <c r="C27" s="94" t="s">
        <v>187</v>
      </c>
      <c r="D27" s="95"/>
      <c r="E27" s="95"/>
    </row>
    <row r="28" spans="1:5" ht="35" customHeight="1" x14ac:dyDescent="0.35">
      <c r="A28" s="92" t="s">
        <v>446</v>
      </c>
      <c r="B28" s="92" t="s">
        <v>188</v>
      </c>
      <c r="C28" s="92" t="s">
        <v>189</v>
      </c>
      <c r="D28" s="93"/>
      <c r="E28" s="93"/>
    </row>
    <row r="29" spans="1:5" ht="35" customHeight="1" x14ac:dyDescent="0.35">
      <c r="A29" s="94" t="s">
        <v>447</v>
      </c>
      <c r="B29" s="94" t="s">
        <v>190</v>
      </c>
      <c r="C29" s="94" t="s">
        <v>191</v>
      </c>
      <c r="D29" s="95"/>
      <c r="E29" s="95"/>
    </row>
    <row r="30" spans="1:5" ht="10" customHeight="1" x14ac:dyDescent="0.35">
      <c r="A30" s="79"/>
      <c r="B30" s="79"/>
      <c r="C30" s="79"/>
      <c r="D30" s="79"/>
      <c r="E30" s="79"/>
    </row>
    <row r="31" spans="1:5" ht="26" customHeight="1" x14ac:dyDescent="0.35">
      <c r="A31" s="301" t="s">
        <v>448</v>
      </c>
      <c r="B31" s="301"/>
      <c r="C31" s="301"/>
      <c r="D31" s="301"/>
      <c r="E31" s="301"/>
    </row>
    <row r="32" spans="1:5" ht="32" x14ac:dyDescent="0.35">
      <c r="A32" s="81" t="s">
        <v>177</v>
      </c>
      <c r="B32" s="80" t="s">
        <v>192</v>
      </c>
      <c r="C32" s="79"/>
      <c r="D32" s="79"/>
      <c r="E32" s="79"/>
    </row>
    <row r="33" spans="1:5" ht="32" x14ac:dyDescent="0.35">
      <c r="A33" s="81" t="s">
        <v>179</v>
      </c>
      <c r="B33" s="80" t="s">
        <v>193</v>
      </c>
      <c r="C33" s="79"/>
      <c r="D33" s="79"/>
      <c r="E33" s="79"/>
    </row>
    <row r="34" spans="1:5" ht="32" x14ac:dyDescent="0.35">
      <c r="A34" s="81" t="s">
        <v>181</v>
      </c>
      <c r="B34" s="80" t="s">
        <v>194</v>
      </c>
      <c r="C34" s="79"/>
      <c r="D34" s="79"/>
      <c r="E34" s="79"/>
    </row>
    <row r="35" spans="1:5" ht="32" x14ac:dyDescent="0.35">
      <c r="A35" s="81" t="s">
        <v>195</v>
      </c>
      <c r="B35" s="80" t="s">
        <v>449</v>
      </c>
      <c r="C35" s="79"/>
      <c r="D35" s="79"/>
      <c r="E35" s="79"/>
    </row>
    <row r="36" spans="1:5" ht="10" customHeight="1" x14ac:dyDescent="0.35">
      <c r="A36" s="79"/>
      <c r="B36" s="79"/>
      <c r="C36" s="79"/>
      <c r="D36" s="79"/>
      <c r="E36" s="79"/>
    </row>
    <row r="37" spans="1:5" ht="26" customHeight="1" x14ac:dyDescent="0.35">
      <c r="A37" s="301" t="s">
        <v>450</v>
      </c>
      <c r="B37" s="301"/>
      <c r="C37" s="301"/>
      <c r="D37" s="301"/>
      <c r="E37" s="301"/>
    </row>
    <row r="38" spans="1:5" ht="32" x14ac:dyDescent="0.35">
      <c r="A38" s="81" t="s">
        <v>177</v>
      </c>
      <c r="B38" s="80" t="s">
        <v>196</v>
      </c>
      <c r="C38" s="79"/>
      <c r="D38" s="79"/>
      <c r="E38" s="79"/>
    </row>
    <row r="39" spans="1:5" ht="32" x14ac:dyDescent="0.35">
      <c r="A39" s="81" t="s">
        <v>197</v>
      </c>
      <c r="B39" s="80" t="s">
        <v>198</v>
      </c>
      <c r="C39" s="79"/>
      <c r="D39" s="79"/>
      <c r="E39" s="79"/>
    </row>
    <row r="40" spans="1:5" ht="32" x14ac:dyDescent="0.35">
      <c r="A40" s="81" t="s">
        <v>199</v>
      </c>
      <c r="B40" s="80" t="s">
        <v>469</v>
      </c>
      <c r="C40" s="79"/>
      <c r="D40" s="79"/>
      <c r="E40" s="79"/>
    </row>
    <row r="41" spans="1:5" ht="32" x14ac:dyDescent="0.35">
      <c r="A41" s="81" t="s">
        <v>200</v>
      </c>
      <c r="B41" s="80" t="s">
        <v>201</v>
      </c>
      <c r="C41" s="79"/>
      <c r="D41" s="79"/>
      <c r="E41" s="79"/>
    </row>
    <row r="42" spans="1:5" ht="10" customHeight="1" x14ac:dyDescent="0.35">
      <c r="A42" s="79"/>
      <c r="B42" s="79"/>
      <c r="C42" s="79"/>
      <c r="D42" s="79"/>
      <c r="E42" s="79"/>
    </row>
    <row r="43" spans="1:5" ht="26" customHeight="1" x14ac:dyDescent="0.35">
      <c r="A43" s="301" t="s">
        <v>451</v>
      </c>
      <c r="B43" s="301"/>
      <c r="C43" s="301"/>
      <c r="D43" s="301"/>
      <c r="E43" s="301"/>
    </row>
    <row r="44" spans="1:5" ht="32" x14ac:dyDescent="0.35">
      <c r="A44" s="81" t="s">
        <v>177</v>
      </c>
      <c r="B44" s="80" t="s">
        <v>202</v>
      </c>
      <c r="C44" s="79"/>
      <c r="D44" s="79"/>
      <c r="E44" s="79"/>
    </row>
    <row r="45" spans="1:5" ht="32" x14ac:dyDescent="0.35">
      <c r="A45" s="81" t="s">
        <v>203</v>
      </c>
      <c r="B45" s="80" t="s">
        <v>204</v>
      </c>
      <c r="C45" s="79"/>
      <c r="D45" s="79"/>
      <c r="E45" s="79"/>
    </row>
    <row r="46" spans="1:5" ht="32" x14ac:dyDescent="0.35">
      <c r="A46" s="81" t="s">
        <v>205</v>
      </c>
      <c r="B46" s="80" t="s">
        <v>206</v>
      </c>
      <c r="C46" s="79"/>
      <c r="D46" s="79"/>
      <c r="E46" s="79"/>
    </row>
    <row r="47" spans="1:5" ht="32" x14ac:dyDescent="0.35">
      <c r="A47" s="81" t="s">
        <v>207</v>
      </c>
      <c r="B47" s="80" t="s">
        <v>208</v>
      </c>
      <c r="C47" s="79"/>
      <c r="D47" s="79"/>
      <c r="E47" s="79"/>
    </row>
    <row r="48" spans="1:5" ht="10" customHeight="1" x14ac:dyDescent="0.35">
      <c r="A48" s="79"/>
      <c r="B48" s="79"/>
      <c r="C48" s="79"/>
      <c r="D48" s="79"/>
      <c r="E48" s="79"/>
    </row>
    <row r="49" spans="1:5" ht="26" customHeight="1" x14ac:dyDescent="0.35">
      <c r="A49" s="301" t="s">
        <v>452</v>
      </c>
      <c r="B49" s="301"/>
      <c r="C49" s="301"/>
      <c r="D49" s="301"/>
      <c r="E49" s="301"/>
    </row>
    <row r="50" spans="1:5" ht="32" x14ac:dyDescent="0.35">
      <c r="A50" s="81" t="s">
        <v>177</v>
      </c>
      <c r="B50" s="80" t="s">
        <v>209</v>
      </c>
      <c r="C50" s="79"/>
      <c r="D50" s="79"/>
      <c r="E50" s="79"/>
    </row>
    <row r="51" spans="1:5" ht="32" x14ac:dyDescent="0.35">
      <c r="A51" s="81" t="s">
        <v>210</v>
      </c>
      <c r="B51" s="80" t="s">
        <v>211</v>
      </c>
      <c r="C51" s="79"/>
      <c r="D51" s="79"/>
      <c r="E51" s="79"/>
    </row>
    <row r="52" spans="1:5" ht="32" x14ac:dyDescent="0.35">
      <c r="A52" s="81" t="s">
        <v>195</v>
      </c>
      <c r="B52" s="80" t="s">
        <v>468</v>
      </c>
      <c r="C52" s="79"/>
      <c r="D52" s="79"/>
      <c r="E52" s="79"/>
    </row>
    <row r="53" spans="1:5" ht="32" x14ac:dyDescent="0.35">
      <c r="A53" s="81" t="s">
        <v>212</v>
      </c>
      <c r="B53" s="80" t="s">
        <v>213</v>
      </c>
      <c r="C53" s="79"/>
      <c r="D53" s="79"/>
      <c r="E53" s="79"/>
    </row>
    <row r="54" spans="1:5" ht="10" customHeight="1" x14ac:dyDescent="0.35">
      <c r="A54" s="79"/>
      <c r="B54" s="79"/>
      <c r="C54" s="79"/>
      <c r="D54" s="79"/>
      <c r="E54" s="79"/>
    </row>
    <row r="55" spans="1:5" ht="30" customHeight="1" x14ac:dyDescent="0.35">
      <c r="A55" s="297" t="s">
        <v>214</v>
      </c>
      <c r="B55" s="298"/>
      <c r="C55" s="298"/>
      <c r="D55" s="298"/>
      <c r="E55" s="298"/>
    </row>
    <row r="56" spans="1:5" ht="26" customHeight="1" x14ac:dyDescent="0.35">
      <c r="A56" s="90" t="s">
        <v>215</v>
      </c>
      <c r="B56" s="90" t="s">
        <v>216</v>
      </c>
      <c r="C56" s="90" t="s">
        <v>217</v>
      </c>
      <c r="D56" s="90" t="s">
        <v>218</v>
      </c>
      <c r="E56" s="90"/>
    </row>
    <row r="57" spans="1:5" ht="30" customHeight="1" x14ac:dyDescent="0.35">
      <c r="A57" s="94" t="s">
        <v>219</v>
      </c>
      <c r="B57" s="94" t="s">
        <v>220</v>
      </c>
      <c r="C57" s="94" t="s">
        <v>221</v>
      </c>
      <c r="D57" s="94" t="s">
        <v>222</v>
      </c>
      <c r="E57" s="95"/>
    </row>
    <row r="58" spans="1:5" ht="30" customHeight="1" x14ac:dyDescent="0.35">
      <c r="A58" s="107" t="s">
        <v>223</v>
      </c>
      <c r="B58" s="107" t="s">
        <v>224</v>
      </c>
      <c r="C58" s="107" t="s">
        <v>225</v>
      </c>
      <c r="D58" s="107" t="s">
        <v>226</v>
      </c>
      <c r="E58" s="108"/>
    </row>
    <row r="59" spans="1:5" ht="30" customHeight="1" x14ac:dyDescent="0.35">
      <c r="A59" s="103" t="s">
        <v>227</v>
      </c>
      <c r="B59" s="103" t="s">
        <v>228</v>
      </c>
      <c r="C59" s="103" t="s">
        <v>229</v>
      </c>
      <c r="D59" s="103" t="s">
        <v>230</v>
      </c>
      <c r="E59" s="104"/>
    </row>
    <row r="60" spans="1:5" ht="30" customHeight="1" x14ac:dyDescent="0.35">
      <c r="A60" s="105" t="s">
        <v>231</v>
      </c>
      <c r="B60" s="105" t="s">
        <v>232</v>
      </c>
      <c r="C60" s="105" t="s">
        <v>233</v>
      </c>
      <c r="D60" s="105" t="s">
        <v>234</v>
      </c>
      <c r="E60" s="106"/>
    </row>
    <row r="61" spans="1:5" ht="10" customHeight="1" x14ac:dyDescent="0.35">
      <c r="A61" s="79"/>
      <c r="B61" s="79"/>
      <c r="C61" s="79"/>
      <c r="D61" s="79"/>
      <c r="E61" s="79"/>
    </row>
    <row r="62" spans="1:5" ht="30" customHeight="1" x14ac:dyDescent="0.35">
      <c r="A62" s="283" t="s">
        <v>235</v>
      </c>
      <c r="B62" s="284"/>
      <c r="C62" s="284"/>
      <c r="D62" s="284"/>
      <c r="E62" s="284"/>
    </row>
    <row r="63" spans="1:5" ht="16" x14ac:dyDescent="0.35">
      <c r="A63" s="82" t="s">
        <v>236</v>
      </c>
      <c r="B63" s="83" t="s">
        <v>237</v>
      </c>
      <c r="C63" s="79"/>
      <c r="D63" s="79"/>
      <c r="E63" s="79"/>
    </row>
    <row r="64" spans="1:5" ht="25" customHeight="1" x14ac:dyDescent="0.35">
      <c r="A64" s="92" t="s">
        <v>238</v>
      </c>
      <c r="B64" s="92" t="s">
        <v>239</v>
      </c>
      <c r="C64" s="93"/>
      <c r="D64" s="93"/>
      <c r="E64" s="93"/>
    </row>
    <row r="65" spans="1:5" ht="25" customHeight="1" x14ac:dyDescent="0.35">
      <c r="A65" s="103" t="s">
        <v>330</v>
      </c>
      <c r="B65" s="103" t="s">
        <v>331</v>
      </c>
      <c r="C65" s="104"/>
      <c r="D65" s="104"/>
      <c r="E65" s="104"/>
    </row>
    <row r="66" spans="1:5" ht="25" customHeight="1" x14ac:dyDescent="0.35">
      <c r="A66" s="107" t="s">
        <v>240</v>
      </c>
      <c r="B66" s="107" t="s">
        <v>241</v>
      </c>
      <c r="C66" s="108"/>
      <c r="D66" s="108"/>
      <c r="E66" s="108"/>
    </row>
    <row r="67" spans="1:5" ht="25" customHeight="1" x14ac:dyDescent="0.35">
      <c r="A67" s="103" t="s">
        <v>242</v>
      </c>
      <c r="B67" s="103" t="s">
        <v>243</v>
      </c>
      <c r="C67" s="104"/>
      <c r="D67" s="104"/>
      <c r="E67" s="104"/>
    </row>
    <row r="68" spans="1:5" ht="25" customHeight="1" x14ac:dyDescent="0.35">
      <c r="A68" s="107" t="s">
        <v>244</v>
      </c>
      <c r="B68" s="107" t="s">
        <v>245</v>
      </c>
      <c r="C68" s="108"/>
      <c r="D68" s="108"/>
      <c r="E68" s="108"/>
    </row>
    <row r="69" spans="1:5" ht="25" customHeight="1" x14ac:dyDescent="0.35">
      <c r="A69" s="103" t="s">
        <v>246</v>
      </c>
      <c r="B69" s="103" t="s">
        <v>247</v>
      </c>
      <c r="C69" s="104"/>
      <c r="D69" s="104"/>
      <c r="E69" s="104"/>
    </row>
    <row r="70" spans="1:5" ht="25" customHeight="1" x14ac:dyDescent="0.35">
      <c r="A70" s="107" t="s">
        <v>248</v>
      </c>
      <c r="B70" s="107" t="s">
        <v>249</v>
      </c>
      <c r="C70" s="108"/>
      <c r="D70" s="108"/>
      <c r="E70" s="108"/>
    </row>
    <row r="71" spans="1:5" ht="25" customHeight="1" x14ac:dyDescent="0.35">
      <c r="A71" s="103" t="s">
        <v>250</v>
      </c>
      <c r="B71" s="103" t="s">
        <v>251</v>
      </c>
      <c r="C71" s="104"/>
      <c r="D71" s="104"/>
      <c r="E71" s="104"/>
    </row>
    <row r="72" spans="1:5" ht="25" customHeight="1" x14ac:dyDescent="0.35">
      <c r="A72" s="107" t="s">
        <v>252</v>
      </c>
      <c r="B72" s="107" t="s">
        <v>253</v>
      </c>
      <c r="C72" s="108"/>
      <c r="D72" s="108"/>
      <c r="E72" s="108"/>
    </row>
    <row r="73" spans="1:5" ht="25" customHeight="1" x14ac:dyDescent="0.35">
      <c r="A73" s="101" t="s">
        <v>254</v>
      </c>
      <c r="B73" s="101" t="s">
        <v>255</v>
      </c>
      <c r="C73" s="102"/>
      <c r="D73" s="102"/>
      <c r="E73" s="102"/>
    </row>
    <row r="74" spans="1:5" ht="10" customHeight="1" x14ac:dyDescent="0.35">
      <c r="A74" s="80"/>
      <c r="B74" s="80"/>
      <c r="C74" s="79"/>
      <c r="D74" s="79"/>
      <c r="E74" s="79"/>
    </row>
    <row r="75" spans="1:5" ht="30" customHeight="1" x14ac:dyDescent="0.35">
      <c r="A75" s="297" t="s">
        <v>332</v>
      </c>
      <c r="B75" s="298"/>
      <c r="C75" s="298"/>
      <c r="D75" s="298"/>
      <c r="E75" s="298"/>
    </row>
    <row r="76" spans="1:5" ht="26" customHeight="1" x14ac:dyDescent="0.35">
      <c r="A76" s="8" t="s">
        <v>333</v>
      </c>
      <c r="B76" s="8" t="s">
        <v>334</v>
      </c>
      <c r="C76" s="90" t="s">
        <v>335</v>
      </c>
      <c r="D76" s="90"/>
      <c r="E76" s="90"/>
    </row>
    <row r="77" spans="1:5" ht="16" x14ac:dyDescent="0.35">
      <c r="A77" s="94" t="s">
        <v>336</v>
      </c>
      <c r="B77" s="94" t="s">
        <v>337</v>
      </c>
      <c r="C77" s="98" t="s">
        <v>371</v>
      </c>
      <c r="D77" s="95"/>
      <c r="E77" s="95"/>
    </row>
    <row r="78" spans="1:5" ht="32" x14ac:dyDescent="0.35">
      <c r="A78" s="107" t="s">
        <v>338</v>
      </c>
      <c r="B78" s="107" t="s">
        <v>339</v>
      </c>
      <c r="C78" s="108" t="s">
        <v>340</v>
      </c>
      <c r="D78" s="108"/>
      <c r="E78" s="108"/>
    </row>
    <row r="79" spans="1:5" ht="32" x14ac:dyDescent="0.35">
      <c r="A79" s="103" t="s">
        <v>341</v>
      </c>
      <c r="B79" s="103" t="s">
        <v>342</v>
      </c>
      <c r="C79" s="104" t="s">
        <v>343</v>
      </c>
      <c r="D79" s="104"/>
      <c r="E79" s="104"/>
    </row>
    <row r="80" spans="1:5" ht="32" x14ac:dyDescent="0.35">
      <c r="A80" s="107" t="s">
        <v>344</v>
      </c>
      <c r="B80" s="107" t="s">
        <v>345</v>
      </c>
      <c r="C80" s="108" t="s">
        <v>346</v>
      </c>
      <c r="D80" s="108"/>
      <c r="E80" s="108"/>
    </row>
    <row r="81" spans="1:5" ht="32" x14ac:dyDescent="0.35">
      <c r="A81" s="101" t="s">
        <v>258</v>
      </c>
      <c r="B81" s="101" t="s">
        <v>347</v>
      </c>
      <c r="C81" s="102" t="s">
        <v>348</v>
      </c>
      <c r="D81" s="102"/>
      <c r="E81" s="102"/>
    </row>
    <row r="82" spans="1:5" ht="16" x14ac:dyDescent="0.35">
      <c r="A82" s="79"/>
      <c r="B82" s="79"/>
      <c r="C82" s="79"/>
      <c r="D82" s="79"/>
      <c r="E82" s="79"/>
    </row>
    <row r="83" spans="1:5" ht="26" customHeight="1" x14ac:dyDescent="0.35">
      <c r="A83" s="299" t="s">
        <v>349</v>
      </c>
      <c r="B83" s="300"/>
      <c r="C83" s="300"/>
      <c r="D83" s="88"/>
      <c r="E83" s="88"/>
    </row>
    <row r="84" spans="1:5" ht="26" customHeight="1" x14ac:dyDescent="0.35">
      <c r="A84" s="90" t="s">
        <v>350</v>
      </c>
      <c r="B84" s="90" t="s">
        <v>351</v>
      </c>
      <c r="C84" s="90" t="s">
        <v>352</v>
      </c>
      <c r="D84" s="90"/>
      <c r="E84" s="90"/>
    </row>
    <row r="85" spans="1:5" ht="16" x14ac:dyDescent="0.35">
      <c r="A85" s="95" t="s">
        <v>353</v>
      </c>
      <c r="B85" s="95" t="s">
        <v>354</v>
      </c>
      <c r="C85" s="95" t="s">
        <v>355</v>
      </c>
      <c r="D85" s="95"/>
      <c r="E85" s="95"/>
    </row>
    <row r="86" spans="1:5" ht="30" customHeight="1" x14ac:dyDescent="0.35">
      <c r="A86" s="108" t="s">
        <v>356</v>
      </c>
      <c r="B86" s="108" t="s">
        <v>357</v>
      </c>
      <c r="C86" s="108" t="s">
        <v>358</v>
      </c>
      <c r="D86" s="108"/>
      <c r="E86" s="108"/>
    </row>
    <row r="87" spans="1:5" ht="16" x14ac:dyDescent="0.35">
      <c r="A87" s="104" t="s">
        <v>359</v>
      </c>
      <c r="B87" s="104" t="s">
        <v>360</v>
      </c>
      <c r="C87" s="104" t="s">
        <v>361</v>
      </c>
      <c r="D87" s="104"/>
      <c r="E87" s="104"/>
    </row>
    <row r="88" spans="1:5" ht="16" x14ac:dyDescent="0.35">
      <c r="A88" s="108" t="s">
        <v>362</v>
      </c>
      <c r="B88" s="108" t="s">
        <v>363</v>
      </c>
      <c r="C88" s="108" t="s">
        <v>364</v>
      </c>
      <c r="D88" s="108"/>
      <c r="E88" s="108"/>
    </row>
    <row r="89" spans="1:5" ht="16" x14ac:dyDescent="0.35">
      <c r="A89" s="104" t="s">
        <v>365</v>
      </c>
      <c r="B89" s="104" t="s">
        <v>366</v>
      </c>
      <c r="C89" s="104" t="s">
        <v>367</v>
      </c>
      <c r="D89" s="104"/>
      <c r="E89" s="104"/>
    </row>
    <row r="90" spans="1:5" ht="16" x14ac:dyDescent="0.35">
      <c r="A90" s="106" t="s">
        <v>368</v>
      </c>
      <c r="B90" s="106" t="s">
        <v>369</v>
      </c>
      <c r="C90" s="106" t="s">
        <v>370</v>
      </c>
      <c r="D90" s="106"/>
      <c r="E90" s="106"/>
    </row>
    <row r="91" spans="1:5" ht="26" customHeight="1" x14ac:dyDescent="0.35">
      <c r="A91" s="301"/>
      <c r="B91" s="301"/>
      <c r="C91" s="301"/>
      <c r="D91" s="301"/>
      <c r="E91" s="301"/>
    </row>
    <row r="92" spans="1:5" ht="26" customHeight="1" x14ac:dyDescent="0.35">
      <c r="A92" s="90" t="s">
        <v>256</v>
      </c>
      <c r="B92" s="90" t="s">
        <v>119</v>
      </c>
      <c r="C92" s="90" t="s">
        <v>257</v>
      </c>
      <c r="D92" s="90"/>
      <c r="E92" s="90"/>
    </row>
    <row r="93" spans="1:5" ht="16" x14ac:dyDescent="0.35">
      <c r="A93" s="94" t="s">
        <v>258</v>
      </c>
      <c r="B93" s="94" t="s">
        <v>259</v>
      </c>
      <c r="C93" s="94" t="s">
        <v>260</v>
      </c>
      <c r="D93" s="95"/>
      <c r="E93" s="95"/>
    </row>
    <row r="94" spans="1:5" ht="16" x14ac:dyDescent="0.35">
      <c r="A94" s="107" t="s">
        <v>122</v>
      </c>
      <c r="B94" s="107" t="s">
        <v>261</v>
      </c>
      <c r="C94" s="107" t="s">
        <v>262</v>
      </c>
      <c r="D94" s="108"/>
      <c r="E94" s="108"/>
    </row>
    <row r="95" spans="1:5" ht="16" x14ac:dyDescent="0.35">
      <c r="A95" s="103" t="s">
        <v>124</v>
      </c>
      <c r="B95" s="103" t="s">
        <v>263</v>
      </c>
      <c r="C95" s="103" t="s">
        <v>264</v>
      </c>
      <c r="D95" s="104"/>
      <c r="E95" s="104"/>
    </row>
    <row r="96" spans="1:5" ht="10" customHeight="1" x14ac:dyDescent="0.35">
      <c r="A96" s="107" t="s">
        <v>126</v>
      </c>
      <c r="B96" s="107" t="s">
        <v>265</v>
      </c>
      <c r="C96" s="107" t="s">
        <v>266</v>
      </c>
      <c r="D96" s="108"/>
      <c r="E96" s="108"/>
    </row>
    <row r="97" spans="1:5" ht="30" customHeight="1" x14ac:dyDescent="0.35">
      <c r="A97" s="103" t="s">
        <v>128</v>
      </c>
      <c r="B97" s="103" t="s">
        <v>267</v>
      </c>
      <c r="C97" s="103" t="s">
        <v>268</v>
      </c>
      <c r="D97" s="104"/>
      <c r="E97" s="104"/>
    </row>
    <row r="98" spans="1:5" ht="16" x14ac:dyDescent="0.35">
      <c r="A98" s="107" t="s">
        <v>269</v>
      </c>
      <c r="B98" s="107" t="s">
        <v>270</v>
      </c>
      <c r="C98" s="107" t="s">
        <v>271</v>
      </c>
      <c r="D98" s="108"/>
      <c r="E98" s="108"/>
    </row>
    <row r="99" spans="1:5" ht="16" x14ac:dyDescent="0.35">
      <c r="A99" s="103" t="s">
        <v>272</v>
      </c>
      <c r="B99" s="103" t="s">
        <v>273</v>
      </c>
      <c r="C99" s="103" t="s">
        <v>274</v>
      </c>
      <c r="D99" s="104"/>
      <c r="E99" s="104"/>
    </row>
    <row r="100" spans="1:5" ht="16" x14ac:dyDescent="0.35">
      <c r="A100" s="105" t="s">
        <v>275</v>
      </c>
      <c r="B100" s="105" t="s">
        <v>276</v>
      </c>
      <c r="C100" s="105" t="s">
        <v>277</v>
      </c>
      <c r="D100" s="106"/>
      <c r="E100" s="106"/>
    </row>
    <row r="101" spans="1:5" ht="16" x14ac:dyDescent="0.35">
      <c r="A101" s="79"/>
      <c r="B101" s="79"/>
      <c r="C101" s="79"/>
      <c r="D101" s="79"/>
      <c r="E101" s="79"/>
    </row>
    <row r="102" spans="1:5" ht="30" customHeight="1" x14ac:dyDescent="0.35">
      <c r="A102" s="283" t="s">
        <v>278</v>
      </c>
      <c r="B102" s="284"/>
      <c r="C102" s="284"/>
      <c r="D102" s="284"/>
      <c r="E102" s="284"/>
    </row>
    <row r="103" spans="1:5" ht="26" customHeight="1" x14ac:dyDescent="0.35">
      <c r="A103" s="90" t="s">
        <v>279</v>
      </c>
      <c r="B103" s="90" t="s">
        <v>280</v>
      </c>
      <c r="C103" s="90" t="s">
        <v>281</v>
      </c>
      <c r="D103" s="90" t="s">
        <v>282</v>
      </c>
      <c r="E103" s="90" t="s">
        <v>283</v>
      </c>
    </row>
    <row r="104" spans="1:5" ht="16" x14ac:dyDescent="0.35">
      <c r="A104" s="109" t="s">
        <v>284</v>
      </c>
      <c r="B104" s="110" t="s">
        <v>285</v>
      </c>
      <c r="C104" s="110" t="s">
        <v>286</v>
      </c>
      <c r="D104" s="110" t="s">
        <v>287</v>
      </c>
      <c r="E104" s="110" t="s">
        <v>288</v>
      </c>
    </row>
    <row r="105" spans="1:5" ht="16" x14ac:dyDescent="0.35">
      <c r="A105" s="104" t="s">
        <v>289</v>
      </c>
      <c r="B105" s="111" t="s">
        <v>285</v>
      </c>
      <c r="C105" s="111" t="s">
        <v>286</v>
      </c>
      <c r="D105" s="111" t="s">
        <v>287</v>
      </c>
      <c r="E105" s="111" t="s">
        <v>287</v>
      </c>
    </row>
    <row r="106" spans="1:5" ht="16" x14ac:dyDescent="0.35">
      <c r="A106" s="108" t="s">
        <v>290</v>
      </c>
      <c r="B106" s="112" t="s">
        <v>285</v>
      </c>
      <c r="C106" s="112" t="s">
        <v>286</v>
      </c>
      <c r="D106" s="112" t="s">
        <v>288</v>
      </c>
      <c r="E106" s="112" t="s">
        <v>285</v>
      </c>
    </row>
    <row r="107" spans="1:5" ht="16" x14ac:dyDescent="0.35">
      <c r="A107" s="104" t="s">
        <v>291</v>
      </c>
      <c r="B107" s="111" t="s">
        <v>285</v>
      </c>
      <c r="C107" s="111" t="s">
        <v>285</v>
      </c>
      <c r="D107" s="111" t="s">
        <v>286</v>
      </c>
      <c r="E107" s="111" t="s">
        <v>288</v>
      </c>
    </row>
    <row r="108" spans="1:5" ht="16" x14ac:dyDescent="0.35">
      <c r="A108" s="108" t="s">
        <v>292</v>
      </c>
      <c r="B108" s="112" t="s">
        <v>285</v>
      </c>
      <c r="C108" s="112" t="s">
        <v>286</v>
      </c>
      <c r="D108" s="112" t="s">
        <v>287</v>
      </c>
      <c r="E108" s="112" t="s">
        <v>287</v>
      </c>
    </row>
    <row r="109" spans="1:5" ht="16" x14ac:dyDescent="0.35">
      <c r="A109" s="104" t="s">
        <v>293</v>
      </c>
      <c r="B109" s="111" t="s">
        <v>287</v>
      </c>
      <c r="C109" s="111" t="s">
        <v>285</v>
      </c>
      <c r="D109" s="111" t="s">
        <v>287</v>
      </c>
      <c r="E109" s="111" t="s">
        <v>286</v>
      </c>
    </row>
    <row r="110" spans="1:5" ht="35" customHeight="1" x14ac:dyDescent="0.35">
      <c r="A110" s="106"/>
      <c r="B110" s="106"/>
      <c r="C110" s="106"/>
      <c r="D110" s="106"/>
      <c r="E110" s="106"/>
    </row>
    <row r="111" spans="1:5" ht="10" customHeight="1" x14ac:dyDescent="0.35">
      <c r="A111" s="302" t="s">
        <v>294</v>
      </c>
      <c r="B111" s="303"/>
      <c r="C111" s="303"/>
      <c r="D111" s="303"/>
      <c r="E111" s="303"/>
    </row>
    <row r="112" spans="1:5" ht="30" customHeight="1" x14ac:dyDescent="0.35">
      <c r="A112" s="79"/>
      <c r="B112" s="79"/>
      <c r="C112" s="79"/>
      <c r="D112" s="79"/>
      <c r="E112" s="79"/>
    </row>
    <row r="113" spans="1:5" ht="30" customHeight="1" x14ac:dyDescent="0.35">
      <c r="A113" s="283" t="s">
        <v>295</v>
      </c>
      <c r="B113" s="284"/>
      <c r="C113" s="284"/>
      <c r="D113" s="284"/>
      <c r="E113" s="284"/>
    </row>
    <row r="114" spans="1:5" ht="26" customHeight="1" x14ac:dyDescent="0.35">
      <c r="A114" s="90" t="s">
        <v>296</v>
      </c>
      <c r="B114" s="90" t="s">
        <v>297</v>
      </c>
      <c r="C114" s="90" t="s">
        <v>298</v>
      </c>
      <c r="D114" s="90" t="s">
        <v>299</v>
      </c>
      <c r="E114" s="90"/>
    </row>
    <row r="115" spans="1:5" ht="32" x14ac:dyDescent="0.35">
      <c r="A115" s="84">
        <v>1</v>
      </c>
      <c r="B115" s="85">
        <v>46113</v>
      </c>
      <c r="C115" s="79" t="s">
        <v>300</v>
      </c>
      <c r="D115" s="80" t="s">
        <v>301</v>
      </c>
      <c r="E115" s="79"/>
    </row>
    <row r="116" spans="1:5" ht="16" x14ac:dyDescent="0.35">
      <c r="A116" s="113"/>
      <c r="B116" s="113"/>
      <c r="C116" s="113"/>
      <c r="D116" s="114" t="s">
        <v>302</v>
      </c>
      <c r="E116" s="113"/>
    </row>
    <row r="117" spans="1:5" ht="16" x14ac:dyDescent="0.35">
      <c r="A117" s="79"/>
      <c r="B117" s="79"/>
      <c r="C117" s="79"/>
      <c r="D117" s="79"/>
      <c r="E117" s="79"/>
    </row>
    <row r="118" spans="1:5" ht="16" x14ac:dyDescent="0.35">
      <c r="A118" s="79"/>
      <c r="B118" s="79"/>
      <c r="C118" s="79"/>
      <c r="D118" s="79"/>
      <c r="E118" s="79"/>
    </row>
    <row r="119" spans="1:5" ht="30" customHeight="1" x14ac:dyDescent="0.35">
      <c r="A119" s="283" t="s">
        <v>303</v>
      </c>
      <c r="B119" s="284"/>
      <c r="C119" s="284"/>
      <c r="D119" s="284"/>
      <c r="E119" s="284"/>
    </row>
    <row r="120" spans="1:5" ht="16" x14ac:dyDescent="0.35">
      <c r="A120" s="86" t="s">
        <v>304</v>
      </c>
      <c r="B120" s="79" t="s">
        <v>305</v>
      </c>
      <c r="C120" s="79"/>
      <c r="D120" s="79"/>
      <c r="E120" s="79"/>
    </row>
    <row r="121" spans="1:5" ht="16" x14ac:dyDescent="0.35">
      <c r="A121" s="86" t="s">
        <v>306</v>
      </c>
      <c r="B121" s="79" t="s">
        <v>307</v>
      </c>
      <c r="C121" s="79"/>
      <c r="D121" s="79"/>
      <c r="E121" s="79"/>
    </row>
    <row r="122" spans="1:5" ht="16" x14ac:dyDescent="0.35">
      <c r="A122" s="86" t="s">
        <v>308</v>
      </c>
      <c r="B122" s="79" t="s">
        <v>309</v>
      </c>
      <c r="C122" s="79"/>
      <c r="D122" s="79"/>
      <c r="E122" s="79"/>
    </row>
    <row r="123" spans="1:5" ht="16" x14ac:dyDescent="0.35">
      <c r="A123" s="79"/>
      <c r="B123" s="79"/>
      <c r="C123" s="79"/>
      <c r="D123" s="79"/>
      <c r="E123" s="79"/>
    </row>
    <row r="124" spans="1:5" ht="16" x14ac:dyDescent="0.35">
      <c r="A124" s="294" t="s">
        <v>310</v>
      </c>
      <c r="B124" s="295"/>
      <c r="C124" s="295"/>
      <c r="D124" s="295"/>
      <c r="E124" s="295"/>
    </row>
    <row r="125" spans="1:5" ht="16" x14ac:dyDescent="0.35">
      <c r="A125" s="79"/>
      <c r="B125" s="79"/>
      <c r="C125" s="79"/>
      <c r="D125" s="79"/>
      <c r="E125" s="79"/>
    </row>
    <row r="126" spans="1:5" ht="26" customHeight="1" x14ac:dyDescent="0.35">
      <c r="A126" s="296" t="s">
        <v>685</v>
      </c>
      <c r="B126" s="296"/>
      <c r="C126" s="296"/>
      <c r="D126" s="296"/>
      <c r="E126" s="296"/>
    </row>
    <row r="127" spans="1:5" ht="26" customHeight="1" x14ac:dyDescent="0.35">
      <c r="A127" s="267" t="s">
        <v>686</v>
      </c>
      <c r="B127" s="267"/>
      <c r="C127" s="267"/>
      <c r="D127" s="267"/>
      <c r="E127" s="267"/>
    </row>
    <row r="128" spans="1:5" ht="25" customHeight="1" x14ac:dyDescent="0.35">
      <c r="A128" s="376" t="s">
        <v>981</v>
      </c>
      <c r="B128" s="377"/>
      <c r="C128" s="377"/>
      <c r="D128" s="377"/>
      <c r="E128" s="377"/>
    </row>
    <row r="129" spans="1:5" ht="32" x14ac:dyDescent="0.35">
      <c r="A129" s="99" t="s">
        <v>311</v>
      </c>
      <c r="B129" s="100"/>
      <c r="C129" s="100"/>
      <c r="D129" s="100"/>
      <c r="E129" s="100"/>
    </row>
    <row r="130" spans="1:5" ht="32" x14ac:dyDescent="0.35">
      <c r="A130" s="99" t="s">
        <v>312</v>
      </c>
      <c r="B130" s="100"/>
      <c r="C130" s="100"/>
      <c r="D130" s="100"/>
      <c r="E130" s="100"/>
    </row>
    <row r="131" spans="1:5" ht="32" x14ac:dyDescent="0.35">
      <c r="A131" s="99" t="s">
        <v>313</v>
      </c>
      <c r="B131" s="100"/>
      <c r="C131" s="100"/>
      <c r="D131" s="100"/>
      <c r="E131" s="100"/>
    </row>
    <row r="132" spans="1:5" ht="32" x14ac:dyDescent="0.35">
      <c r="A132" s="99" t="s">
        <v>314</v>
      </c>
      <c r="B132" s="100"/>
      <c r="C132" s="100"/>
      <c r="D132" s="100"/>
      <c r="E132" s="100"/>
    </row>
    <row r="133" spans="1:5" ht="32" x14ac:dyDescent="0.35">
      <c r="A133" s="99" t="s">
        <v>315</v>
      </c>
      <c r="B133" s="100"/>
      <c r="C133" s="100"/>
      <c r="D133" s="100"/>
      <c r="E133" s="100"/>
    </row>
    <row r="134" spans="1:5" ht="16" x14ac:dyDescent="0.35">
      <c r="A134" s="79"/>
      <c r="B134" s="79"/>
      <c r="C134" s="79"/>
      <c r="D134" s="79"/>
      <c r="E134" s="79"/>
    </row>
    <row r="135" spans="1:5" ht="28" customHeight="1" x14ac:dyDescent="0.35">
      <c r="A135" s="292" t="s">
        <v>376</v>
      </c>
      <c r="B135" s="293"/>
      <c r="C135" s="293"/>
      <c r="D135" s="293"/>
      <c r="E135" s="293"/>
    </row>
    <row r="136" spans="1:5" ht="16" x14ac:dyDescent="0.35">
      <c r="A136" s="79"/>
      <c r="B136" s="79"/>
      <c r="C136" s="79"/>
      <c r="D136" s="79"/>
      <c r="E136" s="79"/>
    </row>
    <row r="137" spans="1:5" ht="16" x14ac:dyDescent="0.35">
      <c r="A137" s="79"/>
      <c r="B137" s="79"/>
      <c r="C137" s="79"/>
      <c r="D137" s="79"/>
      <c r="E137" s="79"/>
    </row>
    <row r="138" spans="1:5" ht="30" customHeight="1" x14ac:dyDescent="0.35">
      <c r="A138" s="283" t="s">
        <v>390</v>
      </c>
      <c r="B138" s="284"/>
      <c r="C138" s="284"/>
      <c r="D138" s="284"/>
      <c r="E138" s="284"/>
    </row>
    <row r="139" spans="1:5" ht="26" customHeight="1" x14ac:dyDescent="0.35">
      <c r="A139" s="90" t="s">
        <v>333</v>
      </c>
      <c r="B139" s="90" t="s">
        <v>334</v>
      </c>
      <c r="C139" s="90" t="s">
        <v>11</v>
      </c>
      <c r="D139" s="90"/>
      <c r="E139" s="90"/>
    </row>
    <row r="140" spans="1:5" ht="16" x14ac:dyDescent="0.35">
      <c r="A140" s="93" t="s">
        <v>391</v>
      </c>
      <c r="B140" s="93" t="s">
        <v>392</v>
      </c>
      <c r="C140" s="93" t="s">
        <v>393</v>
      </c>
      <c r="D140" s="93"/>
      <c r="E140" s="93"/>
    </row>
    <row r="141" spans="1:5" ht="16" x14ac:dyDescent="0.35">
      <c r="A141" s="104" t="s">
        <v>394</v>
      </c>
      <c r="B141" s="104" t="s">
        <v>395</v>
      </c>
      <c r="C141" s="104" t="s">
        <v>393</v>
      </c>
      <c r="D141" s="104"/>
      <c r="E141" s="104"/>
    </row>
    <row r="142" spans="1:5" ht="16" x14ac:dyDescent="0.35">
      <c r="A142" s="108" t="s">
        <v>396</v>
      </c>
      <c r="B142" s="108" t="s">
        <v>397</v>
      </c>
      <c r="C142" s="108" t="s">
        <v>398</v>
      </c>
      <c r="D142" s="108"/>
      <c r="E142" s="108"/>
    </row>
    <row r="143" spans="1:5" ht="16" x14ac:dyDescent="0.35">
      <c r="A143" s="104" t="s">
        <v>399</v>
      </c>
      <c r="B143" s="104" t="s">
        <v>400</v>
      </c>
      <c r="C143" s="104" t="s">
        <v>281</v>
      </c>
      <c r="D143" s="104"/>
      <c r="E143" s="104"/>
    </row>
    <row r="144" spans="1:5" ht="16" x14ac:dyDescent="0.35">
      <c r="A144" s="108" t="s">
        <v>401</v>
      </c>
      <c r="B144" s="108" t="s">
        <v>402</v>
      </c>
      <c r="C144" s="108" t="s">
        <v>280</v>
      </c>
      <c r="D144" s="108"/>
      <c r="E144" s="108"/>
    </row>
    <row r="145" spans="1:5" ht="16" x14ac:dyDescent="0.35">
      <c r="A145" s="102" t="s">
        <v>403</v>
      </c>
      <c r="B145" s="102" t="s">
        <v>404</v>
      </c>
      <c r="C145" s="102" t="s">
        <v>398</v>
      </c>
      <c r="D145" s="102"/>
      <c r="E145" s="102"/>
    </row>
    <row r="146" spans="1:5" ht="16" x14ac:dyDescent="0.35">
      <c r="A146" s="79"/>
      <c r="B146" s="79"/>
      <c r="C146" s="79"/>
      <c r="D146" s="79"/>
      <c r="E146" s="79"/>
    </row>
    <row r="147" spans="1:5" ht="30" customHeight="1" x14ac:dyDescent="0.35">
      <c r="A147" s="283" t="s">
        <v>405</v>
      </c>
      <c r="B147" s="284"/>
      <c r="C147" s="284"/>
      <c r="D147" s="284"/>
      <c r="E147" s="284"/>
    </row>
    <row r="148" spans="1:5" ht="26" customHeight="1" x14ac:dyDescent="0.35">
      <c r="A148" s="90" t="s">
        <v>154</v>
      </c>
      <c r="B148" s="90" t="s">
        <v>406</v>
      </c>
      <c r="C148" s="90" t="s">
        <v>407</v>
      </c>
      <c r="D148" s="90"/>
      <c r="E148" s="90"/>
    </row>
    <row r="149" spans="1:5" ht="16" x14ac:dyDescent="0.35">
      <c r="A149" s="95" t="s">
        <v>453</v>
      </c>
      <c r="B149" s="95" t="s">
        <v>454</v>
      </c>
      <c r="C149" s="95" t="s">
        <v>408</v>
      </c>
      <c r="D149" s="95"/>
      <c r="E149" s="95"/>
    </row>
    <row r="150" spans="1:5" ht="16" x14ac:dyDescent="0.35">
      <c r="A150" s="108" t="s">
        <v>455</v>
      </c>
      <c r="B150" s="108" t="s">
        <v>456</v>
      </c>
      <c r="C150" s="108" t="s">
        <v>457</v>
      </c>
      <c r="D150" s="108"/>
      <c r="E150" s="108"/>
    </row>
    <row r="151" spans="1:5" ht="16" x14ac:dyDescent="0.35">
      <c r="A151" s="104" t="s">
        <v>458</v>
      </c>
      <c r="B151" s="104" t="s">
        <v>459</v>
      </c>
      <c r="C151" s="104" t="s">
        <v>460</v>
      </c>
      <c r="D151" s="104"/>
      <c r="E151" s="104"/>
    </row>
    <row r="152" spans="1:5" ht="16" x14ac:dyDescent="0.35">
      <c r="A152" s="108" t="s">
        <v>461</v>
      </c>
      <c r="B152" s="108" t="s">
        <v>462</v>
      </c>
      <c r="C152" s="108" t="s">
        <v>408</v>
      </c>
      <c r="D152" s="108"/>
      <c r="E152" s="108"/>
    </row>
    <row r="153" spans="1:5" ht="16" x14ac:dyDescent="0.35">
      <c r="A153" s="104" t="s">
        <v>463</v>
      </c>
      <c r="B153" s="104" t="s">
        <v>464</v>
      </c>
      <c r="C153" s="104" t="s">
        <v>465</v>
      </c>
      <c r="D153" s="104"/>
      <c r="E153" s="104"/>
    </row>
    <row r="154" spans="1:5" ht="16" x14ac:dyDescent="0.35">
      <c r="A154" s="106" t="s">
        <v>466</v>
      </c>
      <c r="B154" s="106" t="s">
        <v>409</v>
      </c>
      <c r="C154" s="106" t="s">
        <v>467</v>
      </c>
      <c r="D154" s="106"/>
      <c r="E154" s="106"/>
    </row>
    <row r="155" spans="1:5" ht="16" x14ac:dyDescent="0.35">
      <c r="A155" s="79"/>
      <c r="B155" s="79"/>
      <c r="C155" s="79"/>
      <c r="D155" s="79"/>
      <c r="E155" s="79"/>
    </row>
    <row r="156" spans="1:5" ht="30" customHeight="1" x14ac:dyDescent="0.35">
      <c r="A156" s="283" t="s">
        <v>410</v>
      </c>
      <c r="B156" s="284"/>
      <c r="C156" s="284"/>
      <c r="D156" s="284"/>
      <c r="E156" s="284"/>
    </row>
    <row r="157" spans="1:5" ht="26" customHeight="1" x14ac:dyDescent="0.35">
      <c r="A157" s="117" t="s">
        <v>411</v>
      </c>
      <c r="B157" s="117" t="s">
        <v>412</v>
      </c>
      <c r="C157" s="290" t="s">
        <v>413</v>
      </c>
      <c r="D157" s="291"/>
      <c r="E157" s="291"/>
    </row>
    <row r="158" spans="1:5" ht="16" x14ac:dyDescent="0.35">
      <c r="A158" s="115" t="s">
        <v>414</v>
      </c>
      <c r="B158" s="115" t="s">
        <v>415</v>
      </c>
      <c r="C158" s="266" t="s">
        <v>416</v>
      </c>
      <c r="D158" s="266"/>
      <c r="E158" s="266"/>
    </row>
    <row r="159" spans="1:5" ht="16" x14ac:dyDescent="0.35">
      <c r="A159" s="116" t="s">
        <v>417</v>
      </c>
      <c r="B159" s="116" t="s">
        <v>418</v>
      </c>
      <c r="C159" s="266" t="s">
        <v>419</v>
      </c>
      <c r="D159" s="266"/>
      <c r="E159" s="266"/>
    </row>
    <row r="160" spans="1:5" ht="16" x14ac:dyDescent="0.35">
      <c r="A160" s="115" t="s">
        <v>420</v>
      </c>
      <c r="B160" s="115" t="s">
        <v>421</v>
      </c>
      <c r="C160" s="266" t="s">
        <v>422</v>
      </c>
      <c r="D160" s="266"/>
      <c r="E160" s="266"/>
    </row>
    <row r="161" spans="1:5" ht="16" x14ac:dyDescent="0.35">
      <c r="A161" s="116" t="s">
        <v>423</v>
      </c>
      <c r="B161" s="116" t="s">
        <v>424</v>
      </c>
      <c r="C161" s="266" t="s">
        <v>425</v>
      </c>
      <c r="D161" s="266"/>
      <c r="E161" s="266"/>
    </row>
    <row r="162" spans="1:5" ht="16" x14ac:dyDescent="0.35">
      <c r="A162" s="115" t="s">
        <v>351</v>
      </c>
      <c r="B162" s="115" t="s">
        <v>426</v>
      </c>
      <c r="C162" s="266" t="s">
        <v>427</v>
      </c>
      <c r="D162" s="266"/>
      <c r="E162" s="266"/>
    </row>
    <row r="163" spans="1:5" ht="16" x14ac:dyDescent="0.35">
      <c r="A163" s="116" t="s">
        <v>428</v>
      </c>
      <c r="B163" s="116" t="s">
        <v>429</v>
      </c>
      <c r="C163" s="266" t="s">
        <v>430</v>
      </c>
      <c r="D163" s="266"/>
      <c r="E163" s="266"/>
    </row>
    <row r="164" spans="1:5" ht="16" x14ac:dyDescent="0.35">
      <c r="A164" s="115" t="s">
        <v>83</v>
      </c>
      <c r="B164" s="115" t="s">
        <v>431</v>
      </c>
      <c r="C164" s="266" t="s">
        <v>432</v>
      </c>
      <c r="D164" s="266"/>
      <c r="E164" s="266"/>
    </row>
    <row r="165" spans="1:5" ht="16" x14ac:dyDescent="0.35">
      <c r="A165" s="79"/>
      <c r="B165" s="79"/>
      <c r="C165" s="79"/>
      <c r="D165" s="79"/>
      <c r="E165" s="79"/>
    </row>
    <row r="166" spans="1:5" ht="28" customHeight="1" x14ac:dyDescent="0.35">
      <c r="A166" s="285" t="s">
        <v>470</v>
      </c>
      <c r="B166" s="286"/>
      <c r="C166" s="286"/>
      <c r="D166" s="286"/>
      <c r="E166" s="286"/>
    </row>
    <row r="167" spans="1:5" ht="16" x14ac:dyDescent="0.35">
      <c r="A167" s="90" t="s">
        <v>471</v>
      </c>
      <c r="B167" s="90" t="s">
        <v>121</v>
      </c>
      <c r="C167" s="90" t="s">
        <v>119</v>
      </c>
      <c r="D167" s="79"/>
      <c r="E167" s="79"/>
    </row>
    <row r="168" spans="1:5" ht="16" x14ac:dyDescent="0.35">
      <c r="A168" s="287" t="s">
        <v>472</v>
      </c>
      <c r="B168" s="288"/>
      <c r="C168" s="287"/>
      <c r="D168" s="289"/>
      <c r="E168" s="289"/>
    </row>
    <row r="169" spans="1:5" ht="4" customHeight="1" x14ac:dyDescent="0.35">
      <c r="A169" s="268" t="s">
        <v>473</v>
      </c>
      <c r="B169" s="269"/>
      <c r="C169" s="270"/>
      <c r="D169" s="271"/>
      <c r="E169" s="271"/>
    </row>
    <row r="170" spans="1:5" ht="32" customHeight="1" x14ac:dyDescent="0.35">
      <c r="A170" s="272" t="s">
        <v>474</v>
      </c>
      <c r="B170" s="273"/>
      <c r="C170" s="272"/>
      <c r="D170" s="274"/>
      <c r="E170" s="274"/>
    </row>
    <row r="171" spans="1:5" ht="22" customHeight="1" x14ac:dyDescent="0.35">
      <c r="A171" s="275" t="s">
        <v>475</v>
      </c>
      <c r="B171" s="269"/>
      <c r="C171" s="276"/>
      <c r="D171" s="277"/>
      <c r="E171" s="277"/>
    </row>
    <row r="172" spans="1:5" ht="22" customHeight="1" x14ac:dyDescent="0.35">
      <c r="A172" s="278" t="s">
        <v>476</v>
      </c>
      <c r="B172" s="279"/>
      <c r="C172" s="278"/>
      <c r="D172" s="280"/>
      <c r="E172" s="280"/>
    </row>
    <row r="173" spans="1:5" ht="4" customHeight="1" x14ac:dyDescent="0.35">
      <c r="A173" s="281" t="s">
        <v>441</v>
      </c>
      <c r="B173" s="271"/>
      <c r="C173" s="271"/>
      <c r="D173" s="271"/>
      <c r="E173" s="271"/>
    </row>
    <row r="174" spans="1:5" ht="28" customHeight="1" x14ac:dyDescent="0.35">
      <c r="A174" s="282" t="s">
        <v>442</v>
      </c>
      <c r="B174" s="282"/>
      <c r="C174" s="282"/>
      <c r="D174" s="282"/>
      <c r="E174" s="282"/>
    </row>
  </sheetData>
  <sheetProtection sheet="1" objects="1" scenarios="1"/>
  <mergeCells count="46">
    <mergeCell ref="A8:E8"/>
    <mergeCell ref="A1:E1"/>
    <mergeCell ref="A2:E2"/>
    <mergeCell ref="A3:E3"/>
    <mergeCell ref="A5:E5"/>
    <mergeCell ref="A6:E6"/>
    <mergeCell ref="A91:E91"/>
    <mergeCell ref="A102:E102"/>
    <mergeCell ref="A111:E111"/>
    <mergeCell ref="A18:E18"/>
    <mergeCell ref="A20:E20"/>
    <mergeCell ref="A26:E26"/>
    <mergeCell ref="A31:E31"/>
    <mergeCell ref="A37:E37"/>
    <mergeCell ref="A43:E43"/>
    <mergeCell ref="A75:E75"/>
    <mergeCell ref="A83:C83"/>
    <mergeCell ref="A49:E49"/>
    <mergeCell ref="A55:E55"/>
    <mergeCell ref="A62:E62"/>
    <mergeCell ref="A113:E113"/>
    <mergeCell ref="A119:E119"/>
    <mergeCell ref="A124:E124"/>
    <mergeCell ref="A126:E126"/>
    <mergeCell ref="A128:E128"/>
    <mergeCell ref="A171:E171"/>
    <mergeCell ref="A172:E172"/>
    <mergeCell ref="A173:E173"/>
    <mergeCell ref="A174:E174"/>
    <mergeCell ref="A156:E156"/>
    <mergeCell ref="A166:E166"/>
    <mergeCell ref="A168:E168"/>
    <mergeCell ref="C157:E157"/>
    <mergeCell ref="C158:E158"/>
    <mergeCell ref="C159:E159"/>
    <mergeCell ref="C160:E160"/>
    <mergeCell ref="C161:E161"/>
    <mergeCell ref="C162:E162"/>
    <mergeCell ref="C163:E163"/>
    <mergeCell ref="C164:E164"/>
    <mergeCell ref="A127:E127"/>
    <mergeCell ref="A169:E169"/>
    <mergeCell ref="A170:E170"/>
    <mergeCell ref="A135:E135"/>
    <mergeCell ref="A138:E138"/>
    <mergeCell ref="A147:E14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9F003-876A-4434-8905-B0130B073134}">
  <dimension ref="A1:F160"/>
  <sheetViews>
    <sheetView workbookViewId="0">
      <pane ySplit="5" topLeftCell="A95" activePane="bottomLeft" state="frozen"/>
      <selection pane="bottomLeft" activeCell="C137" sqref="C137"/>
    </sheetView>
  </sheetViews>
  <sheetFormatPr defaultRowHeight="14.5" x14ac:dyDescent="0.35"/>
  <cols>
    <col min="1" max="1" width="40" customWidth="1"/>
    <col min="2" max="2" width="36.36328125" customWidth="1"/>
    <col min="3" max="3" width="55.1796875" style="1" bestFit="1" customWidth="1"/>
    <col min="4" max="4" width="23.6328125" style="1" customWidth="1"/>
    <col min="5" max="5" width="72.08984375" bestFit="1" customWidth="1"/>
    <col min="6" max="6" width="45.453125" style="1" customWidth="1"/>
  </cols>
  <sheetData>
    <row r="1" spans="1:6" ht="40" customHeight="1" x14ac:dyDescent="0.35">
      <c r="A1" s="306" t="s">
        <v>477</v>
      </c>
      <c r="B1" s="306"/>
      <c r="C1" s="306"/>
      <c r="D1" s="306"/>
      <c r="E1" s="306"/>
      <c r="F1" s="306"/>
    </row>
    <row r="2" spans="1:6" ht="25" customHeight="1" x14ac:dyDescent="0.35">
      <c r="A2" s="325" t="s">
        <v>478</v>
      </c>
      <c r="B2" s="325"/>
      <c r="C2" s="325"/>
      <c r="D2" s="325"/>
      <c r="E2" s="325"/>
      <c r="F2" s="325"/>
    </row>
    <row r="3" spans="1:6" ht="5" customHeight="1" x14ac:dyDescent="0.45">
      <c r="A3" s="326"/>
      <c r="B3" s="326"/>
      <c r="C3" s="326"/>
      <c r="D3" s="326"/>
      <c r="E3" s="326"/>
      <c r="F3" s="326"/>
    </row>
    <row r="4" spans="1:6" ht="22" customHeight="1" x14ac:dyDescent="0.35">
      <c r="A4" s="327" t="s">
        <v>479</v>
      </c>
      <c r="B4" s="327"/>
      <c r="C4" s="327"/>
      <c r="D4" s="327"/>
      <c r="E4" s="327"/>
      <c r="F4" s="327"/>
    </row>
    <row r="5" spans="1:6" ht="25" customHeight="1" x14ac:dyDescent="0.35">
      <c r="A5" s="328" t="s">
        <v>480</v>
      </c>
      <c r="B5" s="328"/>
      <c r="C5" s="328"/>
      <c r="D5" s="328"/>
      <c r="E5" s="328"/>
      <c r="F5" s="328"/>
    </row>
    <row r="6" spans="1:6" ht="10" customHeight="1" thickBot="1" x14ac:dyDescent="0.5">
      <c r="A6" s="4"/>
      <c r="B6" s="4"/>
      <c r="C6" s="165"/>
      <c r="D6" s="165"/>
      <c r="E6" s="4"/>
      <c r="F6" s="165"/>
    </row>
    <row r="7" spans="1:6" ht="30" customHeight="1" x14ac:dyDescent="0.35">
      <c r="A7" s="322" t="s">
        <v>481</v>
      </c>
      <c r="B7" s="323"/>
      <c r="C7" s="323"/>
      <c r="D7" s="323"/>
      <c r="E7" s="323"/>
      <c r="F7" s="323"/>
    </row>
    <row r="8" spans="1:6" ht="24" customHeight="1" x14ac:dyDescent="0.35">
      <c r="A8" s="91" t="s">
        <v>482</v>
      </c>
      <c r="B8" s="91" t="s">
        <v>483</v>
      </c>
      <c r="C8" s="91" t="s">
        <v>484</v>
      </c>
      <c r="D8" s="91" t="s">
        <v>485</v>
      </c>
      <c r="E8" s="91" t="s">
        <v>486</v>
      </c>
      <c r="F8" s="91" t="s">
        <v>379</v>
      </c>
    </row>
    <row r="9" spans="1:6" ht="20" customHeight="1" x14ac:dyDescent="0.35">
      <c r="A9" s="166" t="s">
        <v>487</v>
      </c>
      <c r="B9" s="166" t="s">
        <v>488</v>
      </c>
      <c r="C9" s="210" t="s">
        <v>489</v>
      </c>
      <c r="D9" s="210" t="s">
        <v>490</v>
      </c>
      <c r="E9" s="166" t="s">
        <v>491</v>
      </c>
      <c r="F9" s="202" t="s">
        <v>492</v>
      </c>
    </row>
    <row r="10" spans="1:6" ht="20" customHeight="1" x14ac:dyDescent="0.35">
      <c r="A10" s="169" t="s">
        <v>493</v>
      </c>
      <c r="B10" s="169" t="s">
        <v>130</v>
      </c>
      <c r="C10" s="211" t="s">
        <v>489</v>
      </c>
      <c r="D10" s="211" t="s">
        <v>490</v>
      </c>
      <c r="E10" s="169" t="s">
        <v>494</v>
      </c>
      <c r="F10" s="203" t="s">
        <v>495</v>
      </c>
    </row>
    <row r="11" spans="1:6" ht="20" customHeight="1" x14ac:dyDescent="0.35">
      <c r="A11" s="172" t="s">
        <v>496</v>
      </c>
      <c r="B11" s="172" t="s">
        <v>497</v>
      </c>
      <c r="C11" s="212" t="s">
        <v>489</v>
      </c>
      <c r="D11" s="212" t="s">
        <v>490</v>
      </c>
      <c r="E11" s="172" t="s">
        <v>494</v>
      </c>
      <c r="F11" s="204" t="s">
        <v>498</v>
      </c>
    </row>
    <row r="12" spans="1:6" ht="20" customHeight="1" x14ac:dyDescent="0.35">
      <c r="A12" s="169" t="s">
        <v>499</v>
      </c>
      <c r="B12" s="169" t="s">
        <v>500</v>
      </c>
      <c r="C12" s="211" t="s">
        <v>489</v>
      </c>
      <c r="D12" s="211" t="s">
        <v>490</v>
      </c>
      <c r="E12" s="169" t="s">
        <v>491</v>
      </c>
      <c r="F12" s="203" t="s">
        <v>501</v>
      </c>
    </row>
    <row r="13" spans="1:6" ht="20" customHeight="1" x14ac:dyDescent="0.35">
      <c r="A13" s="172" t="s">
        <v>502</v>
      </c>
      <c r="B13" s="172" t="s">
        <v>503</v>
      </c>
      <c r="C13" s="212" t="s">
        <v>489</v>
      </c>
      <c r="D13" s="212" t="s">
        <v>490</v>
      </c>
      <c r="E13" s="172" t="s">
        <v>491</v>
      </c>
      <c r="F13" s="204" t="s">
        <v>504</v>
      </c>
    </row>
    <row r="14" spans="1:6" ht="20" customHeight="1" x14ac:dyDescent="0.35">
      <c r="A14" s="169" t="s">
        <v>505</v>
      </c>
      <c r="B14" s="169" t="s">
        <v>128</v>
      </c>
      <c r="C14" s="211" t="s">
        <v>489</v>
      </c>
      <c r="D14" s="211" t="s">
        <v>490</v>
      </c>
      <c r="E14" s="169" t="s">
        <v>506</v>
      </c>
      <c r="F14" s="203" t="s">
        <v>507</v>
      </c>
    </row>
    <row r="15" spans="1:6" ht="20" customHeight="1" x14ac:dyDescent="0.35">
      <c r="A15" s="172" t="s">
        <v>508</v>
      </c>
      <c r="B15" s="172" t="s">
        <v>488</v>
      </c>
      <c r="C15" s="212" t="s">
        <v>489</v>
      </c>
      <c r="D15" s="212" t="s">
        <v>490</v>
      </c>
      <c r="E15" s="172" t="s">
        <v>506</v>
      </c>
      <c r="F15" s="204" t="s">
        <v>509</v>
      </c>
    </row>
    <row r="16" spans="1:6" ht="20" customHeight="1" x14ac:dyDescent="0.35">
      <c r="A16" s="169" t="s">
        <v>510</v>
      </c>
      <c r="B16" s="169" t="s">
        <v>511</v>
      </c>
      <c r="C16" s="211" t="s">
        <v>489</v>
      </c>
      <c r="D16" s="211" t="s">
        <v>490</v>
      </c>
      <c r="E16" s="169" t="s">
        <v>512</v>
      </c>
      <c r="F16" s="203" t="s">
        <v>513</v>
      </c>
    </row>
    <row r="17" spans="1:6" ht="20" customHeight="1" x14ac:dyDescent="0.35">
      <c r="A17" s="172" t="s">
        <v>514</v>
      </c>
      <c r="B17" s="172" t="s">
        <v>515</v>
      </c>
      <c r="C17" s="212" t="s">
        <v>489</v>
      </c>
      <c r="D17" s="212" t="s">
        <v>490</v>
      </c>
      <c r="E17" s="172" t="s">
        <v>506</v>
      </c>
      <c r="F17" s="204" t="s">
        <v>516</v>
      </c>
    </row>
    <row r="18" spans="1:6" ht="20" customHeight="1" x14ac:dyDescent="0.35">
      <c r="A18" s="183" t="s">
        <v>517</v>
      </c>
      <c r="B18" s="183" t="s">
        <v>518</v>
      </c>
      <c r="C18" s="213" t="s">
        <v>489</v>
      </c>
      <c r="D18" s="213" t="s">
        <v>490</v>
      </c>
      <c r="E18" s="183" t="s">
        <v>519</v>
      </c>
      <c r="F18" s="205" t="s">
        <v>520</v>
      </c>
    </row>
    <row r="19" spans="1:6" ht="15" customHeight="1" thickBot="1" x14ac:dyDescent="0.5">
      <c r="A19" s="4"/>
      <c r="B19" s="4"/>
      <c r="C19" s="165"/>
      <c r="D19" s="165"/>
      <c r="E19" s="4"/>
      <c r="F19" s="165"/>
    </row>
    <row r="20" spans="1:6" ht="30" customHeight="1" x14ac:dyDescent="0.35">
      <c r="A20" s="322" t="s">
        <v>521</v>
      </c>
      <c r="B20" s="323"/>
      <c r="C20" s="323"/>
      <c r="D20" s="323"/>
      <c r="E20" s="323"/>
      <c r="F20" s="323"/>
    </row>
    <row r="21" spans="1:6" ht="22" customHeight="1" x14ac:dyDescent="0.45">
      <c r="A21" s="324" t="s">
        <v>522</v>
      </c>
      <c r="B21" s="324"/>
      <c r="C21" s="324"/>
      <c r="D21" s="324"/>
      <c r="E21" s="324"/>
      <c r="F21" s="324"/>
    </row>
    <row r="22" spans="1:6" ht="24" customHeight="1" x14ac:dyDescent="0.35">
      <c r="A22" s="91" t="s">
        <v>523</v>
      </c>
      <c r="B22" s="91" t="s">
        <v>78</v>
      </c>
      <c r="C22" s="91" t="s">
        <v>524</v>
      </c>
      <c r="D22" s="91" t="s">
        <v>525</v>
      </c>
      <c r="E22" s="91" t="s">
        <v>526</v>
      </c>
      <c r="F22" s="91" t="s">
        <v>527</v>
      </c>
    </row>
    <row r="23" spans="1:6" ht="20" customHeight="1" x14ac:dyDescent="0.35">
      <c r="A23" s="167" t="s">
        <v>528</v>
      </c>
      <c r="B23" s="187"/>
      <c r="C23" s="187"/>
      <c r="D23" s="187"/>
      <c r="E23" s="187"/>
      <c r="F23" s="202" t="s">
        <v>529</v>
      </c>
    </row>
    <row r="24" spans="1:6" ht="20" customHeight="1" x14ac:dyDescent="0.35">
      <c r="A24" s="170" t="s">
        <v>530</v>
      </c>
      <c r="B24" s="188"/>
      <c r="C24" s="188"/>
      <c r="D24" s="188"/>
      <c r="E24" s="188"/>
      <c r="F24" s="203" t="s">
        <v>531</v>
      </c>
    </row>
    <row r="25" spans="1:6" ht="20" customHeight="1" x14ac:dyDescent="0.35">
      <c r="A25" s="173" t="s">
        <v>532</v>
      </c>
      <c r="B25" s="189"/>
      <c r="C25" s="189"/>
      <c r="D25" s="189"/>
      <c r="E25" s="189"/>
      <c r="F25" s="204" t="s">
        <v>533</v>
      </c>
    </row>
    <row r="26" spans="1:6" ht="20" customHeight="1" x14ac:dyDescent="0.35">
      <c r="A26" s="170" t="s">
        <v>534</v>
      </c>
      <c r="B26" s="188"/>
      <c r="C26" s="188"/>
      <c r="D26" s="188"/>
      <c r="E26" s="188"/>
      <c r="F26" s="203" t="s">
        <v>535</v>
      </c>
    </row>
    <row r="27" spans="1:6" ht="20" customHeight="1" x14ac:dyDescent="0.35">
      <c r="A27" s="173" t="s">
        <v>536</v>
      </c>
      <c r="B27" s="189"/>
      <c r="C27" s="189"/>
      <c r="D27" s="189"/>
      <c r="E27" s="189"/>
      <c r="F27" s="204" t="s">
        <v>537</v>
      </c>
    </row>
    <row r="28" spans="1:6" ht="20" customHeight="1" x14ac:dyDescent="0.35">
      <c r="A28" s="175" t="s">
        <v>538</v>
      </c>
      <c r="B28" s="190"/>
      <c r="C28" s="190"/>
      <c r="D28" s="190"/>
      <c r="E28" s="190"/>
      <c r="F28" s="206" t="s">
        <v>539</v>
      </c>
    </row>
    <row r="29" spans="1:6" ht="22" customHeight="1" thickBot="1" x14ac:dyDescent="0.5">
      <c r="A29" s="177" t="s">
        <v>540</v>
      </c>
      <c r="B29" s="191">
        <f>SUM(B23:B28)</f>
        <v>0</v>
      </c>
      <c r="C29" s="191">
        <f>IFERROR(SUMPRODUCT(B23:B28,C23:C28)/SUM(B23:B28),0)</f>
        <v>0</v>
      </c>
      <c r="D29" s="191">
        <f>IFERROR(SUMPRODUCT(B23:B28,D23:D28)/SUM(B23:B28),0)</f>
        <v>0</v>
      </c>
      <c r="E29" s="191">
        <f>IFERROR(SUMPRODUCT(B23:B28,E23:E28)/SUM(B23:B28),0)</f>
        <v>0</v>
      </c>
      <c r="F29" s="207" t="s">
        <v>541</v>
      </c>
    </row>
    <row r="30" spans="1:6" ht="10" customHeight="1" thickTop="1" x14ac:dyDescent="0.45">
      <c r="A30" s="4"/>
      <c r="B30" s="4"/>
      <c r="C30" s="165"/>
      <c r="D30" s="165"/>
      <c r="E30" s="4"/>
      <c r="F30" s="165"/>
    </row>
    <row r="31" spans="1:6" ht="22" customHeight="1" x14ac:dyDescent="0.45">
      <c r="A31" s="324" t="s">
        <v>542</v>
      </c>
      <c r="B31" s="324"/>
      <c r="C31" s="324"/>
      <c r="D31" s="324"/>
      <c r="E31" s="324"/>
      <c r="F31" s="324"/>
    </row>
    <row r="32" spans="1:6" ht="24" customHeight="1" x14ac:dyDescent="0.35">
      <c r="A32" s="91" t="s">
        <v>543</v>
      </c>
      <c r="B32" s="91" t="s">
        <v>78</v>
      </c>
      <c r="C32" s="91" t="s">
        <v>524</v>
      </c>
      <c r="D32" s="91" t="s">
        <v>525</v>
      </c>
      <c r="E32" s="91" t="s">
        <v>526</v>
      </c>
      <c r="F32" s="91" t="s">
        <v>527</v>
      </c>
    </row>
    <row r="33" spans="1:6" ht="20" customHeight="1" x14ac:dyDescent="0.35">
      <c r="A33" s="167" t="s">
        <v>544</v>
      </c>
      <c r="B33" s="187"/>
      <c r="C33" s="187"/>
      <c r="D33" s="187"/>
      <c r="E33" s="187"/>
      <c r="F33" s="202" t="s">
        <v>545</v>
      </c>
    </row>
    <row r="34" spans="1:6" ht="20" customHeight="1" x14ac:dyDescent="0.35">
      <c r="A34" s="170" t="s">
        <v>546</v>
      </c>
      <c r="B34" s="188"/>
      <c r="C34" s="188"/>
      <c r="D34" s="188"/>
      <c r="E34" s="188"/>
      <c r="F34" s="203" t="s">
        <v>547</v>
      </c>
    </row>
    <row r="35" spans="1:6" ht="20" customHeight="1" x14ac:dyDescent="0.35">
      <c r="A35" s="173" t="s">
        <v>548</v>
      </c>
      <c r="B35" s="189"/>
      <c r="C35" s="189"/>
      <c r="D35" s="189"/>
      <c r="E35" s="189"/>
      <c r="F35" s="204" t="s">
        <v>549</v>
      </c>
    </row>
    <row r="36" spans="1:6" ht="20" customHeight="1" x14ac:dyDescent="0.35">
      <c r="A36" s="170" t="s">
        <v>550</v>
      </c>
      <c r="B36" s="188"/>
      <c r="C36" s="188"/>
      <c r="D36" s="188"/>
      <c r="E36" s="188"/>
      <c r="F36" s="203" t="s">
        <v>551</v>
      </c>
    </row>
    <row r="37" spans="1:6" ht="20" customHeight="1" x14ac:dyDescent="0.35">
      <c r="A37" s="179" t="s">
        <v>552</v>
      </c>
      <c r="B37" s="192"/>
      <c r="C37" s="192"/>
      <c r="D37" s="192"/>
      <c r="E37" s="192"/>
      <c r="F37" s="208" t="s">
        <v>553</v>
      </c>
    </row>
    <row r="38" spans="1:6" ht="22" customHeight="1" thickBot="1" x14ac:dyDescent="0.5">
      <c r="A38" s="177" t="s">
        <v>554</v>
      </c>
      <c r="B38" s="191">
        <f>SUM(B33:B37)</f>
        <v>0</v>
      </c>
      <c r="C38" s="191">
        <f>IFERROR(SUMPRODUCT(B33:B37,C33:C37)/SUM(B33:B37),0)</f>
        <v>0</v>
      </c>
      <c r="D38" s="191">
        <f>IFERROR(SUMPRODUCT(B33:B37,D33:D37)/SUM(B33:B37),0)</f>
        <v>0</v>
      </c>
      <c r="E38" s="191">
        <f>IFERROR(SUMPRODUCT(B33:B37,E33:E37)/SUM(B33:B37),0)</f>
        <v>0</v>
      </c>
      <c r="F38" s="207" t="s">
        <v>541</v>
      </c>
    </row>
    <row r="39" spans="1:6" ht="10" customHeight="1" thickTop="1" x14ac:dyDescent="0.45">
      <c r="A39" s="4"/>
      <c r="B39" s="4"/>
      <c r="C39" s="165"/>
      <c r="D39" s="165"/>
      <c r="E39" s="4"/>
      <c r="F39" s="165"/>
    </row>
    <row r="40" spans="1:6" ht="26" customHeight="1" thickBot="1" x14ac:dyDescent="0.5">
      <c r="A40" s="184" t="s">
        <v>555</v>
      </c>
      <c r="B40" s="193">
        <f>B29+B38</f>
        <v>0</v>
      </c>
      <c r="C40" s="193">
        <f>IFERROR((B29*C29+B38*C38)/(B29+B38),0)</f>
        <v>0</v>
      </c>
      <c r="D40" s="193">
        <f>IFERROR((B29*D29+B38*D38)/(B29+B38),0)</f>
        <v>0</v>
      </c>
      <c r="E40" s="193">
        <f>IFERROR((B29*E29+B38*E38)/(B29+B38),0)</f>
        <v>0</v>
      </c>
      <c r="F40" s="186" t="s">
        <v>556</v>
      </c>
    </row>
    <row r="41" spans="1:6" ht="15" customHeight="1" thickTop="1" thickBot="1" x14ac:dyDescent="0.5">
      <c r="A41" s="4"/>
      <c r="B41" s="4"/>
      <c r="C41" s="165"/>
      <c r="D41" s="165"/>
      <c r="E41" s="4"/>
      <c r="F41" s="165"/>
    </row>
    <row r="42" spans="1:6" ht="30" customHeight="1" x14ac:dyDescent="0.35">
      <c r="A42" s="322" t="s">
        <v>557</v>
      </c>
      <c r="B42" s="323"/>
      <c r="C42" s="323"/>
      <c r="D42" s="323"/>
      <c r="E42" s="323"/>
      <c r="F42" s="323"/>
    </row>
    <row r="43" spans="1:6" ht="24" customHeight="1" x14ac:dyDescent="0.35">
      <c r="A43" s="91" t="s">
        <v>558</v>
      </c>
      <c r="B43" s="91" t="s">
        <v>559</v>
      </c>
      <c r="C43" s="91" t="s">
        <v>560</v>
      </c>
      <c r="D43" s="91" t="s">
        <v>561</v>
      </c>
      <c r="E43" s="91" t="s">
        <v>325</v>
      </c>
      <c r="F43" s="91" t="s">
        <v>562</v>
      </c>
    </row>
    <row r="44" spans="1:6" ht="20" customHeight="1" x14ac:dyDescent="0.35">
      <c r="A44" s="167" t="s">
        <v>563</v>
      </c>
      <c r="B44" s="194"/>
      <c r="C44" s="194"/>
      <c r="D44" s="168"/>
      <c r="E44" s="231"/>
      <c r="F44" s="202" t="s">
        <v>564</v>
      </c>
    </row>
    <row r="45" spans="1:6" ht="20" customHeight="1" x14ac:dyDescent="0.35">
      <c r="A45" s="170" t="s">
        <v>565</v>
      </c>
      <c r="B45" s="195"/>
      <c r="C45" s="195"/>
      <c r="D45" s="171"/>
      <c r="E45" s="232"/>
      <c r="F45" s="203" t="s">
        <v>566</v>
      </c>
    </row>
    <row r="46" spans="1:6" ht="20" customHeight="1" x14ac:dyDescent="0.35">
      <c r="A46" s="173" t="s">
        <v>567</v>
      </c>
      <c r="B46" s="196"/>
      <c r="C46" s="196"/>
      <c r="D46" s="174"/>
      <c r="E46" s="233"/>
      <c r="F46" s="204" t="s">
        <v>568</v>
      </c>
    </row>
    <row r="47" spans="1:6" ht="20" customHeight="1" x14ac:dyDescent="0.35">
      <c r="A47" s="170" t="s">
        <v>569</v>
      </c>
      <c r="B47" s="195"/>
      <c r="C47" s="195"/>
      <c r="D47" s="171"/>
      <c r="E47" s="232"/>
      <c r="F47" s="203" t="s">
        <v>570</v>
      </c>
    </row>
    <row r="48" spans="1:6" ht="20" customHeight="1" x14ac:dyDescent="0.35">
      <c r="A48" s="173" t="s">
        <v>571</v>
      </c>
      <c r="B48" s="196"/>
      <c r="C48" s="196"/>
      <c r="D48" s="174"/>
      <c r="E48" s="233"/>
      <c r="F48" s="204" t="s">
        <v>572</v>
      </c>
    </row>
    <row r="49" spans="1:6" ht="20" customHeight="1" x14ac:dyDescent="0.35">
      <c r="A49" s="170" t="s">
        <v>573</v>
      </c>
      <c r="B49" s="195"/>
      <c r="C49" s="195"/>
      <c r="D49" s="171"/>
      <c r="E49" s="232"/>
      <c r="F49" s="203" t="s">
        <v>574</v>
      </c>
    </row>
    <row r="50" spans="1:6" ht="20" customHeight="1" x14ac:dyDescent="0.35">
      <c r="A50" s="179" t="s">
        <v>575</v>
      </c>
      <c r="B50" s="197"/>
      <c r="C50" s="197"/>
      <c r="D50" s="180"/>
      <c r="E50" s="234"/>
      <c r="F50" s="208" t="s">
        <v>576</v>
      </c>
    </row>
    <row r="51" spans="1:6" ht="22" customHeight="1" thickBot="1" x14ac:dyDescent="0.5">
      <c r="A51" s="177" t="s">
        <v>577</v>
      </c>
      <c r="B51" s="198">
        <f>SUM(B44:B50)</f>
        <v>0</v>
      </c>
      <c r="C51" s="198">
        <f>SUM(C44:C50)</f>
        <v>0</v>
      </c>
      <c r="D51" s="178" t="s">
        <v>92</v>
      </c>
      <c r="E51" s="235">
        <f>SUM(E44:E50)</f>
        <v>0</v>
      </c>
      <c r="F51" s="207" t="s">
        <v>578</v>
      </c>
    </row>
    <row r="52" spans="1:6" ht="10" customHeight="1" thickTop="1" x14ac:dyDescent="0.45">
      <c r="A52" s="4"/>
      <c r="B52" s="4"/>
      <c r="C52" s="165"/>
      <c r="D52" s="165"/>
      <c r="E52" s="4"/>
      <c r="F52" s="165"/>
    </row>
    <row r="53" spans="1:6" ht="24" customHeight="1" x14ac:dyDescent="0.45">
      <c r="A53" s="321" t="s">
        <v>579</v>
      </c>
      <c r="B53" s="321"/>
      <c r="C53" s="321"/>
      <c r="D53" s="321"/>
      <c r="E53" s="321"/>
      <c r="F53" s="321"/>
    </row>
    <row r="54" spans="1:6" ht="15" customHeight="1" thickBot="1" x14ac:dyDescent="0.5">
      <c r="A54" s="4"/>
      <c r="B54" s="4"/>
      <c r="C54" s="165"/>
      <c r="D54" s="165"/>
      <c r="E54" s="4"/>
      <c r="F54" s="165"/>
    </row>
    <row r="55" spans="1:6" ht="30" customHeight="1" x14ac:dyDescent="0.35">
      <c r="A55" s="322" t="s">
        <v>580</v>
      </c>
      <c r="B55" s="323"/>
      <c r="C55" s="323"/>
      <c r="D55" s="323"/>
      <c r="E55" s="323"/>
      <c r="F55" s="323"/>
    </row>
    <row r="56" spans="1:6" ht="24" customHeight="1" x14ac:dyDescent="0.35">
      <c r="A56" s="91" t="s">
        <v>581</v>
      </c>
      <c r="B56" s="91" t="s">
        <v>296</v>
      </c>
      <c r="C56" s="91" t="s">
        <v>78</v>
      </c>
      <c r="D56" s="91" t="s">
        <v>582</v>
      </c>
      <c r="E56" s="91" t="s">
        <v>583</v>
      </c>
      <c r="F56" s="91" t="s">
        <v>584</v>
      </c>
    </row>
    <row r="57" spans="1:6" ht="20" customHeight="1" x14ac:dyDescent="0.35">
      <c r="A57" s="167" t="s">
        <v>585</v>
      </c>
      <c r="B57" s="214" t="s">
        <v>586</v>
      </c>
      <c r="C57" s="187"/>
      <c r="D57" s="187"/>
      <c r="E57" s="231"/>
      <c r="F57" s="202" t="s">
        <v>587</v>
      </c>
    </row>
    <row r="58" spans="1:6" ht="20" customHeight="1" x14ac:dyDescent="0.35">
      <c r="A58" s="170" t="s">
        <v>588</v>
      </c>
      <c r="B58" s="215" t="s">
        <v>586</v>
      </c>
      <c r="C58" s="188"/>
      <c r="D58" s="188"/>
      <c r="E58" s="232"/>
      <c r="F58" s="203" t="s">
        <v>589</v>
      </c>
    </row>
    <row r="59" spans="1:6" ht="20" customHeight="1" x14ac:dyDescent="0.35">
      <c r="A59" s="173" t="s">
        <v>590</v>
      </c>
      <c r="B59" s="216" t="s">
        <v>586</v>
      </c>
      <c r="C59" s="189"/>
      <c r="D59" s="189"/>
      <c r="E59" s="233"/>
      <c r="F59" s="204" t="s">
        <v>591</v>
      </c>
    </row>
    <row r="60" spans="1:6" ht="20" customHeight="1" x14ac:dyDescent="0.35">
      <c r="A60" s="170" t="s">
        <v>592</v>
      </c>
      <c r="B60" s="215" t="s">
        <v>586</v>
      </c>
      <c r="C60" s="188"/>
      <c r="D60" s="188"/>
      <c r="E60" s="232"/>
      <c r="F60" s="203" t="s">
        <v>593</v>
      </c>
    </row>
    <row r="61" spans="1:6" ht="20" customHeight="1" x14ac:dyDescent="0.35">
      <c r="A61" s="173" t="s">
        <v>31</v>
      </c>
      <c r="B61" s="216" t="s">
        <v>586</v>
      </c>
      <c r="C61" s="189"/>
      <c r="D61" s="189"/>
      <c r="E61" s="233"/>
      <c r="F61" s="204" t="s">
        <v>594</v>
      </c>
    </row>
    <row r="62" spans="1:6" ht="20" customHeight="1" x14ac:dyDescent="0.35">
      <c r="A62" s="170" t="s">
        <v>34</v>
      </c>
      <c r="B62" s="215" t="s">
        <v>586</v>
      </c>
      <c r="C62" s="188"/>
      <c r="D62" s="188"/>
      <c r="E62" s="232"/>
      <c r="F62" s="203" t="s">
        <v>595</v>
      </c>
    </row>
    <row r="63" spans="1:6" ht="20" customHeight="1" x14ac:dyDescent="0.35">
      <c r="A63" s="173" t="s">
        <v>36</v>
      </c>
      <c r="B63" s="216" t="s">
        <v>586</v>
      </c>
      <c r="C63" s="189"/>
      <c r="D63" s="189"/>
      <c r="E63" s="233"/>
      <c r="F63" s="204" t="s">
        <v>596</v>
      </c>
    </row>
    <row r="64" spans="1:6" ht="20" customHeight="1" x14ac:dyDescent="0.35">
      <c r="A64" s="175" t="s">
        <v>597</v>
      </c>
      <c r="B64" s="217" t="s">
        <v>586</v>
      </c>
      <c r="C64" s="190"/>
      <c r="D64" s="190"/>
      <c r="E64" s="236"/>
      <c r="F64" s="206" t="s">
        <v>598</v>
      </c>
    </row>
    <row r="65" spans="1:6" ht="22" customHeight="1" thickBot="1" x14ac:dyDescent="0.5">
      <c r="A65" s="177" t="s">
        <v>599</v>
      </c>
      <c r="B65" s="176" t="s">
        <v>92</v>
      </c>
      <c r="C65" s="191">
        <f>SUM(C57:C64)</f>
        <v>0</v>
      </c>
      <c r="D65" s="191">
        <f>SUM(D57:D64)</f>
        <v>0</v>
      </c>
      <c r="E65" s="235">
        <f>SUM(E57:E64)</f>
        <v>0</v>
      </c>
      <c r="F65" s="207" t="s">
        <v>600</v>
      </c>
    </row>
    <row r="66" spans="1:6" ht="10" customHeight="1" thickTop="1" x14ac:dyDescent="0.45">
      <c r="A66" s="4"/>
      <c r="B66" s="4"/>
      <c r="C66" s="165"/>
      <c r="D66" s="165"/>
      <c r="E66" s="4"/>
      <c r="F66" s="165"/>
    </row>
    <row r="67" spans="1:6" ht="24" customHeight="1" x14ac:dyDescent="0.45">
      <c r="A67" s="321" t="s">
        <v>601</v>
      </c>
      <c r="B67" s="321"/>
      <c r="C67" s="321"/>
      <c r="D67" s="321"/>
      <c r="E67" s="321"/>
      <c r="F67" s="321"/>
    </row>
    <row r="68" spans="1:6" ht="15" customHeight="1" thickBot="1" x14ac:dyDescent="0.5">
      <c r="A68" s="4"/>
      <c r="B68" s="4"/>
      <c r="C68" s="165"/>
      <c r="D68" s="165"/>
      <c r="E68" s="4"/>
      <c r="F68" s="165"/>
    </row>
    <row r="69" spans="1:6" ht="30" customHeight="1" x14ac:dyDescent="0.35">
      <c r="A69" s="322" t="s">
        <v>602</v>
      </c>
      <c r="B69" s="323"/>
      <c r="C69" s="323"/>
      <c r="D69" s="323"/>
      <c r="E69" s="323"/>
      <c r="F69" s="323"/>
    </row>
    <row r="70" spans="1:6" ht="24" customHeight="1" x14ac:dyDescent="0.35">
      <c r="A70" s="91" t="s">
        <v>69</v>
      </c>
      <c r="B70" s="91" t="s">
        <v>325</v>
      </c>
      <c r="C70" s="91" t="s">
        <v>326</v>
      </c>
      <c r="D70" s="91" t="s">
        <v>327</v>
      </c>
      <c r="E70" s="91" t="s">
        <v>603</v>
      </c>
      <c r="F70" s="91" t="s">
        <v>527</v>
      </c>
    </row>
    <row r="71" spans="1:6" ht="20" customHeight="1" x14ac:dyDescent="0.35">
      <c r="A71" s="167" t="s">
        <v>604</v>
      </c>
      <c r="B71" s="237"/>
      <c r="C71" s="231">
        <f t="shared" ref="C71:C81" si="0">B71*12</f>
        <v>0</v>
      </c>
      <c r="D71" s="231">
        <f t="shared" ref="D71:D81" si="1">C71*3</f>
        <v>0</v>
      </c>
      <c r="E71" s="199">
        <f t="shared" ref="E71:E81" si="2">IFERROR(B71/B$82,0)</f>
        <v>0</v>
      </c>
      <c r="F71" s="202" t="s">
        <v>605</v>
      </c>
    </row>
    <row r="72" spans="1:6" ht="20" customHeight="1" x14ac:dyDescent="0.35">
      <c r="A72" s="170" t="s">
        <v>606</v>
      </c>
      <c r="B72" s="238"/>
      <c r="C72" s="232">
        <f t="shared" si="0"/>
        <v>0</v>
      </c>
      <c r="D72" s="232">
        <f t="shared" si="1"/>
        <v>0</v>
      </c>
      <c r="E72" s="182">
        <f t="shared" si="2"/>
        <v>0</v>
      </c>
      <c r="F72" s="203" t="s">
        <v>607</v>
      </c>
    </row>
    <row r="73" spans="1:6" ht="20" customHeight="1" x14ac:dyDescent="0.35">
      <c r="A73" s="173" t="s">
        <v>608</v>
      </c>
      <c r="B73" s="239"/>
      <c r="C73" s="233">
        <f t="shared" si="0"/>
        <v>0</v>
      </c>
      <c r="D73" s="233">
        <f t="shared" si="1"/>
        <v>0</v>
      </c>
      <c r="E73" s="181">
        <f t="shared" si="2"/>
        <v>0</v>
      </c>
      <c r="F73" s="204" t="s">
        <v>609</v>
      </c>
    </row>
    <row r="74" spans="1:6" ht="20" customHeight="1" x14ac:dyDescent="0.35">
      <c r="A74" s="170" t="s">
        <v>610</v>
      </c>
      <c r="B74" s="238"/>
      <c r="C74" s="232">
        <f t="shared" si="0"/>
        <v>0</v>
      </c>
      <c r="D74" s="232">
        <f t="shared" si="1"/>
        <v>0</v>
      </c>
      <c r="E74" s="182">
        <f t="shared" si="2"/>
        <v>0</v>
      </c>
      <c r="F74" s="203" t="s">
        <v>611</v>
      </c>
    </row>
    <row r="75" spans="1:6" ht="20" customHeight="1" x14ac:dyDescent="0.35">
      <c r="A75" s="173" t="s">
        <v>612</v>
      </c>
      <c r="B75" s="239"/>
      <c r="C75" s="233">
        <f t="shared" si="0"/>
        <v>0</v>
      </c>
      <c r="D75" s="233">
        <f t="shared" si="1"/>
        <v>0</v>
      </c>
      <c r="E75" s="181">
        <f t="shared" si="2"/>
        <v>0</v>
      </c>
      <c r="F75" s="204" t="s">
        <v>613</v>
      </c>
    </row>
    <row r="76" spans="1:6" ht="20" customHeight="1" x14ac:dyDescent="0.35">
      <c r="A76" s="170" t="s">
        <v>614</v>
      </c>
      <c r="B76" s="238"/>
      <c r="C76" s="232">
        <f t="shared" si="0"/>
        <v>0</v>
      </c>
      <c r="D76" s="232">
        <f t="shared" si="1"/>
        <v>0</v>
      </c>
      <c r="E76" s="182">
        <f t="shared" si="2"/>
        <v>0</v>
      </c>
      <c r="F76" s="203" t="s">
        <v>615</v>
      </c>
    </row>
    <row r="77" spans="1:6" ht="20" customHeight="1" x14ac:dyDescent="0.35">
      <c r="A77" s="173" t="s">
        <v>616</v>
      </c>
      <c r="B77" s="239"/>
      <c r="C77" s="233">
        <f t="shared" si="0"/>
        <v>0</v>
      </c>
      <c r="D77" s="233">
        <f t="shared" si="1"/>
        <v>0</v>
      </c>
      <c r="E77" s="181">
        <f t="shared" si="2"/>
        <v>0</v>
      </c>
      <c r="F77" s="204" t="s">
        <v>617</v>
      </c>
    </row>
    <row r="78" spans="1:6" ht="20" customHeight="1" x14ac:dyDescent="0.35">
      <c r="A78" s="170" t="s">
        <v>618</v>
      </c>
      <c r="B78" s="238"/>
      <c r="C78" s="232">
        <f t="shared" si="0"/>
        <v>0</v>
      </c>
      <c r="D78" s="232">
        <f t="shared" si="1"/>
        <v>0</v>
      </c>
      <c r="E78" s="182">
        <f t="shared" si="2"/>
        <v>0</v>
      </c>
      <c r="F78" s="203" t="s">
        <v>619</v>
      </c>
    </row>
    <row r="79" spans="1:6" ht="20" customHeight="1" x14ac:dyDescent="0.35">
      <c r="A79" s="173" t="s">
        <v>620</v>
      </c>
      <c r="B79" s="239"/>
      <c r="C79" s="233">
        <f t="shared" si="0"/>
        <v>0</v>
      </c>
      <c r="D79" s="233">
        <f t="shared" si="1"/>
        <v>0</v>
      </c>
      <c r="E79" s="181">
        <f t="shared" si="2"/>
        <v>0</v>
      </c>
      <c r="F79" s="204" t="s">
        <v>621</v>
      </c>
    </row>
    <row r="80" spans="1:6" ht="20" customHeight="1" x14ac:dyDescent="0.35">
      <c r="A80" s="170" t="s">
        <v>622</v>
      </c>
      <c r="B80" s="238"/>
      <c r="C80" s="232">
        <f t="shared" si="0"/>
        <v>0</v>
      </c>
      <c r="D80" s="232">
        <f t="shared" si="1"/>
        <v>0</v>
      </c>
      <c r="E80" s="182">
        <f t="shared" si="2"/>
        <v>0</v>
      </c>
      <c r="F80" s="203" t="s">
        <v>623</v>
      </c>
    </row>
    <row r="81" spans="1:6" ht="20" customHeight="1" x14ac:dyDescent="0.35">
      <c r="A81" s="179" t="s">
        <v>624</v>
      </c>
      <c r="B81" s="240"/>
      <c r="C81" s="234">
        <f t="shared" si="0"/>
        <v>0</v>
      </c>
      <c r="D81" s="234">
        <f t="shared" si="1"/>
        <v>0</v>
      </c>
      <c r="E81" s="200">
        <f t="shared" si="2"/>
        <v>0</v>
      </c>
      <c r="F81" s="208" t="s">
        <v>625</v>
      </c>
    </row>
    <row r="82" spans="1:6" ht="26" customHeight="1" thickBot="1" x14ac:dyDescent="0.5">
      <c r="A82" s="185" t="s">
        <v>626</v>
      </c>
      <c r="B82" s="241">
        <f>SUM(B71:B81)</f>
        <v>0</v>
      </c>
      <c r="C82" s="242">
        <f>SUM(C71:C81)</f>
        <v>0</v>
      </c>
      <c r="D82" s="242">
        <f>SUM(D71:D81)</f>
        <v>0</v>
      </c>
      <c r="E82" s="201">
        <v>1</v>
      </c>
      <c r="F82" s="209" t="s">
        <v>627</v>
      </c>
    </row>
    <row r="83" spans="1:6" ht="15" customHeight="1" thickTop="1" x14ac:dyDescent="0.45">
      <c r="A83" s="4"/>
      <c r="B83" s="4"/>
      <c r="C83" s="165"/>
      <c r="D83" s="165"/>
      <c r="E83" s="4"/>
      <c r="F83" s="165"/>
    </row>
    <row r="84" spans="1:6" ht="28" customHeight="1" x14ac:dyDescent="0.35">
      <c r="A84" s="314" t="s">
        <v>628</v>
      </c>
      <c r="B84" s="315"/>
      <c r="C84" s="315"/>
      <c r="D84" s="315"/>
      <c r="E84" s="315"/>
      <c r="F84" s="315"/>
    </row>
    <row r="85" spans="1:6" ht="22" customHeight="1" x14ac:dyDescent="0.35">
      <c r="A85" s="319" t="s">
        <v>714</v>
      </c>
      <c r="B85" s="319"/>
      <c r="C85" s="319"/>
      <c r="D85" s="319"/>
      <c r="E85" s="319"/>
      <c r="F85" s="319"/>
    </row>
    <row r="86" spans="1:6" ht="22" customHeight="1" x14ac:dyDescent="0.35">
      <c r="A86" s="161" t="s">
        <v>411</v>
      </c>
      <c r="B86" s="161" t="s">
        <v>629</v>
      </c>
      <c r="C86" s="161" t="s">
        <v>374</v>
      </c>
      <c r="D86" s="161" t="s">
        <v>630</v>
      </c>
      <c r="E86" s="161" t="s">
        <v>715</v>
      </c>
      <c r="F86" s="161" t="s">
        <v>716</v>
      </c>
    </row>
    <row r="87" spans="1:6" ht="20" customHeight="1" x14ac:dyDescent="0.35">
      <c r="A87" s="2" t="s">
        <v>631</v>
      </c>
      <c r="B87" s="2" t="s">
        <v>632</v>
      </c>
      <c r="C87" s="224" t="s">
        <v>633</v>
      </c>
      <c r="D87" s="224" t="s">
        <v>633</v>
      </c>
      <c r="E87" s="2" t="s">
        <v>717</v>
      </c>
      <c r="F87" s="2" t="s">
        <v>634</v>
      </c>
    </row>
    <row r="88" spans="1:6" ht="20" customHeight="1" x14ac:dyDescent="0.35">
      <c r="A88" s="162" t="s">
        <v>351</v>
      </c>
      <c r="B88" s="162" t="s">
        <v>635</v>
      </c>
      <c r="C88" s="223" t="s">
        <v>636</v>
      </c>
      <c r="D88" s="223" t="s">
        <v>637</v>
      </c>
      <c r="E88" s="162" t="s">
        <v>718</v>
      </c>
      <c r="F88" s="162" t="s">
        <v>638</v>
      </c>
    </row>
    <row r="89" spans="1:6" ht="20" customHeight="1" x14ac:dyDescent="0.35">
      <c r="A89" s="2" t="s">
        <v>639</v>
      </c>
      <c r="B89" s="2" t="s">
        <v>640</v>
      </c>
      <c r="C89" s="224" t="s">
        <v>641</v>
      </c>
      <c r="D89" s="224" t="s">
        <v>92</v>
      </c>
      <c r="E89" s="2" t="s">
        <v>719</v>
      </c>
      <c r="F89" s="2" t="s">
        <v>642</v>
      </c>
    </row>
    <row r="90" spans="1:6" ht="20" customHeight="1" x14ac:dyDescent="0.35">
      <c r="A90" s="162" t="s">
        <v>655</v>
      </c>
      <c r="B90" s="162" t="s">
        <v>656</v>
      </c>
      <c r="C90" s="225">
        <v>0.03</v>
      </c>
      <c r="D90" s="225">
        <v>0</v>
      </c>
      <c r="E90" s="162" t="s">
        <v>720</v>
      </c>
      <c r="F90" s="162" t="s">
        <v>657</v>
      </c>
    </row>
    <row r="91" spans="1:6" ht="20" customHeight="1" x14ac:dyDescent="0.35">
      <c r="A91" s="2" t="s">
        <v>662</v>
      </c>
      <c r="B91" s="2" t="s">
        <v>663</v>
      </c>
      <c r="C91" s="224" t="s">
        <v>664</v>
      </c>
      <c r="D91" s="224" t="s">
        <v>665</v>
      </c>
      <c r="E91" s="2" t="s">
        <v>721</v>
      </c>
      <c r="F91" s="2" t="s">
        <v>666</v>
      </c>
    </row>
    <row r="92" spans="1:6" ht="8" customHeight="1" x14ac:dyDescent="0.35">
      <c r="F92"/>
    </row>
    <row r="93" spans="1:6" ht="22" customHeight="1" x14ac:dyDescent="0.35">
      <c r="A93" s="319" t="s">
        <v>722</v>
      </c>
      <c r="B93" s="319"/>
      <c r="C93" s="319"/>
      <c r="D93" s="319"/>
      <c r="E93" s="319"/>
      <c r="F93" s="319"/>
    </row>
    <row r="94" spans="1:6" ht="22" customHeight="1" x14ac:dyDescent="0.35">
      <c r="A94" s="161" t="s">
        <v>411</v>
      </c>
      <c r="B94" s="161" t="s">
        <v>629</v>
      </c>
      <c r="C94" s="161" t="s">
        <v>374</v>
      </c>
      <c r="D94" s="161" t="s">
        <v>630</v>
      </c>
      <c r="E94" s="161" t="s">
        <v>715</v>
      </c>
      <c r="F94" s="161" t="s">
        <v>716</v>
      </c>
    </row>
    <row r="95" spans="1:6" ht="20" customHeight="1" x14ac:dyDescent="0.35">
      <c r="A95" s="2" t="s">
        <v>644</v>
      </c>
      <c r="B95" s="2" t="s">
        <v>645</v>
      </c>
      <c r="C95" s="226">
        <v>0.4</v>
      </c>
      <c r="D95" s="226">
        <v>0.5</v>
      </c>
      <c r="E95" s="2" t="s">
        <v>723</v>
      </c>
      <c r="F95" s="2" t="s">
        <v>275</v>
      </c>
    </row>
    <row r="96" spans="1:6" ht="20" customHeight="1" x14ac:dyDescent="0.35">
      <c r="A96" s="162" t="s">
        <v>724</v>
      </c>
      <c r="B96" s="162" t="s">
        <v>669</v>
      </c>
      <c r="C96" s="225">
        <v>0.7</v>
      </c>
      <c r="D96" s="225">
        <v>0.5</v>
      </c>
      <c r="E96" s="162" t="s">
        <v>725</v>
      </c>
      <c r="F96" s="162" t="s">
        <v>670</v>
      </c>
    </row>
    <row r="97" spans="1:6" ht="20" customHeight="1" x14ac:dyDescent="0.35">
      <c r="A97" s="3" t="s">
        <v>687</v>
      </c>
      <c r="B97" s="3" t="s">
        <v>726</v>
      </c>
      <c r="C97" s="230" t="s">
        <v>690</v>
      </c>
      <c r="D97" s="227">
        <v>0</v>
      </c>
      <c r="E97" s="3" t="s">
        <v>727</v>
      </c>
      <c r="F97" s="3" t="s">
        <v>643</v>
      </c>
    </row>
    <row r="98" spans="1:6" ht="20" customHeight="1" x14ac:dyDescent="0.35">
      <c r="A98" s="3" t="s">
        <v>728</v>
      </c>
      <c r="B98" s="3" t="s">
        <v>671</v>
      </c>
      <c r="C98" s="227">
        <v>0.15</v>
      </c>
      <c r="D98" s="227">
        <v>0</v>
      </c>
      <c r="E98" s="3" t="s">
        <v>729</v>
      </c>
      <c r="F98" s="3" t="s">
        <v>672</v>
      </c>
    </row>
    <row r="99" spans="1:6" ht="20" customHeight="1" x14ac:dyDescent="0.35">
      <c r="A99" s="3" t="s">
        <v>688</v>
      </c>
      <c r="B99" s="3" t="s">
        <v>689</v>
      </c>
      <c r="C99" s="230" t="s">
        <v>690</v>
      </c>
      <c r="D99" s="227">
        <v>0</v>
      </c>
      <c r="E99" s="3" t="s">
        <v>730</v>
      </c>
      <c r="F99" s="3" t="s">
        <v>275</v>
      </c>
    </row>
    <row r="100" spans="1:6" ht="20" customHeight="1" x14ac:dyDescent="0.35">
      <c r="A100" s="218" t="s">
        <v>731</v>
      </c>
      <c r="B100" s="218" t="s">
        <v>732</v>
      </c>
      <c r="C100" s="228" t="s">
        <v>733</v>
      </c>
      <c r="D100" s="228" t="s">
        <v>694</v>
      </c>
      <c r="E100" s="218" t="s">
        <v>734</v>
      </c>
      <c r="F100" s="218" t="s">
        <v>735</v>
      </c>
    </row>
    <row r="101" spans="1:6" ht="8" customHeight="1" x14ac:dyDescent="0.35">
      <c r="F101"/>
    </row>
    <row r="102" spans="1:6" ht="22" customHeight="1" x14ac:dyDescent="0.35">
      <c r="A102" s="319" t="s">
        <v>736</v>
      </c>
      <c r="B102" s="319"/>
      <c r="C102" s="319"/>
      <c r="D102" s="319"/>
      <c r="E102" s="319"/>
      <c r="F102" s="319"/>
    </row>
    <row r="103" spans="1:6" ht="22" customHeight="1" x14ac:dyDescent="0.35">
      <c r="A103" s="161" t="s">
        <v>411</v>
      </c>
      <c r="B103" s="161" t="s">
        <v>629</v>
      </c>
      <c r="C103" s="161" t="s">
        <v>374</v>
      </c>
      <c r="D103" s="161" t="s">
        <v>630</v>
      </c>
      <c r="E103" s="161" t="s">
        <v>715</v>
      </c>
      <c r="F103" s="161" t="s">
        <v>716</v>
      </c>
    </row>
    <row r="104" spans="1:6" ht="20" customHeight="1" x14ac:dyDescent="0.35">
      <c r="A104" s="2" t="s">
        <v>646</v>
      </c>
      <c r="B104" s="2" t="s">
        <v>647</v>
      </c>
      <c r="C104" s="226">
        <v>0.15</v>
      </c>
      <c r="D104" s="226">
        <v>0.1</v>
      </c>
      <c r="E104" s="2" t="s">
        <v>737</v>
      </c>
      <c r="F104" s="2" t="s">
        <v>648</v>
      </c>
    </row>
    <row r="105" spans="1:6" ht="20" customHeight="1" x14ac:dyDescent="0.35">
      <c r="A105" s="163" t="s">
        <v>738</v>
      </c>
      <c r="B105" s="163" t="s">
        <v>699</v>
      </c>
      <c r="C105" s="229" t="s">
        <v>700</v>
      </c>
      <c r="D105" s="229" t="s">
        <v>701</v>
      </c>
      <c r="E105" s="163" t="s">
        <v>739</v>
      </c>
      <c r="F105" s="163" t="s">
        <v>740</v>
      </c>
    </row>
    <row r="106" spans="1:6" ht="20" customHeight="1" x14ac:dyDescent="0.35">
      <c r="A106" s="3" t="s">
        <v>698</v>
      </c>
      <c r="B106" s="3" t="s">
        <v>741</v>
      </c>
      <c r="C106" s="230" t="s">
        <v>693</v>
      </c>
      <c r="D106" s="230" t="s">
        <v>694</v>
      </c>
      <c r="E106" s="3" t="s">
        <v>742</v>
      </c>
      <c r="F106" s="3" t="s">
        <v>710</v>
      </c>
    </row>
    <row r="107" spans="1:6" ht="20" customHeight="1" x14ac:dyDescent="0.35">
      <c r="A107" s="218" t="s">
        <v>649</v>
      </c>
      <c r="B107" s="218" t="s">
        <v>709</v>
      </c>
      <c r="C107" s="228" t="s">
        <v>733</v>
      </c>
      <c r="D107" s="228" t="s">
        <v>92</v>
      </c>
      <c r="E107" s="218" t="s">
        <v>743</v>
      </c>
      <c r="F107" s="218" t="s">
        <v>651</v>
      </c>
    </row>
    <row r="108" spans="1:6" ht="20" customHeight="1" x14ac:dyDescent="0.35">
      <c r="A108" s="218" t="s">
        <v>702</v>
      </c>
      <c r="B108" s="218" t="s">
        <v>744</v>
      </c>
      <c r="C108" s="228" t="s">
        <v>733</v>
      </c>
      <c r="D108" s="228" t="s">
        <v>92</v>
      </c>
      <c r="E108" s="218" t="s">
        <v>745</v>
      </c>
      <c r="F108" s="218" t="s">
        <v>746</v>
      </c>
    </row>
    <row r="109" spans="1:6" ht="20" customHeight="1" x14ac:dyDescent="0.35">
      <c r="A109" s="3" t="s">
        <v>747</v>
      </c>
      <c r="B109" s="3" t="s">
        <v>748</v>
      </c>
      <c r="C109" s="230" t="s">
        <v>650</v>
      </c>
      <c r="D109" s="230" t="s">
        <v>92</v>
      </c>
      <c r="E109" s="3" t="s">
        <v>749</v>
      </c>
      <c r="F109" s="3" t="s">
        <v>712</v>
      </c>
    </row>
    <row r="110" spans="1:6" ht="8" customHeight="1" x14ac:dyDescent="0.35">
      <c r="F110"/>
    </row>
    <row r="111" spans="1:6" ht="22" customHeight="1" x14ac:dyDescent="0.35">
      <c r="A111" s="319" t="s">
        <v>750</v>
      </c>
      <c r="B111" s="319"/>
      <c r="C111" s="319"/>
      <c r="D111" s="319"/>
      <c r="E111" s="319"/>
      <c r="F111" s="319"/>
    </row>
    <row r="112" spans="1:6" ht="22" customHeight="1" x14ac:dyDescent="0.35">
      <c r="A112" s="161" t="s">
        <v>411</v>
      </c>
      <c r="B112" s="161" t="s">
        <v>629</v>
      </c>
      <c r="C112" s="161" t="s">
        <v>374</v>
      </c>
      <c r="D112" s="161" t="s">
        <v>630</v>
      </c>
      <c r="E112" s="161" t="s">
        <v>715</v>
      </c>
      <c r="F112" s="161" t="s">
        <v>716</v>
      </c>
    </row>
    <row r="113" spans="1:6" ht="20" customHeight="1" x14ac:dyDescent="0.35">
      <c r="A113" s="218" t="s">
        <v>691</v>
      </c>
      <c r="B113" s="218" t="s">
        <v>692</v>
      </c>
      <c r="C113" s="228" t="s">
        <v>733</v>
      </c>
      <c r="D113" s="228" t="s">
        <v>694</v>
      </c>
      <c r="E113" s="218" t="s">
        <v>751</v>
      </c>
      <c r="F113" s="218" t="s">
        <v>695</v>
      </c>
    </row>
    <row r="114" spans="1:6" ht="20" customHeight="1" x14ac:dyDescent="0.35">
      <c r="A114" s="2" t="s">
        <v>24</v>
      </c>
      <c r="B114" s="2" t="s">
        <v>752</v>
      </c>
      <c r="C114" s="224" t="s">
        <v>667</v>
      </c>
      <c r="D114" s="224" t="s">
        <v>92</v>
      </c>
      <c r="E114" s="2" t="s">
        <v>753</v>
      </c>
      <c r="F114" s="2" t="s">
        <v>668</v>
      </c>
    </row>
    <row r="115" spans="1:6" ht="20" customHeight="1" x14ac:dyDescent="0.35">
      <c r="A115" s="162" t="s">
        <v>53</v>
      </c>
      <c r="B115" s="162" t="s">
        <v>696</v>
      </c>
      <c r="C115" s="223">
        <v>30</v>
      </c>
      <c r="D115" s="223">
        <v>7</v>
      </c>
      <c r="E115" s="162" t="s">
        <v>754</v>
      </c>
      <c r="F115" s="162" t="s">
        <v>697</v>
      </c>
    </row>
    <row r="116" spans="1:6" ht="8" customHeight="1" x14ac:dyDescent="0.35">
      <c r="F116"/>
    </row>
    <row r="117" spans="1:6" ht="22" customHeight="1" x14ac:dyDescent="0.35">
      <c r="A117" s="319" t="s">
        <v>755</v>
      </c>
      <c r="B117" s="319"/>
      <c r="C117" s="319"/>
      <c r="D117" s="319"/>
      <c r="E117" s="319"/>
      <c r="F117" s="319"/>
    </row>
    <row r="118" spans="1:6" ht="22" customHeight="1" x14ac:dyDescent="0.35">
      <c r="A118" s="161" t="s">
        <v>411</v>
      </c>
      <c r="B118" s="161" t="s">
        <v>629</v>
      </c>
      <c r="C118" s="161" t="s">
        <v>374</v>
      </c>
      <c r="D118" s="161" t="s">
        <v>630</v>
      </c>
      <c r="E118" s="161" t="s">
        <v>715</v>
      </c>
      <c r="F118" s="161" t="s">
        <v>716</v>
      </c>
    </row>
    <row r="119" spans="1:6" ht="20" customHeight="1" x14ac:dyDescent="0.35">
      <c r="A119" s="2" t="s">
        <v>756</v>
      </c>
      <c r="B119" s="2" t="s">
        <v>757</v>
      </c>
      <c r="C119" s="224" t="s">
        <v>652</v>
      </c>
      <c r="D119" s="224" t="s">
        <v>653</v>
      </c>
      <c r="E119" s="2" t="s">
        <v>758</v>
      </c>
      <c r="F119" s="2" t="s">
        <v>654</v>
      </c>
    </row>
    <row r="120" spans="1:6" ht="20" customHeight="1" x14ac:dyDescent="0.35">
      <c r="A120" s="162" t="s">
        <v>759</v>
      </c>
      <c r="B120" s="162" t="s">
        <v>658</v>
      </c>
      <c r="C120" s="225">
        <v>0.2</v>
      </c>
      <c r="D120" s="225">
        <v>0.25</v>
      </c>
      <c r="E120" s="162" t="s">
        <v>760</v>
      </c>
      <c r="F120" s="162" t="s">
        <v>659</v>
      </c>
    </row>
    <row r="121" spans="1:6" ht="20" customHeight="1" x14ac:dyDescent="0.35">
      <c r="A121" s="3" t="s">
        <v>706</v>
      </c>
      <c r="B121" s="3" t="s">
        <v>761</v>
      </c>
      <c r="C121" s="230" t="s">
        <v>707</v>
      </c>
      <c r="D121" s="230" t="s">
        <v>708</v>
      </c>
      <c r="E121" s="3" t="s">
        <v>762</v>
      </c>
      <c r="F121" s="3" t="s">
        <v>713</v>
      </c>
    </row>
    <row r="122" spans="1:6" ht="20" customHeight="1" x14ac:dyDescent="0.35">
      <c r="A122" s="2" t="s">
        <v>85</v>
      </c>
      <c r="B122" s="2" t="s">
        <v>703</v>
      </c>
      <c r="C122" s="224">
        <v>90</v>
      </c>
      <c r="D122" s="224" t="s">
        <v>704</v>
      </c>
      <c r="E122" s="2" t="s">
        <v>711</v>
      </c>
      <c r="F122" s="2" t="s">
        <v>705</v>
      </c>
    </row>
    <row r="123" spans="1:6" ht="20" customHeight="1" x14ac:dyDescent="0.35">
      <c r="A123" s="162" t="s">
        <v>660</v>
      </c>
      <c r="B123" s="162" t="s">
        <v>763</v>
      </c>
      <c r="C123" s="223">
        <v>1.8</v>
      </c>
      <c r="D123" s="223">
        <v>1.7</v>
      </c>
      <c r="E123" s="162" t="s">
        <v>764</v>
      </c>
      <c r="F123" s="162" t="s">
        <v>661</v>
      </c>
    </row>
    <row r="124" spans="1:6" ht="10" customHeight="1" x14ac:dyDescent="0.35">
      <c r="F124"/>
    </row>
    <row r="125" spans="1:6" ht="22" customHeight="1" x14ac:dyDescent="0.35">
      <c r="A125" s="318" t="s">
        <v>765</v>
      </c>
      <c r="B125" s="318"/>
      <c r="C125" s="318"/>
      <c r="D125" s="318"/>
      <c r="E125" s="318"/>
      <c r="F125" s="318"/>
    </row>
    <row r="126" spans="1:6" ht="18" customHeight="1" x14ac:dyDescent="0.35">
      <c r="A126" s="219" t="s">
        <v>766</v>
      </c>
      <c r="B126" s="320" t="s">
        <v>767</v>
      </c>
      <c r="C126" s="320"/>
      <c r="D126" s="320"/>
      <c r="E126" s="320"/>
      <c r="F126" s="320"/>
    </row>
    <row r="127" spans="1:6" ht="18" customHeight="1" x14ac:dyDescent="0.35">
      <c r="A127" s="220" t="s">
        <v>768</v>
      </c>
      <c r="B127" s="311" t="s">
        <v>769</v>
      </c>
      <c r="C127" s="311"/>
      <c r="D127" s="311"/>
      <c r="E127" s="311"/>
      <c r="F127" s="311"/>
    </row>
    <row r="128" spans="1:6" ht="18" customHeight="1" x14ac:dyDescent="0.35">
      <c r="A128" s="221" t="s">
        <v>770</v>
      </c>
      <c r="B128" s="312" t="s">
        <v>771</v>
      </c>
      <c r="C128" s="312"/>
      <c r="D128" s="312"/>
      <c r="E128" s="312"/>
      <c r="F128" s="312"/>
    </row>
    <row r="129" spans="1:6" ht="18" customHeight="1" x14ac:dyDescent="0.35">
      <c r="A129" s="222" t="s">
        <v>772</v>
      </c>
      <c r="B129" s="313" t="s">
        <v>773</v>
      </c>
      <c r="C129" s="313"/>
      <c r="D129" s="313"/>
      <c r="E129" s="313"/>
      <c r="F129" s="313"/>
    </row>
    <row r="130" spans="1:6" ht="10" customHeight="1" x14ac:dyDescent="0.35">
      <c r="F130"/>
    </row>
    <row r="131" spans="1:6" ht="28" customHeight="1" x14ac:dyDescent="0.35">
      <c r="A131" s="314" t="s">
        <v>774</v>
      </c>
      <c r="B131" s="315"/>
      <c r="C131" s="315"/>
      <c r="D131" s="315"/>
      <c r="E131" s="315"/>
      <c r="F131" s="315"/>
    </row>
    <row r="132" spans="1:6" ht="22" customHeight="1" x14ac:dyDescent="0.35">
      <c r="A132" s="161" t="s">
        <v>673</v>
      </c>
      <c r="B132" s="161" t="s">
        <v>674</v>
      </c>
      <c r="C132" s="161" t="s">
        <v>297</v>
      </c>
      <c r="D132" s="161" t="s">
        <v>675</v>
      </c>
      <c r="E132" s="161" t="s">
        <v>676</v>
      </c>
      <c r="F132" s="161" t="s">
        <v>121</v>
      </c>
    </row>
    <row r="133" spans="1:6" ht="20" customHeight="1" x14ac:dyDescent="0.35">
      <c r="A133" s="2" t="s">
        <v>677</v>
      </c>
      <c r="B133" s="2" t="s">
        <v>678</v>
      </c>
      <c r="C133" s="224" t="s">
        <v>489</v>
      </c>
      <c r="D133" s="224"/>
      <c r="E133" s="2"/>
      <c r="F133" s="2" t="s">
        <v>375</v>
      </c>
    </row>
    <row r="134" spans="1:6" ht="20" customHeight="1" x14ac:dyDescent="0.35">
      <c r="A134" s="162" t="s">
        <v>281</v>
      </c>
      <c r="B134" s="162" t="s">
        <v>678</v>
      </c>
      <c r="C134" s="223" t="s">
        <v>489</v>
      </c>
      <c r="D134" s="223"/>
      <c r="E134" s="162"/>
      <c r="F134" s="162" t="s">
        <v>375</v>
      </c>
    </row>
    <row r="135" spans="1:6" ht="20" customHeight="1" x14ac:dyDescent="0.35">
      <c r="A135" s="2" t="s">
        <v>679</v>
      </c>
      <c r="B135" s="2" t="s">
        <v>678</v>
      </c>
      <c r="C135" s="224" t="s">
        <v>489</v>
      </c>
      <c r="D135" s="224"/>
      <c r="E135" s="2"/>
      <c r="F135" s="2" t="s">
        <v>375</v>
      </c>
    </row>
    <row r="136" spans="1:6" ht="20" customHeight="1" x14ac:dyDescent="0.35">
      <c r="A136" s="162" t="s">
        <v>282</v>
      </c>
      <c r="B136" s="162" t="s">
        <v>678</v>
      </c>
      <c r="C136" s="223" t="s">
        <v>489</v>
      </c>
      <c r="D136" s="223"/>
      <c r="E136" s="162"/>
      <c r="F136" s="223" t="s">
        <v>375</v>
      </c>
    </row>
    <row r="137" spans="1:6" ht="20" customHeight="1" x14ac:dyDescent="0.35">
      <c r="A137" s="2" t="s">
        <v>680</v>
      </c>
      <c r="B137" s="2" t="s">
        <v>678</v>
      </c>
      <c r="C137" s="224" t="s">
        <v>489</v>
      </c>
      <c r="D137" s="224"/>
      <c r="E137" s="2"/>
      <c r="F137" s="224" t="s">
        <v>375</v>
      </c>
    </row>
    <row r="138" spans="1:6" ht="20" customHeight="1" x14ac:dyDescent="0.35">
      <c r="A138" s="162" t="s">
        <v>681</v>
      </c>
      <c r="B138" s="162" t="s">
        <v>678</v>
      </c>
      <c r="C138" s="223" t="s">
        <v>489</v>
      </c>
      <c r="D138" s="223"/>
      <c r="E138" s="162"/>
      <c r="F138" s="223" t="s">
        <v>375</v>
      </c>
    </row>
    <row r="139" spans="1:6" ht="10" customHeight="1" x14ac:dyDescent="0.35"/>
    <row r="140" spans="1:6" ht="24" customHeight="1" x14ac:dyDescent="0.35">
      <c r="A140" s="316" t="s">
        <v>682</v>
      </c>
      <c r="B140" s="316"/>
      <c r="C140" s="316"/>
      <c r="D140" s="316"/>
      <c r="E140" s="316"/>
      <c r="F140" s="316"/>
    </row>
    <row r="141" spans="1:6" ht="8" customHeight="1" x14ac:dyDescent="0.35"/>
    <row r="142" spans="1:6" ht="24" customHeight="1" x14ac:dyDescent="0.35">
      <c r="A142" s="317" t="s">
        <v>683</v>
      </c>
      <c r="B142" s="317"/>
      <c r="C142" s="317"/>
      <c r="D142" s="317"/>
      <c r="E142" s="317"/>
      <c r="F142" s="317"/>
    </row>
    <row r="143" spans="1:6" ht="8" customHeight="1" x14ac:dyDescent="0.35"/>
    <row r="144" spans="1:6" ht="8" customHeight="1" x14ac:dyDescent="0.35">
      <c r="A144" s="309" t="s">
        <v>775</v>
      </c>
      <c r="B144" s="309"/>
      <c r="C144" s="309"/>
      <c r="D144" s="309"/>
      <c r="E144" s="309"/>
      <c r="F144" s="309"/>
    </row>
    <row r="145" spans="1:6" ht="22" customHeight="1" x14ac:dyDescent="0.35">
      <c r="A145" s="310" t="s">
        <v>684</v>
      </c>
      <c r="B145" s="310"/>
      <c r="C145" s="310"/>
      <c r="D145" s="310"/>
      <c r="E145" s="310"/>
      <c r="F145" s="310"/>
    </row>
    <row r="146" spans="1:6" x14ac:dyDescent="0.35">
      <c r="F146"/>
    </row>
    <row r="147" spans="1:6" x14ac:dyDescent="0.35">
      <c r="F147"/>
    </row>
    <row r="148" spans="1:6" x14ac:dyDescent="0.35">
      <c r="F148"/>
    </row>
    <row r="149" spans="1:6" x14ac:dyDescent="0.35">
      <c r="F149"/>
    </row>
    <row r="150" spans="1:6" x14ac:dyDescent="0.35">
      <c r="F150"/>
    </row>
    <row r="151" spans="1:6" x14ac:dyDescent="0.35">
      <c r="F151"/>
    </row>
    <row r="152" spans="1:6" x14ac:dyDescent="0.35">
      <c r="F152"/>
    </row>
    <row r="153" spans="1:6" x14ac:dyDescent="0.35">
      <c r="F153"/>
    </row>
    <row r="154" spans="1:6" x14ac:dyDescent="0.35">
      <c r="F154"/>
    </row>
    <row r="155" spans="1:6" x14ac:dyDescent="0.35">
      <c r="F155"/>
    </row>
    <row r="156" spans="1:6" x14ac:dyDescent="0.35">
      <c r="F156"/>
    </row>
    <row r="157" spans="1:6" x14ac:dyDescent="0.35">
      <c r="F157"/>
    </row>
    <row r="158" spans="1:6" x14ac:dyDescent="0.35">
      <c r="F158"/>
    </row>
    <row r="159" spans="1:6" x14ac:dyDescent="0.35">
      <c r="F159"/>
    </row>
    <row r="160" spans="1:6" x14ac:dyDescent="0.35">
      <c r="F160"/>
    </row>
  </sheetData>
  <sheetProtection sheet="1" objects="1" scenarios="1"/>
  <mergeCells count="30">
    <mergeCell ref="A55:F55"/>
    <mergeCell ref="A1:F1"/>
    <mergeCell ref="A2:F2"/>
    <mergeCell ref="A3:F3"/>
    <mergeCell ref="A4:F4"/>
    <mergeCell ref="A5:F5"/>
    <mergeCell ref="A7:F7"/>
    <mergeCell ref="A20:F20"/>
    <mergeCell ref="A21:F21"/>
    <mergeCell ref="A31:F31"/>
    <mergeCell ref="A42:F42"/>
    <mergeCell ref="A53:F53"/>
    <mergeCell ref="B126:F126"/>
    <mergeCell ref="A67:F67"/>
    <mergeCell ref="A69:F69"/>
    <mergeCell ref="A84:F84"/>
    <mergeCell ref="A102:F102"/>
    <mergeCell ref="A125:F125"/>
    <mergeCell ref="A85:F85"/>
    <mergeCell ref="A93:F93"/>
    <mergeCell ref="A111:F111"/>
    <mergeCell ref="A117:F117"/>
    <mergeCell ref="A144:F144"/>
    <mergeCell ref="A145:F145"/>
    <mergeCell ref="B127:F127"/>
    <mergeCell ref="B128:F128"/>
    <mergeCell ref="B129:F129"/>
    <mergeCell ref="A131:F131"/>
    <mergeCell ref="A140:F140"/>
    <mergeCell ref="A142:F142"/>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0"/>
  <sheetViews>
    <sheetView showGridLines="0" zoomScaleNormal="100" workbookViewId="0">
      <pane ySplit="7" topLeftCell="A18" activePane="bottomLeft" state="frozen"/>
      <selection pane="bottomLeft" activeCell="C24" sqref="C24"/>
    </sheetView>
  </sheetViews>
  <sheetFormatPr defaultColWidth="8.6328125" defaultRowHeight="14.5" x14ac:dyDescent="0.35"/>
  <cols>
    <col min="1" max="1" width="36.36328125" customWidth="1"/>
    <col min="2" max="3" width="29.08984375" customWidth="1"/>
    <col min="4" max="4" width="25.453125" customWidth="1"/>
    <col min="5" max="5" width="23.6328125" customWidth="1"/>
    <col min="6" max="6" width="32.7265625" customWidth="1"/>
  </cols>
  <sheetData>
    <row r="1" spans="1:6" ht="45" customHeight="1" x14ac:dyDescent="0.35">
      <c r="A1" s="306" t="s">
        <v>372</v>
      </c>
      <c r="B1" s="306"/>
      <c r="C1" s="306"/>
      <c r="D1" s="306"/>
      <c r="E1" s="306"/>
      <c r="F1" s="306"/>
    </row>
    <row r="2" spans="1:6" ht="25" customHeight="1" x14ac:dyDescent="0.35">
      <c r="A2" s="307" t="s">
        <v>373</v>
      </c>
      <c r="B2" s="307"/>
      <c r="C2" s="307"/>
      <c r="D2" s="307"/>
      <c r="E2" s="307"/>
      <c r="F2" s="307"/>
    </row>
    <row r="3" spans="1:6" ht="6" customHeight="1" x14ac:dyDescent="0.35">
      <c r="A3" s="59"/>
      <c r="B3" s="59"/>
      <c r="C3" s="59"/>
      <c r="D3" s="59"/>
      <c r="E3" s="59"/>
      <c r="F3" s="59"/>
    </row>
    <row r="4" spans="1:6" ht="30" customHeight="1" thickBot="1" x14ac:dyDescent="0.4">
      <c r="A4" s="329" t="str">
        <f>IF(AND(ISNUMBER(VALUE(LEFT(D118,FIND("/",D118)-2))),VALUE(LEFT(D118,FIND("/",D118)-2))&gt;0,D79&gt;0,OR(B67&gt;0,C67&gt;0,D67&gt;0)),"✅ ASSESSMENT COMPLETE — Ready for Leadership Review","⚠️ STATUS: TEMPLATE READY — Complete Sections 1-5 to generate Executive Summary")</f>
        <v>⚠️ STATUS: TEMPLATE READY — Complete Sections 1-5 to generate Executive Summary</v>
      </c>
      <c r="B4" s="329"/>
      <c r="C4" s="329"/>
      <c r="D4" s="329"/>
      <c r="E4" s="329"/>
      <c r="F4" s="329"/>
    </row>
    <row r="5" spans="1:6" ht="22" customHeight="1" x14ac:dyDescent="0.35">
      <c r="A5" s="330" t="s">
        <v>0</v>
      </c>
      <c r="B5" s="330"/>
      <c r="C5" s="330"/>
      <c r="D5" s="330"/>
      <c r="E5" s="330"/>
      <c r="F5" s="330"/>
    </row>
    <row r="6" spans="1:6" ht="22" customHeight="1" x14ac:dyDescent="0.35">
      <c r="A6" s="331" t="s">
        <v>1</v>
      </c>
      <c r="B6" s="331"/>
      <c r="C6" s="331"/>
      <c r="D6" s="331"/>
      <c r="E6" s="331"/>
      <c r="F6" s="331"/>
    </row>
    <row r="7" spans="1:6" ht="25" customHeight="1" thickBot="1" x14ac:dyDescent="0.4">
      <c r="A7" s="342" t="s">
        <v>329</v>
      </c>
      <c r="B7" s="343"/>
      <c r="C7" s="343"/>
      <c r="D7" s="343"/>
      <c r="E7" s="343"/>
      <c r="F7" s="343"/>
    </row>
    <row r="8" spans="1:6" ht="32" customHeight="1" x14ac:dyDescent="0.35">
      <c r="A8" s="332" t="s">
        <v>2</v>
      </c>
      <c r="B8" s="333"/>
      <c r="C8" s="333"/>
      <c r="D8" s="333"/>
      <c r="E8" s="333"/>
      <c r="F8" s="334"/>
    </row>
    <row r="9" spans="1:6" ht="28" customHeight="1" x14ac:dyDescent="0.35">
      <c r="A9" s="36" t="s">
        <v>3</v>
      </c>
      <c r="B9" s="8" t="s">
        <v>4</v>
      </c>
      <c r="C9" s="8" t="s">
        <v>5</v>
      </c>
      <c r="D9" s="8" t="s">
        <v>6</v>
      </c>
      <c r="E9" s="8" t="s">
        <v>7</v>
      </c>
      <c r="F9" s="43" t="s">
        <v>379</v>
      </c>
    </row>
    <row r="10" spans="1:6" ht="22" customHeight="1" x14ac:dyDescent="0.35">
      <c r="A10" s="118"/>
      <c r="B10" s="119"/>
      <c r="C10" s="119"/>
      <c r="D10" s="120"/>
      <c r="E10" s="120"/>
      <c r="F10" s="121"/>
    </row>
    <row r="11" spans="1:6" ht="22" customHeight="1" x14ac:dyDescent="0.35">
      <c r="A11" s="122"/>
      <c r="B11" s="123"/>
      <c r="C11" s="123"/>
      <c r="D11" s="124"/>
      <c r="E11" s="124"/>
      <c r="F11" s="125"/>
    </row>
    <row r="12" spans="1:6" ht="22" customHeight="1" x14ac:dyDescent="0.35">
      <c r="A12" s="126"/>
      <c r="B12" s="127"/>
      <c r="C12" s="127"/>
      <c r="D12" s="128"/>
      <c r="E12" s="128"/>
      <c r="F12" s="129"/>
    </row>
    <row r="13" spans="1:6" ht="22" customHeight="1" x14ac:dyDescent="0.35">
      <c r="A13" s="122"/>
      <c r="B13" s="123"/>
      <c r="C13" s="123"/>
      <c r="D13" s="124"/>
      <c r="E13" s="124"/>
      <c r="F13" s="125"/>
    </row>
    <row r="14" spans="1:6" ht="22" customHeight="1" x14ac:dyDescent="0.35">
      <c r="A14" s="126"/>
      <c r="B14" s="127"/>
      <c r="C14" s="127"/>
      <c r="D14" s="128"/>
      <c r="E14" s="128"/>
      <c r="F14" s="129"/>
    </row>
    <row r="15" spans="1:6" ht="22" customHeight="1" x14ac:dyDescent="0.35">
      <c r="A15" s="122"/>
      <c r="B15" s="123"/>
      <c r="C15" s="123"/>
      <c r="D15" s="124"/>
      <c r="E15" s="124"/>
      <c r="F15" s="125"/>
    </row>
    <row r="16" spans="1:6" ht="22" customHeight="1" x14ac:dyDescent="0.35">
      <c r="A16" s="130"/>
      <c r="B16" s="131"/>
      <c r="C16" s="131"/>
      <c r="D16" s="132"/>
      <c r="E16" s="132"/>
      <c r="F16" s="133"/>
    </row>
    <row r="17" spans="1:6" ht="26" customHeight="1" x14ac:dyDescent="0.35">
      <c r="A17" s="40"/>
      <c r="B17" s="14"/>
      <c r="C17" s="14"/>
      <c r="D17" s="15" t="s">
        <v>380</v>
      </c>
      <c r="E17" s="14"/>
      <c r="F17" s="44" t="s">
        <v>379</v>
      </c>
    </row>
    <row r="18" spans="1:6" ht="22" customHeight="1" x14ac:dyDescent="0.35">
      <c r="A18" s="134" t="s">
        <v>433</v>
      </c>
      <c r="B18" s="135" t="s">
        <v>434</v>
      </c>
      <c r="C18" s="135" t="s">
        <v>435</v>
      </c>
      <c r="D18" s="136" t="s">
        <v>436</v>
      </c>
      <c r="E18" s="135" t="s">
        <v>437</v>
      </c>
      <c r="F18" s="137" t="s">
        <v>440</v>
      </c>
    </row>
    <row r="19" spans="1:6" ht="22" customHeight="1" x14ac:dyDescent="0.35">
      <c r="A19" s="335" t="s">
        <v>433</v>
      </c>
      <c r="B19" s="336"/>
      <c r="C19" s="336"/>
      <c r="D19" s="337"/>
      <c r="E19" s="336"/>
      <c r="F19" s="338"/>
    </row>
    <row r="20" spans="1:6" ht="22" customHeight="1" x14ac:dyDescent="0.35">
      <c r="A20" s="138" t="s">
        <v>433</v>
      </c>
      <c r="B20" s="139" t="s">
        <v>434</v>
      </c>
      <c r="C20" s="139" t="s">
        <v>435</v>
      </c>
      <c r="D20" s="139" t="s">
        <v>436</v>
      </c>
      <c r="E20" s="139" t="s">
        <v>437</v>
      </c>
      <c r="F20" s="140" t="s">
        <v>440</v>
      </c>
    </row>
    <row r="21" spans="1:6" ht="32" x14ac:dyDescent="0.35">
      <c r="A21" s="41" t="s">
        <v>12</v>
      </c>
      <c r="B21" s="10" t="s">
        <v>13</v>
      </c>
      <c r="C21" s="10" t="s">
        <v>14</v>
      </c>
      <c r="D21" s="141"/>
      <c r="E21" s="142"/>
      <c r="F21" s="143"/>
    </row>
    <row r="22" spans="1:6" ht="29" customHeight="1" x14ac:dyDescent="0.35">
      <c r="A22" s="39" t="s">
        <v>15</v>
      </c>
      <c r="B22" s="13" t="s">
        <v>16</v>
      </c>
      <c r="C22" s="13"/>
      <c r="D22" s="128"/>
      <c r="E22" s="127"/>
      <c r="F22" s="129"/>
    </row>
    <row r="23" spans="1:6" ht="22" customHeight="1" x14ac:dyDescent="0.35">
      <c r="A23" s="38" t="s">
        <v>17</v>
      </c>
      <c r="B23" s="11" t="s">
        <v>18</v>
      </c>
      <c r="C23" s="11"/>
      <c r="D23" s="124"/>
      <c r="E23" s="123"/>
      <c r="F23" s="125"/>
    </row>
    <row r="24" spans="1:6" ht="16" x14ac:dyDescent="0.35">
      <c r="A24" s="42" t="s">
        <v>19</v>
      </c>
      <c r="B24" s="12" t="s">
        <v>20</v>
      </c>
      <c r="C24" s="12"/>
      <c r="D24" s="132"/>
      <c r="E24" s="131"/>
      <c r="F24" s="133"/>
    </row>
    <row r="25" spans="1:6" ht="22" customHeight="1" thickBot="1" x14ac:dyDescent="0.4">
      <c r="A25" s="60"/>
      <c r="B25" s="61"/>
      <c r="C25" s="61"/>
      <c r="D25" s="61"/>
      <c r="E25" s="61"/>
      <c r="F25" s="62"/>
    </row>
    <row r="26" spans="1:6" ht="28" customHeight="1" x14ac:dyDescent="0.35">
      <c r="A26" s="339" t="s">
        <v>21</v>
      </c>
      <c r="B26" s="340"/>
      <c r="C26" s="340"/>
      <c r="D26" s="340"/>
      <c r="E26" s="340"/>
      <c r="F26" s="341"/>
    </row>
    <row r="27" spans="1:6" ht="26" customHeight="1" x14ac:dyDescent="0.35">
      <c r="A27" s="36" t="s">
        <v>22</v>
      </c>
      <c r="B27" s="8" t="s">
        <v>9</v>
      </c>
      <c r="C27" s="8" t="s">
        <v>23</v>
      </c>
      <c r="D27" s="8" t="s">
        <v>24</v>
      </c>
      <c r="E27" s="8" t="s">
        <v>10</v>
      </c>
      <c r="F27" s="43" t="s">
        <v>8</v>
      </c>
    </row>
    <row r="28" spans="1:6" ht="29.5" customHeight="1" x14ac:dyDescent="0.35">
      <c r="A28" s="37" t="s">
        <v>25</v>
      </c>
      <c r="B28" s="9" t="s">
        <v>26</v>
      </c>
      <c r="C28" s="9" t="s">
        <v>27</v>
      </c>
      <c r="D28" s="18" t="s">
        <v>28</v>
      </c>
      <c r="E28" s="119"/>
      <c r="F28" s="121"/>
    </row>
    <row r="29" spans="1:6" ht="32" x14ac:dyDescent="0.35">
      <c r="A29" s="38" t="s">
        <v>29</v>
      </c>
      <c r="B29" s="11" t="s">
        <v>145</v>
      </c>
      <c r="C29" s="11" t="s">
        <v>377</v>
      </c>
      <c r="D29" s="19" t="s">
        <v>28</v>
      </c>
      <c r="E29" s="123"/>
      <c r="F29" s="125"/>
    </row>
    <row r="30" spans="1:6" ht="22" customHeight="1" x14ac:dyDescent="0.35">
      <c r="A30" s="39" t="s">
        <v>31</v>
      </c>
      <c r="B30" s="13" t="s">
        <v>32</v>
      </c>
      <c r="C30" s="13" t="s">
        <v>33</v>
      </c>
      <c r="D30" s="20"/>
      <c r="E30" s="127"/>
      <c r="F30" s="129"/>
    </row>
    <row r="31" spans="1:6" ht="32" x14ac:dyDescent="0.35">
      <c r="A31" s="38" t="s">
        <v>34</v>
      </c>
      <c r="B31" s="11" t="s">
        <v>35</v>
      </c>
      <c r="C31" s="11" t="s">
        <v>33</v>
      </c>
      <c r="D31" s="19"/>
      <c r="E31" s="123"/>
      <c r="F31" s="125"/>
    </row>
    <row r="32" spans="1:6" ht="22" customHeight="1" x14ac:dyDescent="0.35">
      <c r="A32" s="42" t="s">
        <v>36</v>
      </c>
      <c r="B32" s="12" t="s">
        <v>37</v>
      </c>
      <c r="C32" s="12" t="s">
        <v>30</v>
      </c>
      <c r="D32" s="21"/>
      <c r="E32" s="131"/>
      <c r="F32" s="133"/>
    </row>
    <row r="33" spans="1:6" ht="22" customHeight="1" thickBot="1" x14ac:dyDescent="0.4">
      <c r="A33" s="60"/>
      <c r="B33" s="61"/>
      <c r="C33" s="61"/>
      <c r="D33" s="61"/>
      <c r="E33" s="61"/>
      <c r="F33" s="62"/>
    </row>
    <row r="34" spans="1:6" ht="28" customHeight="1" x14ac:dyDescent="0.35">
      <c r="A34" s="339" t="s">
        <v>38</v>
      </c>
      <c r="B34" s="340"/>
      <c r="C34" s="340"/>
      <c r="D34" s="340"/>
      <c r="E34" s="340"/>
      <c r="F34" s="341"/>
    </row>
    <row r="35" spans="1:6" ht="26" customHeight="1" x14ac:dyDescent="0.35">
      <c r="A35" s="36" t="s">
        <v>39</v>
      </c>
      <c r="B35" s="8" t="s">
        <v>9</v>
      </c>
      <c r="C35" s="8" t="s">
        <v>40</v>
      </c>
      <c r="D35" s="8" t="s">
        <v>328</v>
      </c>
      <c r="E35" s="8" t="s">
        <v>41</v>
      </c>
      <c r="F35" s="43" t="s">
        <v>8</v>
      </c>
    </row>
    <row r="36" spans="1:6" ht="22" customHeight="1" x14ac:dyDescent="0.35">
      <c r="A36" s="37" t="s">
        <v>42</v>
      </c>
      <c r="B36" s="9" t="s">
        <v>43</v>
      </c>
      <c r="C36" s="18" t="s">
        <v>44</v>
      </c>
      <c r="D36" s="262"/>
      <c r="E36" s="119"/>
      <c r="F36" s="121"/>
    </row>
    <row r="37" spans="1:6" ht="22" customHeight="1" x14ac:dyDescent="0.35">
      <c r="A37" s="38" t="s">
        <v>45</v>
      </c>
      <c r="B37" s="11" t="s">
        <v>46</v>
      </c>
      <c r="C37" s="19" t="s">
        <v>47</v>
      </c>
      <c r="D37" s="263"/>
      <c r="E37" s="123"/>
      <c r="F37" s="125"/>
    </row>
    <row r="38" spans="1:6" ht="22" customHeight="1" x14ac:dyDescent="0.35">
      <c r="A38" s="39" t="s">
        <v>48</v>
      </c>
      <c r="B38" s="13" t="s">
        <v>49</v>
      </c>
      <c r="C38" s="20" t="s">
        <v>50</v>
      </c>
      <c r="D38" s="264"/>
      <c r="E38" s="127"/>
      <c r="F38" s="129"/>
    </row>
    <row r="39" spans="1:6" ht="22" customHeight="1" x14ac:dyDescent="0.35">
      <c r="A39" s="38" t="s">
        <v>51</v>
      </c>
      <c r="B39" s="11" t="s">
        <v>52</v>
      </c>
      <c r="C39" s="19" t="s">
        <v>51</v>
      </c>
      <c r="D39" s="263"/>
      <c r="E39" s="123"/>
      <c r="F39" s="125"/>
    </row>
    <row r="40" spans="1:6" ht="22" customHeight="1" x14ac:dyDescent="0.35">
      <c r="A40" s="42" t="s">
        <v>53</v>
      </c>
      <c r="B40" s="12" t="s">
        <v>54</v>
      </c>
      <c r="C40" s="21" t="s">
        <v>53</v>
      </c>
      <c r="D40" s="265"/>
      <c r="E40" s="131"/>
      <c r="F40" s="133"/>
    </row>
    <row r="41" spans="1:6" ht="22" customHeight="1" thickBot="1" x14ac:dyDescent="0.4">
      <c r="A41" s="63"/>
      <c r="B41" s="64"/>
      <c r="C41" s="64"/>
      <c r="D41" s="64"/>
      <c r="E41" s="64"/>
      <c r="F41" s="65"/>
    </row>
    <row r="42" spans="1:6" ht="10" customHeight="1" thickBot="1" x14ac:dyDescent="0.4">
      <c r="A42" s="66"/>
      <c r="B42" s="67"/>
      <c r="C42" s="67"/>
      <c r="D42" s="67"/>
      <c r="E42" s="67"/>
      <c r="F42" s="67"/>
    </row>
    <row r="43" spans="1:6" ht="32" customHeight="1" x14ac:dyDescent="0.35">
      <c r="A43" s="332" t="s">
        <v>55</v>
      </c>
      <c r="B43" s="333"/>
      <c r="C43" s="333"/>
      <c r="D43" s="333"/>
      <c r="E43" s="333"/>
      <c r="F43" s="334"/>
    </row>
    <row r="44" spans="1:6" ht="22" customHeight="1" x14ac:dyDescent="0.35">
      <c r="A44" s="344" t="s">
        <v>56</v>
      </c>
      <c r="B44" s="345"/>
      <c r="C44" s="345"/>
      <c r="D44" s="345"/>
      <c r="E44" s="345"/>
      <c r="F44" s="346"/>
    </row>
    <row r="45" spans="1:6" ht="28" customHeight="1" x14ac:dyDescent="0.35">
      <c r="A45" s="36" t="s">
        <v>57</v>
      </c>
      <c r="B45" s="8" t="s">
        <v>58</v>
      </c>
      <c r="C45" s="8" t="s">
        <v>59</v>
      </c>
      <c r="D45" s="8" t="s">
        <v>60</v>
      </c>
      <c r="E45" s="8" t="s">
        <v>61</v>
      </c>
      <c r="F45" s="146" t="s">
        <v>8</v>
      </c>
    </row>
    <row r="46" spans="1:6" ht="22" customHeight="1" x14ac:dyDescent="0.35">
      <c r="A46" s="37" t="s">
        <v>316</v>
      </c>
      <c r="B46" s="243"/>
      <c r="C46" s="243"/>
      <c r="D46" s="243"/>
      <c r="E46" s="120"/>
      <c r="F46" s="121"/>
    </row>
    <row r="47" spans="1:6" ht="22" customHeight="1" x14ac:dyDescent="0.35">
      <c r="A47" s="38" t="s">
        <v>317</v>
      </c>
      <c r="B47" s="244"/>
      <c r="C47" s="244"/>
      <c r="D47" s="244"/>
      <c r="E47" s="124"/>
      <c r="F47" s="125"/>
    </row>
    <row r="48" spans="1:6" ht="22" customHeight="1" x14ac:dyDescent="0.35">
      <c r="A48" s="39" t="s">
        <v>318</v>
      </c>
      <c r="B48" s="245"/>
      <c r="C48" s="245"/>
      <c r="D48" s="245"/>
      <c r="E48" s="128"/>
      <c r="F48" s="129"/>
    </row>
    <row r="49" spans="1:6" ht="22" customHeight="1" x14ac:dyDescent="0.35">
      <c r="A49" s="38" t="s">
        <v>319</v>
      </c>
      <c r="B49" s="244"/>
      <c r="C49" s="244"/>
      <c r="D49" s="244"/>
      <c r="E49" s="124"/>
      <c r="F49" s="125"/>
    </row>
    <row r="50" spans="1:6" ht="22" customHeight="1" x14ac:dyDescent="0.35">
      <c r="A50" s="47" t="s">
        <v>320</v>
      </c>
      <c r="B50" s="246">
        <f>SUM(B46:B49)</f>
        <v>0</v>
      </c>
      <c r="C50" s="246">
        <f>SUM(C46:C49)</f>
        <v>0</v>
      </c>
      <c r="D50" s="246">
        <f>SUM(D46:D49)</f>
        <v>0</v>
      </c>
      <c r="E50" s="145" t="str">
        <f>IF(AND(B50=0,C50=0,D50=0),"",IF(AND(B50&lt;=C50,B50&lt;=D50),"London",IF(C50&lt;=D50,"Ireland","Frankfurt")))</f>
        <v/>
      </c>
      <c r="F50" s="147"/>
    </row>
    <row r="51" spans="1:6" ht="22" customHeight="1" x14ac:dyDescent="0.35">
      <c r="A51" s="51" t="s">
        <v>62</v>
      </c>
      <c r="B51" s="124"/>
      <c r="C51" s="124"/>
      <c r="D51" s="124"/>
      <c r="E51" s="124"/>
      <c r="F51" s="125"/>
    </row>
    <row r="52" spans="1:6" ht="22" customHeight="1" x14ac:dyDescent="0.35">
      <c r="A52" s="39" t="s">
        <v>63</v>
      </c>
      <c r="B52" s="144"/>
      <c r="C52" s="144"/>
      <c r="D52" s="144"/>
      <c r="E52" s="128"/>
      <c r="F52" s="129"/>
    </row>
    <row r="53" spans="1:6" ht="22" customHeight="1" x14ac:dyDescent="0.35">
      <c r="A53" s="38" t="s">
        <v>64</v>
      </c>
      <c r="B53" s="124"/>
      <c r="C53" s="124"/>
      <c r="D53" s="124"/>
      <c r="E53" s="124"/>
      <c r="F53" s="125" t="s">
        <v>381</v>
      </c>
    </row>
    <row r="54" spans="1:6" ht="22" customHeight="1" x14ac:dyDescent="0.35">
      <c r="A54" s="68"/>
      <c r="B54" s="69" t="s">
        <v>438</v>
      </c>
      <c r="C54" s="69" t="s">
        <v>438</v>
      </c>
      <c r="D54" s="69" t="s">
        <v>438</v>
      </c>
      <c r="E54" s="70"/>
      <c r="F54" s="71"/>
    </row>
    <row r="55" spans="1:6" ht="26" customHeight="1" thickBot="1" x14ac:dyDescent="0.4">
      <c r="A55" s="48" t="s">
        <v>65</v>
      </c>
      <c r="B55" s="148" t="str">
        <f>IF(AND(B50=0,C50=0,D50=0),"[Enter Cost Data]",IF(AND(B50&lt;=C50,B50&lt;=D50),"eu-west-2 (London)",IF(C50&lt;=D50,"eu-west-1 (Ireland)","eu-central-1 (Frankfurt)")))</f>
        <v>[Enter Cost Data]</v>
      </c>
      <c r="C55" s="46"/>
      <c r="D55" s="148" t="s">
        <v>66</v>
      </c>
      <c r="E55" s="45"/>
      <c r="F55" s="49"/>
    </row>
    <row r="56" spans="1:6" ht="8" customHeight="1" x14ac:dyDescent="0.35">
      <c r="A56" s="5"/>
      <c r="B56" s="7"/>
      <c r="C56" s="7"/>
      <c r="D56" s="7"/>
      <c r="E56" s="5"/>
      <c r="F56" s="5"/>
    </row>
    <row r="57" spans="1:6" ht="8" customHeight="1" x14ac:dyDescent="0.35">
      <c r="A57" s="67"/>
      <c r="B57" s="72"/>
      <c r="C57" s="72"/>
      <c r="D57" s="72"/>
      <c r="E57" s="67"/>
      <c r="F57" s="67"/>
    </row>
    <row r="58" spans="1:6" ht="8" customHeight="1" thickBot="1" x14ac:dyDescent="0.4">
      <c r="A58" s="67"/>
      <c r="B58" s="67"/>
      <c r="C58" s="67"/>
      <c r="D58" s="67"/>
      <c r="E58" s="67"/>
      <c r="F58" s="67"/>
    </row>
    <row r="59" spans="1:6" ht="32" customHeight="1" x14ac:dyDescent="0.35">
      <c r="A59" s="332" t="s">
        <v>67</v>
      </c>
      <c r="B59" s="333"/>
      <c r="C59" s="333"/>
      <c r="D59" s="333"/>
      <c r="E59" s="333"/>
      <c r="F59" s="334"/>
    </row>
    <row r="60" spans="1:6" ht="22" customHeight="1" x14ac:dyDescent="0.35">
      <c r="A60" s="347" t="s">
        <v>68</v>
      </c>
      <c r="B60" s="348"/>
      <c r="C60" s="348"/>
      <c r="D60" s="348"/>
      <c r="E60" s="348"/>
      <c r="F60" s="349"/>
    </row>
    <row r="61" spans="1:6" ht="28" customHeight="1" x14ac:dyDescent="0.35">
      <c r="A61" s="36" t="s">
        <v>69</v>
      </c>
      <c r="B61" s="8" t="s">
        <v>321</v>
      </c>
      <c r="C61" s="8" t="s">
        <v>322</v>
      </c>
      <c r="D61" s="8" t="s">
        <v>323</v>
      </c>
      <c r="E61" s="8" t="s">
        <v>70</v>
      </c>
      <c r="F61" s="43" t="s">
        <v>8</v>
      </c>
    </row>
    <row r="62" spans="1:6" ht="22" customHeight="1" x14ac:dyDescent="0.35">
      <c r="A62" s="37" t="s">
        <v>382</v>
      </c>
      <c r="B62" s="243"/>
      <c r="C62" s="243"/>
      <c r="D62" s="243"/>
      <c r="E62" s="120"/>
      <c r="F62" s="121" t="s">
        <v>383</v>
      </c>
    </row>
    <row r="63" spans="1:6" ht="22" customHeight="1" x14ac:dyDescent="0.35">
      <c r="A63" s="38" t="s">
        <v>71</v>
      </c>
      <c r="B63" s="244"/>
      <c r="C63" s="244"/>
      <c r="D63" s="244"/>
      <c r="E63" s="124"/>
      <c r="F63" s="125"/>
    </row>
    <row r="64" spans="1:6" ht="22" customHeight="1" x14ac:dyDescent="0.35">
      <c r="A64" s="39" t="s">
        <v>72</v>
      </c>
      <c r="B64" s="245"/>
      <c r="C64" s="245"/>
      <c r="D64" s="245"/>
      <c r="E64" s="128"/>
      <c r="F64" s="129"/>
    </row>
    <row r="65" spans="1:6" ht="22" customHeight="1" x14ac:dyDescent="0.35">
      <c r="A65" s="38" t="s">
        <v>73</v>
      </c>
      <c r="B65" s="244"/>
      <c r="C65" s="244"/>
      <c r="D65" s="244"/>
      <c r="E65" s="124"/>
      <c r="F65" s="125"/>
    </row>
    <row r="66" spans="1:6" ht="22" customHeight="1" x14ac:dyDescent="0.35">
      <c r="A66" s="42" t="s">
        <v>74</v>
      </c>
      <c r="B66" s="247"/>
      <c r="C66" s="247"/>
      <c r="D66" s="247"/>
      <c r="E66" s="132"/>
      <c r="F66" s="133"/>
    </row>
    <row r="67" spans="1:6" ht="22" customHeight="1" thickBot="1" x14ac:dyDescent="0.4">
      <c r="A67" s="50" t="s">
        <v>75</v>
      </c>
      <c r="B67" s="248">
        <f>SUM(B62:B66)</f>
        <v>0</v>
      </c>
      <c r="C67" s="248">
        <f>SUM(C62:C66)</f>
        <v>0</v>
      </c>
      <c r="D67" s="248">
        <f>SUM(D62:D66)</f>
        <v>0</v>
      </c>
      <c r="E67" s="24" t="str">
        <f>IF(AND(B67=0,C67=0,D67=0),"",IF(AND(B67&lt;=C67,B67&lt;=D67),"Lift &amp; Shift",IF(C67&lt;=D67,"Replatform","Refactor")))</f>
        <v/>
      </c>
      <c r="F67" s="53"/>
    </row>
    <row r="68" spans="1:6" ht="8" customHeight="1" thickBot="1" x14ac:dyDescent="0.4">
      <c r="A68" s="73"/>
      <c r="B68" s="67"/>
      <c r="C68" s="67"/>
      <c r="D68" s="67"/>
      <c r="E68" s="67"/>
      <c r="F68" s="74"/>
    </row>
    <row r="69" spans="1:6" ht="28" customHeight="1" x14ac:dyDescent="0.35">
      <c r="A69" s="339" t="s">
        <v>76</v>
      </c>
      <c r="B69" s="340"/>
      <c r="C69" s="340"/>
      <c r="D69" s="340"/>
      <c r="E69" s="340"/>
      <c r="F69" s="341"/>
    </row>
    <row r="70" spans="1:6" ht="26" customHeight="1" x14ac:dyDescent="0.35">
      <c r="A70" s="36" t="s">
        <v>77</v>
      </c>
      <c r="B70" s="16" t="s">
        <v>78</v>
      </c>
      <c r="C70" s="16" t="s">
        <v>324</v>
      </c>
      <c r="D70" s="16" t="s">
        <v>325</v>
      </c>
      <c r="E70" s="8" t="s">
        <v>326</v>
      </c>
      <c r="F70" s="43" t="s">
        <v>8</v>
      </c>
    </row>
    <row r="71" spans="1:6" ht="22" customHeight="1" x14ac:dyDescent="0.35">
      <c r="A71" s="41" t="s">
        <v>79</v>
      </c>
      <c r="B71" s="149"/>
      <c r="C71" s="249"/>
      <c r="D71" s="250">
        <f t="shared" ref="D71:D78" si="0">B71*C71</f>
        <v>0</v>
      </c>
      <c r="E71" s="251">
        <f t="shared" ref="E71:E78" si="1">D71*12</f>
        <v>0</v>
      </c>
      <c r="F71" s="143"/>
    </row>
    <row r="72" spans="1:6" ht="22" customHeight="1" x14ac:dyDescent="0.35">
      <c r="A72" s="39" t="s">
        <v>80</v>
      </c>
      <c r="B72" s="150"/>
      <c r="C72" s="252"/>
      <c r="D72" s="253">
        <f t="shared" si="0"/>
        <v>0</v>
      </c>
      <c r="E72" s="254">
        <f t="shared" si="1"/>
        <v>0</v>
      </c>
      <c r="F72" s="129"/>
    </row>
    <row r="73" spans="1:6" ht="22" customHeight="1" x14ac:dyDescent="0.35">
      <c r="A73" s="38" t="s">
        <v>81</v>
      </c>
      <c r="B73" s="151"/>
      <c r="C73" s="255"/>
      <c r="D73" s="256">
        <f t="shared" si="0"/>
        <v>0</v>
      </c>
      <c r="E73" s="257">
        <f t="shared" si="1"/>
        <v>0</v>
      </c>
      <c r="F73" s="125"/>
    </row>
    <row r="74" spans="1:6" ht="22" customHeight="1" x14ac:dyDescent="0.35">
      <c r="A74" s="39" t="s">
        <v>82</v>
      </c>
      <c r="B74" s="150"/>
      <c r="C74" s="252"/>
      <c r="D74" s="253">
        <f t="shared" si="0"/>
        <v>0</v>
      </c>
      <c r="E74" s="254">
        <f t="shared" si="1"/>
        <v>0</v>
      </c>
      <c r="F74" s="129"/>
    </row>
    <row r="75" spans="1:6" ht="22" customHeight="1" x14ac:dyDescent="0.35">
      <c r="A75" s="38" t="s">
        <v>83</v>
      </c>
      <c r="B75" s="152"/>
      <c r="C75" s="244"/>
      <c r="D75" s="257">
        <f t="shared" si="0"/>
        <v>0</v>
      </c>
      <c r="E75" s="257">
        <f t="shared" si="1"/>
        <v>0</v>
      </c>
      <c r="F75" s="125"/>
    </row>
    <row r="76" spans="1:6" ht="22" customHeight="1" x14ac:dyDescent="0.35">
      <c r="A76" s="39" t="s">
        <v>84</v>
      </c>
      <c r="B76" s="153"/>
      <c r="C76" s="245"/>
      <c r="D76" s="254">
        <f t="shared" si="0"/>
        <v>0</v>
      </c>
      <c r="E76" s="254">
        <f t="shared" si="1"/>
        <v>0</v>
      </c>
      <c r="F76" s="129"/>
    </row>
    <row r="77" spans="1:6" ht="22" customHeight="1" x14ac:dyDescent="0.35">
      <c r="A77" s="51" t="s">
        <v>85</v>
      </c>
      <c r="B77" s="152"/>
      <c r="C77" s="244"/>
      <c r="D77" s="257">
        <f t="shared" si="0"/>
        <v>0</v>
      </c>
      <c r="E77" s="257">
        <f t="shared" si="1"/>
        <v>0</v>
      </c>
      <c r="F77" s="125"/>
    </row>
    <row r="78" spans="1:6" ht="22" customHeight="1" x14ac:dyDescent="0.35">
      <c r="A78" s="42" t="s">
        <v>86</v>
      </c>
      <c r="B78" s="154"/>
      <c r="C78" s="247"/>
      <c r="D78" s="258">
        <f t="shared" si="0"/>
        <v>0</v>
      </c>
      <c r="E78" s="258">
        <f t="shared" si="1"/>
        <v>0</v>
      </c>
      <c r="F78" s="133"/>
    </row>
    <row r="79" spans="1:6" ht="22" customHeight="1" thickBot="1" x14ac:dyDescent="0.4">
      <c r="A79" s="50" t="s">
        <v>87</v>
      </c>
      <c r="B79" s="25"/>
      <c r="C79" s="259"/>
      <c r="D79" s="248">
        <f>SUM(D71:D78)</f>
        <v>0</v>
      </c>
      <c r="E79" s="248">
        <f>SUM(E71:E78)</f>
        <v>0</v>
      </c>
      <c r="F79" s="53"/>
    </row>
    <row r="80" spans="1:6" ht="8" customHeight="1" thickBot="1" x14ac:dyDescent="0.4">
      <c r="A80" s="73"/>
      <c r="B80" s="72"/>
      <c r="C80" s="72"/>
      <c r="D80" s="67"/>
      <c r="E80" s="67"/>
      <c r="F80" s="74"/>
    </row>
    <row r="81" spans="1:6" ht="28" customHeight="1" x14ac:dyDescent="0.35">
      <c r="A81" s="339" t="s">
        <v>88</v>
      </c>
      <c r="B81" s="351"/>
      <c r="C81" s="351"/>
      <c r="D81" s="340"/>
      <c r="E81" s="340"/>
      <c r="F81" s="341"/>
    </row>
    <row r="82" spans="1:6" ht="26" customHeight="1" x14ac:dyDescent="0.35">
      <c r="A82" s="36" t="s">
        <v>89</v>
      </c>
      <c r="B82" s="16" t="s">
        <v>325</v>
      </c>
      <c r="C82" s="16" t="s">
        <v>326</v>
      </c>
      <c r="D82" s="8" t="s">
        <v>327</v>
      </c>
      <c r="E82" s="8" t="s">
        <v>90</v>
      </c>
      <c r="F82" s="43" t="s">
        <v>8</v>
      </c>
    </row>
    <row r="83" spans="1:6" ht="22" customHeight="1" x14ac:dyDescent="0.35">
      <c r="A83" s="41" t="s">
        <v>91</v>
      </c>
      <c r="B83" s="249"/>
      <c r="C83" s="249"/>
      <c r="D83" s="260"/>
      <c r="E83" s="17" t="s">
        <v>92</v>
      </c>
      <c r="F83" s="143"/>
    </row>
    <row r="84" spans="1:6" ht="22" customHeight="1" x14ac:dyDescent="0.35">
      <c r="A84" s="39" t="s">
        <v>93</v>
      </c>
      <c r="B84" s="252"/>
      <c r="C84" s="252"/>
      <c r="D84" s="245"/>
      <c r="E84" s="26">
        <f>IFERROR((D83-D84)/D83,0)</f>
        <v>0</v>
      </c>
      <c r="F84" s="129"/>
    </row>
    <row r="85" spans="1:6" ht="22" customHeight="1" x14ac:dyDescent="0.35">
      <c r="A85" s="38" t="s">
        <v>94</v>
      </c>
      <c r="B85" s="255"/>
      <c r="C85" s="255"/>
      <c r="D85" s="244"/>
      <c r="E85" s="28">
        <f>IFERROR((D83-D85)/D83,0)</f>
        <v>0</v>
      </c>
      <c r="F85" s="125"/>
    </row>
    <row r="86" spans="1:6" ht="22" customHeight="1" x14ac:dyDescent="0.35">
      <c r="A86" s="39" t="s">
        <v>95</v>
      </c>
      <c r="B86" s="252"/>
      <c r="C86" s="252"/>
      <c r="D86" s="245"/>
      <c r="E86" s="26">
        <f>IFERROR((D83-D86)/D83,0)</f>
        <v>0</v>
      </c>
      <c r="F86" s="129"/>
    </row>
    <row r="87" spans="1:6" ht="22" customHeight="1" x14ac:dyDescent="0.35">
      <c r="A87" s="52" t="s">
        <v>96</v>
      </c>
      <c r="B87" s="261"/>
      <c r="C87" s="261"/>
      <c r="D87" s="261"/>
      <c r="E87" s="27">
        <f>IFERROR((D83-D87)/D83,0)</f>
        <v>0</v>
      </c>
      <c r="F87" s="155"/>
    </row>
    <row r="88" spans="1:6" ht="26" customHeight="1" thickBot="1" x14ac:dyDescent="0.4">
      <c r="A88" s="48" t="s">
        <v>97</v>
      </c>
      <c r="B88" s="156" t="str">
        <f>IF(AND(D84="",D85="",D86="",D87=""),"[Enter Pricing Data]",INDEX(A84:A87,MATCH(MIN(D84:D87),D84:D87,0)))</f>
        <v>[Enter Pricing Data]</v>
      </c>
      <c r="C88" s="45"/>
      <c r="D88" s="156" t="s">
        <v>66</v>
      </c>
      <c r="E88" s="45"/>
      <c r="F88" s="49"/>
    </row>
    <row r="89" spans="1:6" ht="8" customHeight="1" x14ac:dyDescent="0.35">
      <c r="A89" s="6"/>
      <c r="B89" s="5"/>
      <c r="C89" s="5"/>
      <c r="D89" s="5"/>
      <c r="E89" s="5"/>
      <c r="F89" s="5"/>
    </row>
    <row r="90" spans="1:6" ht="8" customHeight="1" thickBot="1" x14ac:dyDescent="0.4">
      <c r="A90" s="67"/>
      <c r="B90" s="67"/>
      <c r="C90" s="67"/>
      <c r="D90" s="67"/>
      <c r="E90" s="67"/>
      <c r="F90" s="67"/>
    </row>
    <row r="91" spans="1:6" ht="32" customHeight="1" x14ac:dyDescent="0.35">
      <c r="A91" s="332" t="s">
        <v>98</v>
      </c>
      <c r="B91" s="333"/>
      <c r="C91" s="333"/>
      <c r="D91" s="333"/>
      <c r="E91" s="333"/>
      <c r="F91" s="334"/>
    </row>
    <row r="92" spans="1:6" ht="28" customHeight="1" x14ac:dyDescent="0.35">
      <c r="A92" s="36" t="s">
        <v>99</v>
      </c>
      <c r="B92" s="8" t="s">
        <v>100</v>
      </c>
      <c r="C92" s="8" t="s">
        <v>101</v>
      </c>
      <c r="D92" s="8" t="s">
        <v>102</v>
      </c>
      <c r="E92" s="8" t="s">
        <v>103</v>
      </c>
      <c r="F92" s="43" t="s">
        <v>11</v>
      </c>
    </row>
    <row r="93" spans="1:6" ht="32" x14ac:dyDescent="0.35">
      <c r="A93" s="41" t="s">
        <v>104</v>
      </c>
      <c r="B93" s="10" t="s">
        <v>105</v>
      </c>
      <c r="C93" s="141"/>
      <c r="D93" s="141"/>
      <c r="E93" s="141"/>
      <c r="F93" s="143"/>
    </row>
    <row r="94" spans="1:6" ht="22" customHeight="1" x14ac:dyDescent="0.35">
      <c r="A94" s="39" t="s">
        <v>106</v>
      </c>
      <c r="B94" s="13" t="s">
        <v>107</v>
      </c>
      <c r="C94" s="128"/>
      <c r="D94" s="128"/>
      <c r="E94" s="128"/>
      <c r="F94" s="129"/>
    </row>
    <row r="95" spans="1:6" ht="22" customHeight="1" x14ac:dyDescent="0.35">
      <c r="A95" s="38" t="s">
        <v>108</v>
      </c>
      <c r="B95" s="11" t="s">
        <v>109</v>
      </c>
      <c r="C95" s="124"/>
      <c r="D95" s="124"/>
      <c r="E95" s="124"/>
      <c r="F95" s="125"/>
    </row>
    <row r="96" spans="1:6" ht="22" customHeight="1" x14ac:dyDescent="0.35">
      <c r="A96" s="39" t="s">
        <v>110</v>
      </c>
      <c r="B96" s="13" t="s">
        <v>111</v>
      </c>
      <c r="C96" s="128"/>
      <c r="D96" s="128"/>
      <c r="E96" s="128"/>
      <c r="F96" s="129"/>
    </row>
    <row r="97" spans="1:6" ht="22" customHeight="1" x14ac:dyDescent="0.35">
      <c r="A97" s="38" t="s">
        <v>112</v>
      </c>
      <c r="B97" s="11" t="s">
        <v>113</v>
      </c>
      <c r="C97" s="124"/>
      <c r="D97" s="124"/>
      <c r="E97" s="124"/>
      <c r="F97" s="125"/>
    </row>
    <row r="98" spans="1:6" ht="22" customHeight="1" x14ac:dyDescent="0.35">
      <c r="A98" s="42" t="s">
        <v>114</v>
      </c>
      <c r="B98" s="12" t="s">
        <v>115</v>
      </c>
      <c r="C98" s="132" t="s">
        <v>116</v>
      </c>
      <c r="D98" s="132"/>
      <c r="E98" s="132"/>
      <c r="F98" s="133"/>
    </row>
    <row r="99" spans="1:6" ht="8" customHeight="1" thickBot="1" x14ac:dyDescent="0.4">
      <c r="A99" s="75"/>
      <c r="B99" s="67"/>
      <c r="C99" s="67"/>
      <c r="D99" s="67"/>
      <c r="E99" s="67"/>
      <c r="F99" s="74"/>
    </row>
    <row r="100" spans="1:6" ht="28" customHeight="1" x14ac:dyDescent="0.35">
      <c r="A100" s="339" t="s">
        <v>117</v>
      </c>
      <c r="B100" s="340"/>
      <c r="C100" s="340"/>
      <c r="D100" s="340"/>
      <c r="E100" s="340"/>
      <c r="F100" s="341"/>
    </row>
    <row r="101" spans="1:6" ht="26" customHeight="1" x14ac:dyDescent="0.35">
      <c r="A101" s="36" t="s">
        <v>118</v>
      </c>
      <c r="B101" s="8" t="s">
        <v>119</v>
      </c>
      <c r="C101" s="8" t="s">
        <v>120</v>
      </c>
      <c r="D101" s="8" t="s">
        <v>11</v>
      </c>
      <c r="E101" s="8" t="s">
        <v>121</v>
      </c>
      <c r="F101" s="43" t="s">
        <v>8</v>
      </c>
    </row>
    <row r="102" spans="1:6" ht="22" customHeight="1" x14ac:dyDescent="0.35">
      <c r="A102" s="37" t="s">
        <v>122</v>
      </c>
      <c r="B102" s="9" t="s">
        <v>123</v>
      </c>
      <c r="C102" s="120"/>
      <c r="D102" s="120"/>
      <c r="E102" s="120"/>
      <c r="F102" s="121"/>
    </row>
    <row r="103" spans="1:6" ht="22" customHeight="1" x14ac:dyDescent="0.35">
      <c r="A103" s="38" t="s">
        <v>124</v>
      </c>
      <c r="B103" s="11" t="s">
        <v>125</v>
      </c>
      <c r="C103" s="124"/>
      <c r="D103" s="124"/>
      <c r="E103" s="124"/>
      <c r="F103" s="125"/>
    </row>
    <row r="104" spans="1:6" ht="22" customHeight="1" x14ac:dyDescent="0.35">
      <c r="A104" s="39" t="s">
        <v>126</v>
      </c>
      <c r="B104" s="13" t="s">
        <v>127</v>
      </c>
      <c r="C104" s="128"/>
      <c r="D104" s="128"/>
      <c r="E104" s="128"/>
      <c r="F104" s="129"/>
    </row>
    <row r="105" spans="1:6" ht="22" customHeight="1" x14ac:dyDescent="0.35">
      <c r="A105" s="38" t="s">
        <v>128</v>
      </c>
      <c r="B105" s="11" t="s">
        <v>129</v>
      </c>
      <c r="C105" s="124"/>
      <c r="D105" s="124"/>
      <c r="E105" s="124"/>
      <c r="F105" s="125"/>
    </row>
    <row r="106" spans="1:6" ht="22" customHeight="1" x14ac:dyDescent="0.35">
      <c r="A106" s="42" t="s">
        <v>130</v>
      </c>
      <c r="B106" s="12" t="s">
        <v>131</v>
      </c>
      <c r="C106" s="132"/>
      <c r="D106" s="132"/>
      <c r="E106" s="132"/>
      <c r="F106" s="133"/>
    </row>
    <row r="107" spans="1:6" ht="32.5" thickBot="1" x14ac:dyDescent="0.4">
      <c r="A107" s="55" t="s">
        <v>384</v>
      </c>
      <c r="B107" s="54" t="s">
        <v>385</v>
      </c>
      <c r="C107" s="157"/>
      <c r="D107" s="157"/>
      <c r="E107" s="157" t="s">
        <v>386</v>
      </c>
      <c r="F107" s="158" t="s">
        <v>387</v>
      </c>
    </row>
    <row r="108" spans="1:6" ht="8" customHeight="1" thickBot="1" x14ac:dyDescent="0.4">
      <c r="A108" s="66"/>
      <c r="B108" s="67"/>
      <c r="C108" s="67"/>
      <c r="D108" s="67"/>
      <c r="E108" s="67"/>
      <c r="F108" s="67"/>
    </row>
    <row r="109" spans="1:6" ht="32" customHeight="1" x14ac:dyDescent="0.35">
      <c r="A109" s="332" t="s">
        <v>132</v>
      </c>
      <c r="B109" s="333"/>
      <c r="C109" s="333"/>
      <c r="D109" s="333"/>
      <c r="E109" s="333"/>
      <c r="F109" s="334"/>
    </row>
    <row r="110" spans="1:6" ht="28" customHeight="1" x14ac:dyDescent="0.35">
      <c r="A110" s="36" t="s">
        <v>57</v>
      </c>
      <c r="B110" s="8" t="s">
        <v>133</v>
      </c>
      <c r="C110" s="8" t="s">
        <v>134</v>
      </c>
      <c r="D110" s="8" t="s">
        <v>135</v>
      </c>
      <c r="E110" s="8" t="s">
        <v>136</v>
      </c>
      <c r="F110" s="43" t="s">
        <v>8</v>
      </c>
    </row>
    <row r="111" spans="1:6" ht="22" customHeight="1" x14ac:dyDescent="0.35">
      <c r="A111" s="41" t="s">
        <v>137</v>
      </c>
      <c r="B111" s="22">
        <v>0.25</v>
      </c>
      <c r="C111" s="141"/>
      <c r="D111" s="23">
        <f t="shared" ref="D111:D117" si="2">IFERROR(B111*C111,0)</f>
        <v>0</v>
      </c>
      <c r="E111" s="142"/>
      <c r="F111" s="143"/>
    </row>
    <row r="112" spans="1:6" ht="22" customHeight="1" x14ac:dyDescent="0.35">
      <c r="A112" s="39" t="s">
        <v>138</v>
      </c>
      <c r="B112" s="26">
        <v>0.2</v>
      </c>
      <c r="C112" s="128"/>
      <c r="D112" s="29">
        <f t="shared" si="2"/>
        <v>0</v>
      </c>
      <c r="E112" s="127"/>
      <c r="F112" s="129"/>
    </row>
    <row r="113" spans="1:6" ht="22" customHeight="1" x14ac:dyDescent="0.35">
      <c r="A113" s="38" t="s">
        <v>139</v>
      </c>
      <c r="B113" s="28">
        <v>0.15</v>
      </c>
      <c r="C113" s="124"/>
      <c r="D113" s="31">
        <f t="shared" si="2"/>
        <v>0</v>
      </c>
      <c r="E113" s="123"/>
      <c r="F113" s="125"/>
    </row>
    <row r="114" spans="1:6" ht="22" customHeight="1" x14ac:dyDescent="0.35">
      <c r="A114" s="39" t="s">
        <v>140</v>
      </c>
      <c r="B114" s="26">
        <v>0.15</v>
      </c>
      <c r="C114" s="128"/>
      <c r="D114" s="29">
        <f t="shared" si="2"/>
        <v>0</v>
      </c>
      <c r="E114" s="127"/>
      <c r="F114" s="129"/>
    </row>
    <row r="115" spans="1:6" ht="22" customHeight="1" x14ac:dyDescent="0.35">
      <c r="A115" s="38" t="s">
        <v>141</v>
      </c>
      <c r="B115" s="28">
        <v>0.1</v>
      </c>
      <c r="C115" s="124"/>
      <c r="D115" s="31">
        <f t="shared" si="2"/>
        <v>0</v>
      </c>
      <c r="E115" s="123"/>
      <c r="F115" s="125"/>
    </row>
    <row r="116" spans="1:6" ht="22" customHeight="1" x14ac:dyDescent="0.35">
      <c r="A116" s="39" t="s">
        <v>142</v>
      </c>
      <c r="B116" s="26">
        <v>0.1</v>
      </c>
      <c r="C116" s="128"/>
      <c r="D116" s="29">
        <f t="shared" si="2"/>
        <v>0</v>
      </c>
      <c r="E116" s="127"/>
      <c r="F116" s="129"/>
    </row>
    <row r="117" spans="1:6" ht="22" customHeight="1" x14ac:dyDescent="0.35">
      <c r="A117" s="56" t="s">
        <v>143</v>
      </c>
      <c r="B117" s="27">
        <v>0.05</v>
      </c>
      <c r="C117" s="159"/>
      <c r="D117" s="30">
        <f t="shared" si="2"/>
        <v>0</v>
      </c>
      <c r="E117" s="160"/>
      <c r="F117" s="155"/>
    </row>
    <row r="118" spans="1:6" ht="32" customHeight="1" thickBot="1" x14ac:dyDescent="0.4">
      <c r="A118" s="57" t="s">
        <v>144</v>
      </c>
      <c r="B118" s="33">
        <f>SUM(B111:B117)</f>
        <v>1</v>
      </c>
      <c r="C118" s="34"/>
      <c r="D118" s="35" t="str">
        <f>ROUND(SUM(D111:D117),1)&amp;" / 100"</f>
        <v>0 / 100</v>
      </c>
      <c r="E118" s="32" t="str">
        <f>IF(D118="0 / 100","",IF(VALUE(LEFT(D118,FIND("/",D118)-2))&gt;=80,"🟢 Strong Fit",IF(VALUE(LEFT(D118,FIND("/",D118)-2))&gt;=60,"🟡 Moderate Fit",IF(VALUE(LEFT(D118,FIND("/",D118)-2))&gt;=40,"🟠 Conditional Fit","🔴 Poor Fit"))))</f>
        <v/>
      </c>
      <c r="F118" s="58" t="s">
        <v>388</v>
      </c>
    </row>
    <row r="119" spans="1:6" ht="22" customHeight="1" thickBot="1" x14ac:dyDescent="0.4">
      <c r="A119" s="76"/>
      <c r="B119" s="77"/>
      <c r="C119" s="77" t="s">
        <v>439</v>
      </c>
      <c r="D119" s="77"/>
      <c r="E119" s="77"/>
      <c r="F119" s="78" t="s">
        <v>389</v>
      </c>
    </row>
    <row r="120" spans="1:6" ht="28" customHeight="1" x14ac:dyDescent="0.35">
      <c r="A120" s="350" t="s">
        <v>378</v>
      </c>
      <c r="B120" s="350"/>
      <c r="C120" s="350"/>
      <c r="D120" s="350"/>
      <c r="E120" s="350"/>
      <c r="F120" s="350"/>
    </row>
  </sheetData>
  <mergeCells count="20">
    <mergeCell ref="A43:F43"/>
    <mergeCell ref="A44:F44"/>
    <mergeCell ref="A59:F59"/>
    <mergeCell ref="A60:F60"/>
    <mergeCell ref="A120:F120"/>
    <mergeCell ref="A69:F69"/>
    <mergeCell ref="A81:F81"/>
    <mergeCell ref="A91:F91"/>
    <mergeCell ref="A100:F100"/>
    <mergeCell ref="A109:F109"/>
    <mergeCell ref="A8:F8"/>
    <mergeCell ref="A19:F19"/>
    <mergeCell ref="A26:F26"/>
    <mergeCell ref="A7:F7"/>
    <mergeCell ref="A34:F34"/>
    <mergeCell ref="A1:F1"/>
    <mergeCell ref="A2:F2"/>
    <mergeCell ref="A4:F4"/>
    <mergeCell ref="A5:F5"/>
    <mergeCell ref="A6:F6"/>
  </mergeCells>
  <dataValidations count="5">
    <dataValidation type="list" allowBlank="1" sqref="D10:D17" xr:uid="{00000000-0002-0000-0000-000000000000}">
      <formula1>"Native,Compatible,Requires Refactor,Not Compatible"</formula1>
      <formula2>0</formula2>
    </dataValidation>
    <dataValidation type="list" allowBlank="1" sqref="E10:E17" xr:uid="{00000000-0002-0000-0000-000001000000}">
      <formula1>"Rehost,Replatform,Refactor,Repurchase,Retain,Retire"</formula1>
      <formula2>0</formula2>
    </dataValidation>
    <dataValidation type="list" allowBlank="1" sqref="C102:C106" xr:uid="{00000000-0002-0000-0000-000002000000}">
      <formula1>"Yes,No,Maybe"</formula1>
      <formula2>0</formula2>
    </dataValidation>
    <dataValidation type="list" allowBlank="1" sqref="E102:E106" xr:uid="{00000000-0002-0000-0000-000003000000}">
      <formula1>"Not Started,Planned,In Progress,Complete"</formula1>
      <formula2>0</formula2>
    </dataValidation>
    <dataValidation type="whole" allowBlank="1" errorTitle="Invalid score" error="Enter a whole number between 0 and 100" sqref="C111:C117" xr:uid="{00000000-0002-0000-0000-000004000000}">
      <formula1>0</formula1>
      <formula2>100</formula2>
    </dataValidation>
  </dataValidations>
  <printOptions horizontalCentered="1"/>
  <pageMargins left="0.75" right="0.75" top="1" bottom="1"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A8002-684B-4F5B-ADF1-77C1A7EDF460}">
  <dimension ref="A1:E99"/>
  <sheetViews>
    <sheetView workbookViewId="0">
      <pane ySplit="5" topLeftCell="A6" activePane="bottomLeft" state="frozen"/>
      <selection pane="bottomLeft" activeCell="E3" sqref="E1:E1048576"/>
    </sheetView>
  </sheetViews>
  <sheetFormatPr defaultRowHeight="14.5" x14ac:dyDescent="0.35"/>
  <cols>
    <col min="1" max="1" width="50.90625" customWidth="1"/>
    <col min="2" max="2" width="58.1796875" customWidth="1"/>
    <col min="3" max="3" width="36.36328125" customWidth="1"/>
    <col min="4" max="4" width="63.6328125" customWidth="1"/>
    <col min="5" max="5" width="82.36328125" bestFit="1" customWidth="1"/>
  </cols>
  <sheetData>
    <row r="1" spans="1:5" ht="35" customHeight="1" x14ac:dyDescent="0.65">
      <c r="A1" s="352" t="s">
        <v>776</v>
      </c>
      <c r="B1" s="352"/>
      <c r="C1" s="352"/>
      <c r="D1" s="352"/>
      <c r="E1" s="352"/>
    </row>
    <row r="2" spans="1:5" ht="25" customHeight="1" x14ac:dyDescent="0.45">
      <c r="A2" s="353" t="s">
        <v>777</v>
      </c>
      <c r="B2" s="353"/>
      <c r="C2" s="353"/>
      <c r="D2" s="353"/>
      <c r="E2" s="353"/>
    </row>
    <row r="3" spans="1:5" ht="4" customHeight="1" x14ac:dyDescent="0.45">
      <c r="A3" s="164"/>
      <c r="B3" s="164"/>
      <c r="C3" s="164"/>
      <c r="D3" s="164"/>
      <c r="E3" s="164"/>
    </row>
    <row r="4" spans="1:5" ht="22" customHeight="1" x14ac:dyDescent="0.45">
      <c r="A4" s="354" t="s">
        <v>778</v>
      </c>
      <c r="B4" s="354"/>
      <c r="C4" s="354"/>
      <c r="D4" s="354"/>
      <c r="E4" s="354"/>
    </row>
    <row r="5" spans="1:5" ht="22" customHeight="1" x14ac:dyDescent="0.45">
      <c r="A5" s="355" t="s">
        <v>480</v>
      </c>
      <c r="B5" s="355"/>
      <c r="C5" s="355"/>
      <c r="D5" s="355"/>
      <c r="E5" s="355"/>
    </row>
    <row r="6" spans="1:5" ht="16.5" x14ac:dyDescent="0.45">
      <c r="A6" s="4"/>
      <c r="B6" s="4"/>
      <c r="C6" s="4"/>
      <c r="D6" s="4"/>
      <c r="E6" s="4"/>
    </row>
    <row r="7" spans="1:5" ht="28" customHeight="1" x14ac:dyDescent="0.55000000000000004">
      <c r="A7" s="356" t="s">
        <v>779</v>
      </c>
      <c r="B7" s="357"/>
      <c r="C7" s="357"/>
      <c r="D7" s="357"/>
      <c r="E7" s="357"/>
    </row>
    <row r="8" spans="1:5" ht="22" customHeight="1" x14ac:dyDescent="0.45">
      <c r="A8" s="358" t="s">
        <v>780</v>
      </c>
      <c r="B8" s="358"/>
      <c r="C8" s="358"/>
      <c r="D8" s="358"/>
      <c r="E8" s="358"/>
    </row>
    <row r="9" spans="1:5" ht="24" customHeight="1" x14ac:dyDescent="0.45">
      <c r="A9" s="359" t="s">
        <v>781</v>
      </c>
      <c r="B9" s="359" t="s">
        <v>782</v>
      </c>
      <c r="C9" s="359" t="s">
        <v>783</v>
      </c>
      <c r="D9" s="359" t="s">
        <v>784</v>
      </c>
      <c r="E9" s="359" t="s">
        <v>785</v>
      </c>
    </row>
    <row r="10" spans="1:5" ht="22" customHeight="1" x14ac:dyDescent="0.45">
      <c r="A10" s="360" t="s">
        <v>786</v>
      </c>
      <c r="B10" s="360" t="s">
        <v>787</v>
      </c>
      <c r="C10" s="360" t="s">
        <v>788</v>
      </c>
      <c r="D10" s="360" t="s">
        <v>789</v>
      </c>
      <c r="E10" s="360" t="s">
        <v>790</v>
      </c>
    </row>
    <row r="11" spans="1:5" ht="22" customHeight="1" x14ac:dyDescent="0.45">
      <c r="A11" s="361" t="s">
        <v>786</v>
      </c>
      <c r="B11" s="361" t="s">
        <v>791</v>
      </c>
      <c r="C11" s="361" t="s">
        <v>788</v>
      </c>
      <c r="D11" s="361" t="s">
        <v>792</v>
      </c>
      <c r="E11" s="361" t="s">
        <v>790</v>
      </c>
    </row>
    <row r="12" spans="1:5" ht="22" customHeight="1" x14ac:dyDescent="0.45">
      <c r="A12" s="360" t="s">
        <v>793</v>
      </c>
      <c r="B12" s="360" t="s">
        <v>794</v>
      </c>
      <c r="C12" s="360" t="s">
        <v>788</v>
      </c>
      <c r="D12" s="360" t="s">
        <v>795</v>
      </c>
      <c r="E12" s="360" t="s">
        <v>790</v>
      </c>
    </row>
    <row r="13" spans="1:5" ht="22" customHeight="1" x14ac:dyDescent="0.45">
      <c r="A13" s="361" t="s">
        <v>796</v>
      </c>
      <c r="B13" s="361" t="s">
        <v>797</v>
      </c>
      <c r="C13" s="361" t="s">
        <v>788</v>
      </c>
      <c r="D13" s="361" t="s">
        <v>798</v>
      </c>
      <c r="E13" s="361" t="s">
        <v>790</v>
      </c>
    </row>
    <row r="14" spans="1:5" ht="22" customHeight="1" x14ac:dyDescent="0.45">
      <c r="A14" s="362" t="s">
        <v>799</v>
      </c>
      <c r="B14" s="362" t="s">
        <v>800</v>
      </c>
      <c r="C14" s="362" t="s">
        <v>801</v>
      </c>
      <c r="D14" s="362" t="s">
        <v>802</v>
      </c>
      <c r="E14" s="362" t="s">
        <v>803</v>
      </c>
    </row>
    <row r="15" spans="1:5" ht="22" customHeight="1" x14ac:dyDescent="0.45">
      <c r="A15" s="362" t="s">
        <v>799</v>
      </c>
      <c r="B15" s="362" t="s">
        <v>804</v>
      </c>
      <c r="C15" s="362" t="s">
        <v>801</v>
      </c>
      <c r="D15" s="362" t="s">
        <v>805</v>
      </c>
      <c r="E15" s="362" t="s">
        <v>803</v>
      </c>
    </row>
    <row r="16" spans="1:5" ht="22" customHeight="1" x14ac:dyDescent="0.45">
      <c r="A16" s="363" t="s">
        <v>806</v>
      </c>
      <c r="B16" s="363" t="s">
        <v>807</v>
      </c>
      <c r="C16" s="363" t="s">
        <v>808</v>
      </c>
      <c r="D16" s="363" t="s">
        <v>809</v>
      </c>
      <c r="E16" s="363" t="s">
        <v>803</v>
      </c>
    </row>
    <row r="17" spans="1:5" ht="22" customHeight="1" x14ac:dyDescent="0.45">
      <c r="A17" s="363" t="s">
        <v>806</v>
      </c>
      <c r="B17" s="363" t="s">
        <v>810</v>
      </c>
      <c r="C17" s="363" t="s">
        <v>808</v>
      </c>
      <c r="D17" s="363" t="s">
        <v>809</v>
      </c>
      <c r="E17" s="363" t="s">
        <v>803</v>
      </c>
    </row>
    <row r="18" spans="1:5" ht="22" customHeight="1" x14ac:dyDescent="0.45">
      <c r="A18" s="363" t="s">
        <v>811</v>
      </c>
      <c r="B18" s="363" t="s">
        <v>812</v>
      </c>
      <c r="C18" s="363" t="s">
        <v>808</v>
      </c>
      <c r="D18" s="363" t="s">
        <v>809</v>
      </c>
      <c r="E18" s="363" t="s">
        <v>803</v>
      </c>
    </row>
    <row r="19" spans="1:5" ht="22" customHeight="1" x14ac:dyDescent="0.45">
      <c r="A19" s="363" t="s">
        <v>811</v>
      </c>
      <c r="B19" s="363" t="s">
        <v>813</v>
      </c>
      <c r="C19" s="363" t="s">
        <v>801</v>
      </c>
      <c r="D19" s="363" t="s">
        <v>814</v>
      </c>
      <c r="E19" s="363" t="s">
        <v>803</v>
      </c>
    </row>
    <row r="20" spans="1:5" ht="22" customHeight="1" x14ac:dyDescent="0.45">
      <c r="A20" s="362" t="s">
        <v>815</v>
      </c>
      <c r="B20" s="362" t="s">
        <v>816</v>
      </c>
      <c r="C20" s="362" t="s">
        <v>808</v>
      </c>
      <c r="D20" s="362" t="s">
        <v>809</v>
      </c>
      <c r="E20" s="362" t="s">
        <v>803</v>
      </c>
    </row>
    <row r="21" spans="1:5" ht="22" customHeight="1" x14ac:dyDescent="0.45">
      <c r="A21" s="363" t="s">
        <v>817</v>
      </c>
      <c r="B21" s="363" t="s">
        <v>818</v>
      </c>
      <c r="C21" s="363" t="s">
        <v>808</v>
      </c>
      <c r="D21" s="363" t="s">
        <v>809</v>
      </c>
      <c r="E21" s="363" t="s">
        <v>803</v>
      </c>
    </row>
    <row r="22" spans="1:5" ht="16.5" x14ac:dyDescent="0.45">
      <c r="A22" s="4"/>
      <c r="B22" s="4"/>
      <c r="C22" s="4"/>
      <c r="D22" s="4"/>
      <c r="E22" s="4"/>
    </row>
    <row r="23" spans="1:5" ht="16.5" x14ac:dyDescent="0.45">
      <c r="A23" s="364" t="s">
        <v>819</v>
      </c>
      <c r="B23" s="364"/>
      <c r="C23" s="364"/>
      <c r="D23" s="364"/>
      <c r="E23" s="364"/>
    </row>
    <row r="24" spans="1:5" ht="16.5" x14ac:dyDescent="0.45">
      <c r="A24" s="365" t="s">
        <v>820</v>
      </c>
      <c r="B24" s="365"/>
      <c r="C24" s="365"/>
      <c r="D24" s="365"/>
      <c r="E24" s="365"/>
    </row>
    <row r="25" spans="1:5" ht="16.5" x14ac:dyDescent="0.45">
      <c r="A25" s="4"/>
      <c r="B25" s="4"/>
      <c r="C25" s="4"/>
      <c r="D25" s="4"/>
      <c r="E25" s="4"/>
    </row>
    <row r="26" spans="1:5" ht="28" customHeight="1" x14ac:dyDescent="0.55000000000000004">
      <c r="A26" s="356" t="s">
        <v>821</v>
      </c>
      <c r="B26" s="357"/>
      <c r="C26" s="357"/>
      <c r="D26" s="357"/>
      <c r="E26" s="357"/>
    </row>
    <row r="27" spans="1:5" ht="22" customHeight="1" x14ac:dyDescent="0.45">
      <c r="A27" s="358" t="s">
        <v>822</v>
      </c>
      <c r="B27" s="358"/>
      <c r="C27" s="358"/>
      <c r="D27" s="358"/>
      <c r="E27" s="358"/>
    </row>
    <row r="28" spans="1:5" ht="24" customHeight="1" x14ac:dyDescent="0.45">
      <c r="A28" s="359" t="s">
        <v>823</v>
      </c>
      <c r="B28" s="359" t="s">
        <v>824</v>
      </c>
      <c r="C28" s="359" t="s">
        <v>825</v>
      </c>
      <c r="D28" s="359" t="s">
        <v>826</v>
      </c>
      <c r="E28" s="359" t="s">
        <v>785</v>
      </c>
    </row>
    <row r="29" spans="1:5" ht="22" customHeight="1" x14ac:dyDescent="0.45">
      <c r="A29" s="360" t="s">
        <v>827</v>
      </c>
      <c r="B29" s="360" t="s">
        <v>828</v>
      </c>
      <c r="C29" s="360" t="s">
        <v>829</v>
      </c>
      <c r="D29" s="360" t="s">
        <v>830</v>
      </c>
      <c r="E29" s="360" t="s">
        <v>831</v>
      </c>
    </row>
    <row r="30" spans="1:5" ht="22" customHeight="1" x14ac:dyDescent="0.45">
      <c r="A30" s="361" t="s">
        <v>827</v>
      </c>
      <c r="B30" s="361" t="s">
        <v>832</v>
      </c>
      <c r="C30" s="361" t="s">
        <v>833</v>
      </c>
      <c r="D30" s="361" t="s">
        <v>834</v>
      </c>
      <c r="E30" s="361" t="s">
        <v>831</v>
      </c>
    </row>
    <row r="31" spans="1:5" ht="22" customHeight="1" x14ac:dyDescent="0.45">
      <c r="A31" s="360" t="s">
        <v>827</v>
      </c>
      <c r="B31" s="360" t="s">
        <v>835</v>
      </c>
      <c r="C31" s="360" t="s">
        <v>836</v>
      </c>
      <c r="D31" s="360" t="s">
        <v>837</v>
      </c>
      <c r="E31" s="360" t="s">
        <v>831</v>
      </c>
    </row>
    <row r="32" spans="1:5" ht="22" customHeight="1" x14ac:dyDescent="0.45">
      <c r="A32" s="361" t="s">
        <v>827</v>
      </c>
      <c r="B32" s="361" t="s">
        <v>838</v>
      </c>
      <c r="C32" s="361" t="s">
        <v>839</v>
      </c>
      <c r="D32" s="361" t="s">
        <v>840</v>
      </c>
      <c r="E32" s="361" t="s">
        <v>831</v>
      </c>
    </row>
    <row r="33" spans="1:5" ht="22" customHeight="1" x14ac:dyDescent="0.45">
      <c r="A33" s="360" t="s">
        <v>827</v>
      </c>
      <c r="B33" s="360" t="s">
        <v>841</v>
      </c>
      <c r="C33" s="360" t="s">
        <v>842</v>
      </c>
      <c r="D33" s="360" t="s">
        <v>843</v>
      </c>
      <c r="E33" s="360" t="s">
        <v>831</v>
      </c>
    </row>
    <row r="34" spans="1:5" ht="22" customHeight="1" x14ac:dyDescent="0.45">
      <c r="A34" s="361" t="s">
        <v>844</v>
      </c>
      <c r="B34" s="361" t="s">
        <v>845</v>
      </c>
      <c r="C34" s="361" t="s">
        <v>846</v>
      </c>
      <c r="D34" s="361" t="s">
        <v>847</v>
      </c>
      <c r="E34" s="361" t="s">
        <v>848</v>
      </c>
    </row>
    <row r="35" spans="1:5" ht="22" customHeight="1" x14ac:dyDescent="0.45">
      <c r="A35" s="360" t="s">
        <v>849</v>
      </c>
      <c r="B35" s="360" t="s">
        <v>850</v>
      </c>
      <c r="C35" s="360" t="s">
        <v>851</v>
      </c>
      <c r="D35" s="360" t="s">
        <v>852</v>
      </c>
      <c r="E35" s="360" t="s">
        <v>853</v>
      </c>
    </row>
    <row r="36" spans="1:5" ht="22" customHeight="1" x14ac:dyDescent="0.45">
      <c r="A36" s="361" t="s">
        <v>849</v>
      </c>
      <c r="B36" s="361" t="s">
        <v>854</v>
      </c>
      <c r="C36" s="361" t="s">
        <v>855</v>
      </c>
      <c r="D36" s="361" t="s">
        <v>852</v>
      </c>
      <c r="E36" s="361" t="s">
        <v>856</v>
      </c>
    </row>
    <row r="37" spans="1:5" ht="22" customHeight="1" x14ac:dyDescent="0.45">
      <c r="A37" s="360" t="s">
        <v>857</v>
      </c>
      <c r="B37" s="360" t="s">
        <v>858</v>
      </c>
      <c r="C37" s="360" t="s">
        <v>859</v>
      </c>
      <c r="D37" s="360" t="s">
        <v>860</v>
      </c>
      <c r="E37" s="360" t="s">
        <v>853</v>
      </c>
    </row>
    <row r="38" spans="1:5" ht="22" customHeight="1" x14ac:dyDescent="0.45">
      <c r="A38" s="361" t="s">
        <v>857</v>
      </c>
      <c r="B38" s="361" t="s">
        <v>861</v>
      </c>
      <c r="C38" s="361" t="s">
        <v>862</v>
      </c>
      <c r="D38" s="361" t="s">
        <v>863</v>
      </c>
      <c r="E38" s="361" t="s">
        <v>853</v>
      </c>
    </row>
    <row r="39" spans="1:5" ht="22" customHeight="1" x14ac:dyDescent="0.45">
      <c r="A39" s="360" t="s">
        <v>864</v>
      </c>
      <c r="B39" s="360" t="s">
        <v>865</v>
      </c>
      <c r="C39" s="360" t="s">
        <v>851</v>
      </c>
      <c r="D39" s="360" t="s">
        <v>866</v>
      </c>
      <c r="E39" s="360" t="s">
        <v>853</v>
      </c>
    </row>
    <row r="40" spans="1:5" ht="22" customHeight="1" x14ac:dyDescent="0.45">
      <c r="A40" s="361" t="s">
        <v>864</v>
      </c>
      <c r="B40" s="361" t="s">
        <v>867</v>
      </c>
      <c r="C40" s="361" t="s">
        <v>868</v>
      </c>
      <c r="D40" s="361" t="s">
        <v>866</v>
      </c>
      <c r="E40" s="361" t="s">
        <v>853</v>
      </c>
    </row>
    <row r="41" spans="1:5" ht="22" customHeight="1" x14ac:dyDescent="0.45">
      <c r="A41" s="360" t="s">
        <v>869</v>
      </c>
      <c r="B41" s="360" t="s">
        <v>870</v>
      </c>
      <c r="C41" s="360" t="s">
        <v>859</v>
      </c>
      <c r="D41" s="360" t="s">
        <v>871</v>
      </c>
      <c r="E41" s="360" t="s">
        <v>853</v>
      </c>
    </row>
    <row r="42" spans="1:5" ht="22" customHeight="1" x14ac:dyDescent="0.45">
      <c r="A42" s="361" t="s">
        <v>872</v>
      </c>
      <c r="B42" s="361" t="s">
        <v>873</v>
      </c>
      <c r="C42" s="361" t="s">
        <v>859</v>
      </c>
      <c r="D42" s="361" t="s">
        <v>874</v>
      </c>
      <c r="E42" s="361" t="s">
        <v>853</v>
      </c>
    </row>
    <row r="43" spans="1:5" ht="22" customHeight="1" x14ac:dyDescent="0.45">
      <c r="A43" s="360" t="s">
        <v>875</v>
      </c>
      <c r="B43" s="360" t="s">
        <v>876</v>
      </c>
      <c r="C43" s="360" t="s">
        <v>859</v>
      </c>
      <c r="D43" s="360" t="s">
        <v>877</v>
      </c>
      <c r="E43" s="360" t="s">
        <v>853</v>
      </c>
    </row>
    <row r="44" spans="1:5" ht="22" customHeight="1" x14ac:dyDescent="0.45">
      <c r="A44" s="361" t="s">
        <v>878</v>
      </c>
      <c r="B44" s="361" t="s">
        <v>879</v>
      </c>
      <c r="C44" s="361" t="s">
        <v>880</v>
      </c>
      <c r="D44" s="361" t="s">
        <v>881</v>
      </c>
      <c r="E44" s="361" t="s">
        <v>882</v>
      </c>
    </row>
    <row r="45" spans="1:5" ht="22" customHeight="1" x14ac:dyDescent="0.45">
      <c r="A45" s="360" t="s">
        <v>883</v>
      </c>
      <c r="B45" s="360" t="s">
        <v>884</v>
      </c>
      <c r="C45" s="360" t="s">
        <v>885</v>
      </c>
      <c r="D45" s="360" t="s">
        <v>886</v>
      </c>
      <c r="E45" s="360" t="s">
        <v>853</v>
      </c>
    </row>
    <row r="46" spans="1:5" ht="22" customHeight="1" x14ac:dyDescent="0.45">
      <c r="A46" s="366" t="s">
        <v>887</v>
      </c>
      <c r="B46" s="366" t="s">
        <v>888</v>
      </c>
      <c r="C46" s="366" t="s">
        <v>889</v>
      </c>
      <c r="D46" s="366" t="s">
        <v>890</v>
      </c>
      <c r="E46" s="366" t="s">
        <v>853</v>
      </c>
    </row>
    <row r="47" spans="1:5" ht="22" customHeight="1" x14ac:dyDescent="0.45">
      <c r="A47" s="366" t="s">
        <v>891</v>
      </c>
      <c r="B47" s="366" t="s">
        <v>892</v>
      </c>
      <c r="C47" s="366" t="s">
        <v>889</v>
      </c>
      <c r="D47" s="366" t="s">
        <v>893</v>
      </c>
      <c r="E47" s="366" t="s">
        <v>853</v>
      </c>
    </row>
    <row r="48" spans="1:5" ht="22" customHeight="1" x14ac:dyDescent="0.45">
      <c r="A48" s="366" t="s">
        <v>894</v>
      </c>
      <c r="B48" s="366" t="s">
        <v>895</v>
      </c>
      <c r="C48" s="366" t="s">
        <v>889</v>
      </c>
      <c r="D48" s="366" t="s">
        <v>896</v>
      </c>
      <c r="E48" s="366" t="s">
        <v>853</v>
      </c>
    </row>
    <row r="49" spans="1:5" ht="22" customHeight="1" x14ac:dyDescent="0.45">
      <c r="A49" s="366" t="s">
        <v>897</v>
      </c>
      <c r="B49" s="366" t="s">
        <v>898</v>
      </c>
      <c r="C49" s="366" t="s">
        <v>889</v>
      </c>
      <c r="D49" s="366" t="s">
        <v>899</v>
      </c>
      <c r="E49" s="366" t="s">
        <v>900</v>
      </c>
    </row>
    <row r="50" spans="1:5" ht="22" customHeight="1" x14ac:dyDescent="0.45">
      <c r="A50" s="366" t="s">
        <v>901</v>
      </c>
      <c r="B50" s="366" t="s">
        <v>902</v>
      </c>
      <c r="C50" s="366" t="s">
        <v>889</v>
      </c>
      <c r="D50" s="366" t="s">
        <v>903</v>
      </c>
      <c r="E50" s="366" t="s">
        <v>853</v>
      </c>
    </row>
    <row r="51" spans="1:5" ht="16.5" x14ac:dyDescent="0.45">
      <c r="A51" s="4"/>
      <c r="B51" s="4"/>
      <c r="C51" s="4"/>
      <c r="D51" s="4"/>
      <c r="E51" s="4"/>
    </row>
    <row r="52" spans="1:5" ht="16.5" x14ac:dyDescent="0.45">
      <c r="A52" s="364" t="s">
        <v>904</v>
      </c>
      <c r="B52" s="364"/>
      <c r="C52" s="364"/>
      <c r="D52" s="364"/>
      <c r="E52" s="364"/>
    </row>
    <row r="53" spans="1:5" ht="16.5" x14ac:dyDescent="0.45">
      <c r="A53" s="367" t="s">
        <v>905</v>
      </c>
      <c r="B53" s="367"/>
      <c r="C53" s="367"/>
      <c r="D53" s="367"/>
      <c r="E53" s="367"/>
    </row>
    <row r="54" spans="1:5" ht="16.5" x14ac:dyDescent="0.45">
      <c r="A54" s="4"/>
      <c r="B54" s="4"/>
      <c r="C54" s="4"/>
      <c r="D54" s="4"/>
      <c r="E54" s="4"/>
    </row>
    <row r="55" spans="1:5" ht="28" customHeight="1" x14ac:dyDescent="0.55000000000000004">
      <c r="A55" s="356" t="s">
        <v>906</v>
      </c>
      <c r="B55" s="357"/>
      <c r="C55" s="357"/>
      <c r="D55" s="357"/>
      <c r="E55" s="357"/>
    </row>
    <row r="56" spans="1:5" ht="22" customHeight="1" x14ac:dyDescent="0.45">
      <c r="A56" s="358" t="s">
        <v>907</v>
      </c>
      <c r="B56" s="358"/>
      <c r="C56" s="358"/>
      <c r="D56" s="358"/>
      <c r="E56" s="358"/>
    </row>
    <row r="57" spans="1:5" ht="24" customHeight="1" x14ac:dyDescent="0.45">
      <c r="A57" s="359" t="s">
        <v>908</v>
      </c>
      <c r="B57" s="359" t="s">
        <v>909</v>
      </c>
      <c r="C57" s="359" t="s">
        <v>910</v>
      </c>
      <c r="D57" s="359" t="s">
        <v>911</v>
      </c>
      <c r="E57" s="359" t="s">
        <v>785</v>
      </c>
    </row>
    <row r="58" spans="1:5" ht="22" customHeight="1" x14ac:dyDescent="0.45">
      <c r="A58" s="368" t="s">
        <v>912</v>
      </c>
      <c r="B58" s="368" t="s">
        <v>913</v>
      </c>
      <c r="C58" s="368" t="s">
        <v>914</v>
      </c>
      <c r="D58" s="368" t="s">
        <v>915</v>
      </c>
      <c r="E58" s="368" t="s">
        <v>916</v>
      </c>
    </row>
    <row r="59" spans="1:5" ht="22" customHeight="1" x14ac:dyDescent="0.45">
      <c r="A59" s="368" t="s">
        <v>917</v>
      </c>
      <c r="B59" s="368" t="s">
        <v>913</v>
      </c>
      <c r="C59" s="368" t="s">
        <v>918</v>
      </c>
      <c r="D59" s="368" t="s">
        <v>919</v>
      </c>
      <c r="E59" s="368" t="s">
        <v>916</v>
      </c>
    </row>
    <row r="60" spans="1:5" ht="22" customHeight="1" x14ac:dyDescent="0.45">
      <c r="A60" s="360" t="s">
        <v>920</v>
      </c>
      <c r="B60" s="360" t="s">
        <v>921</v>
      </c>
      <c r="C60" s="360" t="s">
        <v>922</v>
      </c>
      <c r="D60" s="360" t="s">
        <v>923</v>
      </c>
      <c r="E60" s="360" t="s">
        <v>882</v>
      </c>
    </row>
    <row r="61" spans="1:5" ht="22" customHeight="1" x14ac:dyDescent="0.45">
      <c r="A61" s="361" t="s">
        <v>924</v>
      </c>
      <c r="B61" s="361" t="s">
        <v>925</v>
      </c>
      <c r="C61" s="361" t="s">
        <v>926</v>
      </c>
      <c r="D61" s="361" t="s">
        <v>927</v>
      </c>
      <c r="E61" s="361" t="s">
        <v>928</v>
      </c>
    </row>
    <row r="62" spans="1:5" ht="22" customHeight="1" x14ac:dyDescent="0.45">
      <c r="A62" s="360" t="s">
        <v>929</v>
      </c>
      <c r="B62" s="360" t="s">
        <v>925</v>
      </c>
      <c r="C62" s="360" t="s">
        <v>930</v>
      </c>
      <c r="D62" s="360" t="s">
        <v>931</v>
      </c>
      <c r="E62" s="360" t="s">
        <v>932</v>
      </c>
    </row>
    <row r="63" spans="1:5" ht="22" customHeight="1" x14ac:dyDescent="0.45">
      <c r="A63" s="361" t="s">
        <v>933</v>
      </c>
      <c r="B63" s="361" t="s">
        <v>934</v>
      </c>
      <c r="C63" s="361" t="s">
        <v>935</v>
      </c>
      <c r="D63" s="361" t="s">
        <v>936</v>
      </c>
      <c r="E63" s="361" t="s">
        <v>937</v>
      </c>
    </row>
    <row r="64" spans="1:5" ht="16.5" x14ac:dyDescent="0.45">
      <c r="A64" s="4"/>
      <c r="B64" s="4"/>
      <c r="C64" s="4"/>
      <c r="D64" s="4"/>
      <c r="E64" s="4"/>
    </row>
    <row r="65" spans="1:5" ht="16.5" x14ac:dyDescent="0.45">
      <c r="A65" s="4"/>
      <c r="B65" s="4"/>
      <c r="C65" s="4"/>
      <c r="D65" s="4"/>
      <c r="E65" s="4"/>
    </row>
    <row r="66" spans="1:5" ht="28" customHeight="1" x14ac:dyDescent="0.55000000000000004">
      <c r="A66" s="356" t="s">
        <v>938</v>
      </c>
      <c r="B66" s="357"/>
      <c r="C66" s="357"/>
      <c r="D66" s="357"/>
      <c r="E66" s="357"/>
    </row>
    <row r="67" spans="1:5" ht="24" customHeight="1" x14ac:dyDescent="0.45">
      <c r="A67" s="359" t="s">
        <v>939</v>
      </c>
      <c r="B67" s="359" t="s">
        <v>334</v>
      </c>
      <c r="C67" s="359" t="s">
        <v>940</v>
      </c>
      <c r="D67" s="359"/>
      <c r="E67" s="359"/>
    </row>
    <row r="68" spans="1:5" ht="22" customHeight="1" x14ac:dyDescent="0.45">
      <c r="A68" s="360" t="s">
        <v>941</v>
      </c>
      <c r="B68" s="360" t="s">
        <v>942</v>
      </c>
      <c r="C68" s="369" t="s">
        <v>790</v>
      </c>
      <c r="D68" s="360"/>
      <c r="E68" s="360"/>
    </row>
    <row r="69" spans="1:5" ht="22" customHeight="1" x14ac:dyDescent="0.45">
      <c r="A69" s="361" t="s">
        <v>943</v>
      </c>
      <c r="B69" s="361" t="s">
        <v>944</v>
      </c>
      <c r="C69" s="370" t="s">
        <v>945</v>
      </c>
      <c r="D69" s="361"/>
      <c r="E69" s="361"/>
    </row>
    <row r="70" spans="1:5" ht="22" customHeight="1" x14ac:dyDescent="0.45">
      <c r="A70" s="360" t="s">
        <v>946</v>
      </c>
      <c r="B70" s="360" t="s">
        <v>947</v>
      </c>
      <c r="C70" s="369" t="s">
        <v>853</v>
      </c>
      <c r="D70" s="360"/>
      <c r="E70" s="360"/>
    </row>
    <row r="71" spans="1:5" ht="22" customHeight="1" x14ac:dyDescent="0.45">
      <c r="A71" s="361" t="s">
        <v>948</v>
      </c>
      <c r="B71" s="361" t="s">
        <v>949</v>
      </c>
      <c r="C71" s="370" t="s">
        <v>831</v>
      </c>
      <c r="D71" s="361"/>
      <c r="E71" s="361"/>
    </row>
    <row r="72" spans="1:5" ht="22" customHeight="1" x14ac:dyDescent="0.45">
      <c r="A72" s="360" t="s">
        <v>950</v>
      </c>
      <c r="B72" s="360" t="s">
        <v>951</v>
      </c>
      <c r="C72" s="369" t="s">
        <v>952</v>
      </c>
      <c r="D72" s="360"/>
      <c r="E72" s="360"/>
    </row>
    <row r="73" spans="1:5" ht="22" customHeight="1" x14ac:dyDescent="0.45">
      <c r="A73" s="361" t="s">
        <v>953</v>
      </c>
      <c r="B73" s="361" t="s">
        <v>954</v>
      </c>
      <c r="C73" s="370" t="s">
        <v>916</v>
      </c>
      <c r="D73" s="361"/>
      <c r="E73" s="361"/>
    </row>
    <row r="74" spans="1:5" ht="22" customHeight="1" x14ac:dyDescent="0.45">
      <c r="A74" s="360" t="s">
        <v>955</v>
      </c>
      <c r="B74" s="360" t="s">
        <v>956</v>
      </c>
      <c r="C74" s="369" t="s">
        <v>803</v>
      </c>
      <c r="D74" s="360"/>
      <c r="E74" s="360"/>
    </row>
    <row r="75" spans="1:5" ht="22" customHeight="1" x14ac:dyDescent="0.45">
      <c r="A75" s="361" t="s">
        <v>957</v>
      </c>
      <c r="B75" s="361" t="s">
        <v>958</v>
      </c>
      <c r="C75" s="370" t="s">
        <v>959</v>
      </c>
      <c r="D75" s="361"/>
      <c r="E75" s="361"/>
    </row>
    <row r="76" spans="1:5" ht="22" customHeight="1" x14ac:dyDescent="0.45">
      <c r="A76" s="360" t="s">
        <v>960</v>
      </c>
      <c r="B76" s="360" t="s">
        <v>961</v>
      </c>
      <c r="C76" s="369" t="s">
        <v>962</v>
      </c>
      <c r="D76" s="360"/>
      <c r="E76" s="360"/>
    </row>
    <row r="77" spans="1:5" ht="22" customHeight="1" x14ac:dyDescent="0.45">
      <c r="A77" s="361" t="s">
        <v>963</v>
      </c>
      <c r="B77" s="361" t="s">
        <v>964</v>
      </c>
      <c r="C77" s="370" t="s">
        <v>900</v>
      </c>
      <c r="D77" s="361"/>
      <c r="E77" s="361"/>
    </row>
    <row r="78" spans="1:5" ht="22" customHeight="1" x14ac:dyDescent="0.45">
      <c r="A78" s="360" t="s">
        <v>965</v>
      </c>
      <c r="B78" s="360" t="s">
        <v>966</v>
      </c>
      <c r="C78" s="369" t="s">
        <v>848</v>
      </c>
      <c r="D78" s="360"/>
      <c r="E78" s="360"/>
    </row>
    <row r="79" spans="1:5" ht="16.5" x14ac:dyDescent="0.45">
      <c r="A79" s="4"/>
      <c r="B79" s="4"/>
      <c r="C79" s="4"/>
      <c r="D79" s="4"/>
      <c r="E79" s="4"/>
    </row>
    <row r="80" spans="1:5" ht="16.5" x14ac:dyDescent="0.45">
      <c r="A80" s="4"/>
      <c r="B80" s="4"/>
      <c r="C80" s="4"/>
      <c r="D80" s="4"/>
      <c r="E80" s="4"/>
    </row>
    <row r="81" spans="1:5" ht="28" customHeight="1" x14ac:dyDescent="0.55000000000000004">
      <c r="A81" s="356" t="s">
        <v>967</v>
      </c>
      <c r="B81" s="357"/>
      <c r="C81" s="357"/>
      <c r="D81" s="357"/>
      <c r="E81" s="357"/>
    </row>
    <row r="82" spans="1:5" ht="22" customHeight="1" x14ac:dyDescent="0.45">
      <c r="A82" s="371" t="s">
        <v>968</v>
      </c>
      <c r="B82" s="371"/>
      <c r="C82" s="371"/>
      <c r="D82" s="371"/>
      <c r="E82" s="371"/>
    </row>
    <row r="83" spans="1:5" ht="24" customHeight="1" x14ac:dyDescent="0.45">
      <c r="A83" s="359" t="s">
        <v>969</v>
      </c>
      <c r="B83" s="359" t="s">
        <v>970</v>
      </c>
      <c r="C83" s="359" t="s">
        <v>971</v>
      </c>
      <c r="D83" s="359" t="s">
        <v>972</v>
      </c>
      <c r="E83" s="359" t="s">
        <v>973</v>
      </c>
    </row>
    <row r="84" spans="1:5" ht="22" customHeight="1" x14ac:dyDescent="0.45">
      <c r="A84" s="372" t="s">
        <v>974</v>
      </c>
      <c r="B84" s="372" t="s">
        <v>975</v>
      </c>
      <c r="C84" s="372" t="s">
        <v>976</v>
      </c>
      <c r="D84" s="372" t="s">
        <v>977</v>
      </c>
      <c r="E84" s="372" t="s">
        <v>436</v>
      </c>
    </row>
    <row r="85" spans="1:5" ht="22" customHeight="1" x14ac:dyDescent="0.45">
      <c r="A85" s="373" t="s">
        <v>974</v>
      </c>
      <c r="B85" s="373" t="s">
        <v>975</v>
      </c>
      <c r="C85" s="373" t="s">
        <v>976</v>
      </c>
      <c r="D85" s="373" t="s">
        <v>977</v>
      </c>
      <c r="E85" s="373" t="s">
        <v>436</v>
      </c>
    </row>
    <row r="86" spans="1:5" ht="22" customHeight="1" x14ac:dyDescent="0.45">
      <c r="A86" s="372" t="s">
        <v>974</v>
      </c>
      <c r="B86" s="372" t="s">
        <v>975</v>
      </c>
      <c r="C86" s="372" t="s">
        <v>976</v>
      </c>
      <c r="D86" s="372" t="s">
        <v>977</v>
      </c>
      <c r="E86" s="372" t="s">
        <v>436</v>
      </c>
    </row>
    <row r="87" spans="1:5" ht="22" customHeight="1" x14ac:dyDescent="0.45">
      <c r="A87" s="373" t="s">
        <v>974</v>
      </c>
      <c r="B87" s="373" t="s">
        <v>975</v>
      </c>
      <c r="C87" s="373" t="s">
        <v>976</v>
      </c>
      <c r="D87" s="373" t="s">
        <v>977</v>
      </c>
      <c r="E87" s="373" t="s">
        <v>436</v>
      </c>
    </row>
    <row r="88" spans="1:5" ht="22" customHeight="1" x14ac:dyDescent="0.45">
      <c r="A88" s="372" t="s">
        <v>974</v>
      </c>
      <c r="B88" s="372" t="s">
        <v>975</v>
      </c>
      <c r="C88" s="372" t="s">
        <v>976</v>
      </c>
      <c r="D88" s="372" t="s">
        <v>977</v>
      </c>
      <c r="E88" s="372" t="s">
        <v>436</v>
      </c>
    </row>
    <row r="89" spans="1:5" ht="22" customHeight="1" x14ac:dyDescent="0.45">
      <c r="A89" s="373" t="s">
        <v>974</v>
      </c>
      <c r="B89" s="373" t="s">
        <v>975</v>
      </c>
      <c r="C89" s="373" t="s">
        <v>976</v>
      </c>
      <c r="D89" s="373" t="s">
        <v>977</v>
      </c>
      <c r="E89" s="373" t="s">
        <v>436</v>
      </c>
    </row>
    <row r="90" spans="1:5" ht="22" customHeight="1" x14ac:dyDescent="0.45">
      <c r="A90" s="372" t="s">
        <v>974</v>
      </c>
      <c r="B90" s="372" t="s">
        <v>975</v>
      </c>
      <c r="C90" s="372" t="s">
        <v>976</v>
      </c>
      <c r="D90" s="372" t="s">
        <v>977</v>
      </c>
      <c r="E90" s="372" t="s">
        <v>436</v>
      </c>
    </row>
    <row r="91" spans="1:5" ht="22" customHeight="1" x14ac:dyDescent="0.45">
      <c r="A91" s="373" t="s">
        <v>974</v>
      </c>
      <c r="B91" s="373" t="s">
        <v>975</v>
      </c>
      <c r="C91" s="373" t="s">
        <v>976</v>
      </c>
      <c r="D91" s="373" t="s">
        <v>977</v>
      </c>
      <c r="E91" s="373" t="s">
        <v>436</v>
      </c>
    </row>
    <row r="92" spans="1:5" ht="16.5" x14ac:dyDescent="0.45">
      <c r="A92" s="4"/>
      <c r="B92" s="4"/>
      <c r="C92" s="4"/>
      <c r="D92" s="4"/>
      <c r="E92" s="4"/>
    </row>
    <row r="93" spans="1:5" ht="16.5" x14ac:dyDescent="0.45">
      <c r="A93" s="4"/>
      <c r="B93" s="4"/>
      <c r="C93" s="4"/>
      <c r="D93" s="4"/>
      <c r="E93" s="4"/>
    </row>
    <row r="94" spans="1:5" ht="28" customHeight="1" x14ac:dyDescent="0.45">
      <c r="A94" s="374" t="s">
        <v>978</v>
      </c>
      <c r="B94" s="374"/>
      <c r="C94" s="374"/>
      <c r="D94" s="374"/>
      <c r="E94" s="374"/>
    </row>
    <row r="95" spans="1:5" ht="16.5" x14ac:dyDescent="0.45">
      <c r="A95" s="4"/>
      <c r="B95" s="4"/>
      <c r="C95" s="4"/>
      <c r="D95" s="4"/>
      <c r="E95" s="4"/>
    </row>
    <row r="96" spans="1:5" ht="25" customHeight="1" x14ac:dyDescent="0.45">
      <c r="A96" s="375" t="s">
        <v>979</v>
      </c>
      <c r="B96" s="375"/>
      <c r="C96" s="375"/>
      <c r="D96" s="375"/>
      <c r="E96" s="375"/>
    </row>
    <row r="97" spans="1:5" ht="16.5" x14ac:dyDescent="0.45">
      <c r="A97" s="4"/>
      <c r="B97" s="4"/>
      <c r="C97" s="4"/>
      <c r="D97" s="4"/>
      <c r="E97" s="4"/>
    </row>
    <row r="98" spans="1:5" ht="4" customHeight="1" x14ac:dyDescent="0.45">
      <c r="A98" s="326" t="s">
        <v>775</v>
      </c>
      <c r="B98" s="326"/>
      <c r="C98" s="326"/>
      <c r="D98" s="326"/>
      <c r="E98" s="326"/>
    </row>
    <row r="99" spans="1:5" ht="25" customHeight="1" x14ac:dyDescent="0.45">
      <c r="A99" s="354" t="s">
        <v>980</v>
      </c>
      <c r="B99" s="354"/>
      <c r="C99" s="354"/>
      <c r="D99" s="354"/>
      <c r="E99" s="354"/>
    </row>
  </sheetData>
  <mergeCells count="21">
    <mergeCell ref="A96:E96"/>
    <mergeCell ref="A98:E98"/>
    <mergeCell ref="A99:E99"/>
    <mergeCell ref="A55:E55"/>
    <mergeCell ref="A56:E56"/>
    <mergeCell ref="A66:E66"/>
    <mergeCell ref="A81:E81"/>
    <mergeCell ref="A82:E82"/>
    <mergeCell ref="A94:E94"/>
    <mergeCell ref="A23:E23"/>
    <mergeCell ref="A24:E24"/>
    <mergeCell ref="A26:E26"/>
    <mergeCell ref="A27:E27"/>
    <mergeCell ref="A52:E52"/>
    <mergeCell ref="A53:E53"/>
    <mergeCell ref="A1:E1"/>
    <mergeCell ref="A2:E2"/>
    <mergeCell ref="A4:E4"/>
    <mergeCell ref="A5:E5"/>
    <mergeCell ref="A7:E7"/>
    <mergeCell ref="A8:E8"/>
  </mergeCells>
  <pageMargins left="0.7" right="0.7" top="0.75" bottom="0.75" header="0.3" footer="0.3"/>
</worksheet>
</file>

<file path=docMetadata/LabelInfo.xml><?xml version="1.0" encoding="utf-8"?>
<clbl:labelList xmlns:clbl="http://schemas.microsoft.com/office/2020/mipLabelMetadata">
  <clbl:label id="{e7f09a8f-df31-4464-b100-d09a5dbff5c8}" enabled="1" method="Standard" siteId="{570057f4-73ef-41c8-bcbb-08db2fc15c2b}"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Read Me</vt:lpstr>
      <vt:lpstr>Assumptions</vt:lpstr>
      <vt:lpstr>AWS Evaluation</vt:lpstr>
      <vt:lpstr>AWS Unsupported</vt:lpstr>
      <vt:lpstr>Assumptions!Print_Area</vt:lpstr>
      <vt:lpstr>'Read 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Upendra Kumar</cp:lastModifiedBy>
  <cp:revision>0</cp:revision>
  <dcterms:created xsi:type="dcterms:W3CDTF">2026-04-25T12:28:22Z</dcterms:created>
  <dcterms:modified xsi:type="dcterms:W3CDTF">2026-04-26T09:22:01Z</dcterms:modified>
  <dc:language>en-US</dc:language>
</cp:coreProperties>
</file>