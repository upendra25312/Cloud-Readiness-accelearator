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Overview" sheetId="3" state="visible" r:id="rId3"/>
    <sheet xmlns:r="http://schemas.openxmlformats.org/officeDocument/2006/relationships" name="Server_Inventory" sheetId="4" state="visible" r:id="rId4"/>
    <sheet xmlns:r="http://schemas.openxmlformats.org/officeDocument/2006/relationships" name="Network_Dependencies" sheetId="5" state="visible" r:id="rId5"/>
    <sheet xmlns:r="http://schemas.openxmlformats.org/officeDocument/2006/relationships" name="App_Dependencies" sheetId="6" state="visible" r:id="rId6"/>
    <sheet xmlns:r="http://schemas.openxmlformats.org/officeDocument/2006/relationships" name="Process_Mapping" sheetId="7" state="visible" r:id="rId7"/>
    <sheet xmlns:r="http://schemas.openxmlformats.org/officeDocument/2006/relationships" name="Tool_Reference" sheetId="8" state="visible" r:id="rId8"/>
    <sheet xmlns:r="http://schemas.openxmlformats.org/officeDocument/2006/relationships" name="Process_Data_Guide" sheetId="9" state="visible" r:id="rId9"/>
    <sheet xmlns:r="http://schemas.openxmlformats.org/officeDocument/2006/relationships" name="Prerequisites_Remediation" sheetId="10" state="visible" r:id="rId10"/>
    <sheet xmlns:r="http://schemas.openxmlformats.org/officeDocument/2006/relationships" name="Dependency Heat Map" sheetId="11" state="visible" r:id="rId1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6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FFFFFF"/>
      <sz val="16"/>
    </font>
    <font>
      <name val="Calibri"/>
      <charset val="1"/>
      <family val="2"/>
      <i val="1"/>
      <color theme="1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i val="1"/>
      <color theme="1"/>
      <sz val="10"/>
    </font>
    <font>
      <name val="Calibri"/>
      <charset val="1"/>
      <family val="2"/>
      <b val="1"/>
      <color rgb="FFFFFFFF"/>
      <sz val="18"/>
    </font>
    <font>
      <name val="Calibri"/>
      <charset val="1"/>
      <family val="2"/>
      <b val="1"/>
      <color rgb="FFFFFFFF"/>
      <sz val="14"/>
    </font>
    <font>
      <name val="Calibri"/>
      <charset val="1"/>
      <family val="2"/>
      <b val="1"/>
      <color rgb="FFFFFFFF"/>
      <sz val="22"/>
    </font>
    <font>
      <name val="Calibri"/>
      <charset val="1"/>
      <family val="2"/>
      <b val="1"/>
      <color rgb="FF0078D4"/>
      <sz val="12"/>
    </font>
    <font>
      <name val="Calibri"/>
      <charset val="1"/>
      <family val="2"/>
      <i val="1"/>
      <color rgb="FFFFFFFF"/>
      <sz val="12"/>
    </font>
    <font>
      <name val="Calibri"/>
      <charset val="1"/>
      <family val="2"/>
      <color rgb="FFFFFFFF"/>
      <sz val="11"/>
    </font>
    <font>
      <name val="Calibri"/>
      <charset val="1"/>
      <family val="2"/>
      <i val="1"/>
      <color rgb="FF808080"/>
      <sz val="11"/>
    </font>
    <font>
      <name val="Calibri"/>
      <charset val="1"/>
      <family val="2"/>
      <b val="1"/>
      <color rgb="FFFFFFFF"/>
      <sz val="13"/>
    </font>
    <font>
      <name val="Calibri"/>
      <charset val="1"/>
      <family val="2"/>
      <b val="1"/>
      <color rgb="FFFFFFFF"/>
      <sz val="12"/>
    </font>
    <font>
      <name val="Consolas"/>
      <color theme="1"/>
      <sz val="11"/>
    </font>
    <font>
      <name val="Consolas"/>
      <b val="1"/>
      <color theme="1"/>
      <sz val="11"/>
    </font>
    <font>
      <name val="Consolas"/>
      <color theme="1"/>
      <sz val="10"/>
    </font>
    <font>
      <name val="Calibri"/>
      <b val="1"/>
      <color rgb="00E31C3D"/>
      <sz val="16"/>
    </font>
    <font>
      <name val="Calibri"/>
      <i val="1"/>
      <color rgb="00666666"/>
      <sz val="11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sz val="9"/>
    </font>
    <font>
      <name val="Calibri"/>
      <i val="1"/>
      <color rgb="00999999"/>
      <sz val="8"/>
    </font>
    <font>
      <name val="Calibri"/>
      <b val="1"/>
      <color rgb="00FFFFFF"/>
      <sz val="11"/>
    </font>
  </fonts>
  <fills count="50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78D4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6E3F8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E4B5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B3D9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3D4FC"/>
        <bgColor indexed="64"/>
      </patternFill>
    </fill>
    <fill>
      <patternFill patternType="solid">
        <fgColor rgb="001A1F36"/>
      </patternFill>
    </fill>
    <fill>
      <patternFill patternType="solid">
        <fgColor rgb="00E31C3D"/>
      </patternFill>
    </fill>
    <fill>
      <patternFill patternType="solid">
        <fgColor rgb="00F2F2F2"/>
      </patternFill>
    </fill>
    <fill>
      <patternFill patternType="solid">
        <fgColor rgb="00FFF0E0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10" borderId="0" pivotButton="0" quotePrefix="0" xfId="0"/>
    <xf numFmtId="0" fontId="3" fillId="12" borderId="0" pivotButton="0" quotePrefix="0" xfId="0"/>
    <xf numFmtId="9" fontId="0" fillId="0" borderId="0" pivotButton="0" quotePrefix="0" xfId="0"/>
    <xf numFmtId="0" fontId="8" fillId="8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9" fillId="13" borderId="0" pivotButton="0" quotePrefix="0" xfId="0"/>
    <xf numFmtId="0" fontId="1" fillId="14" borderId="0" pivotButton="0" quotePrefix="0" xfId="0"/>
    <xf numFmtId="0" fontId="6" fillId="8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0" fontId="2" fillId="15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/>
    </xf>
    <xf numFmtId="0" fontId="3" fillId="16" borderId="0" pivotButton="0" quotePrefix="0" xfId="0"/>
    <xf numFmtId="0" fontId="1" fillId="11" borderId="0" applyAlignment="1" pivotButton="0" quotePrefix="0" xfId="0">
      <alignment wrapText="1"/>
    </xf>
    <xf numFmtId="0" fontId="12" fillId="0" borderId="0" pivotButton="0" quotePrefix="0" xfId="0"/>
    <xf numFmtId="0" fontId="2" fillId="3" borderId="0" applyAlignment="1" pivotButton="0" quotePrefix="0" xfId="0">
      <alignment horizontal="center"/>
    </xf>
    <xf numFmtId="0" fontId="11" fillId="3" borderId="0" applyAlignment="1" pivotButton="0" quotePrefix="0" xfId="0">
      <alignment horizontal="center"/>
    </xf>
    <xf numFmtId="0" fontId="1" fillId="17" borderId="0" applyAlignment="1" pivotButton="0" quotePrefix="0" xfId="0">
      <alignment wrapText="1"/>
    </xf>
    <xf numFmtId="0" fontId="2" fillId="6" borderId="0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3" fillId="18" borderId="0" pivotButton="0" quotePrefix="0" xfId="0"/>
    <xf numFmtId="0" fontId="1" fillId="19" borderId="0" applyAlignment="1" pivotButton="0" quotePrefix="0" xfId="0">
      <alignment wrapText="1"/>
    </xf>
    <xf numFmtId="0" fontId="2" fillId="5" borderId="0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3" fillId="20" borderId="0" pivotButton="0" quotePrefix="0" xfId="0"/>
    <xf numFmtId="0" fontId="1" fillId="21" borderId="0" applyAlignment="1" pivotButton="0" quotePrefix="0" xfId="0">
      <alignment wrapText="1"/>
    </xf>
    <xf numFmtId="17" fontId="0" fillId="0" borderId="0" pivotButton="0" quotePrefix="0" xfId="0"/>
    <xf numFmtId="0" fontId="6" fillId="22" borderId="0" applyAlignment="1" pivotButton="0" quotePrefix="0" xfId="0">
      <alignment horizontal="center"/>
    </xf>
    <xf numFmtId="0" fontId="11" fillId="22" borderId="0" applyAlignment="1" pivotButton="0" quotePrefix="0" xfId="0">
      <alignment horizontal="center"/>
    </xf>
    <xf numFmtId="0" fontId="13" fillId="7" borderId="0" pivotButton="0" quotePrefix="0" xfId="0"/>
    <xf numFmtId="0" fontId="13" fillId="8" borderId="0" pivotButton="0" quotePrefix="0" xfId="0"/>
    <xf numFmtId="0" fontId="13" fillId="9" borderId="0" pivotButton="0" quotePrefix="0" xfId="0"/>
    <xf numFmtId="0" fontId="1" fillId="23" borderId="0" pivotButton="0" quotePrefix="0" xfId="0"/>
    <xf numFmtId="0" fontId="1" fillId="24" borderId="0" pivotButton="0" quotePrefix="0" xfId="0"/>
    <xf numFmtId="0" fontId="2" fillId="2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0" fontId="5" fillId="25" borderId="0" pivotButton="0" quotePrefix="0" xfId="0"/>
    <xf numFmtId="0" fontId="14" fillId="7" borderId="0" pivotButton="0" quotePrefix="0" xfId="0"/>
    <xf numFmtId="0" fontId="1" fillId="26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4" fillId="8" borderId="0" applyAlignment="1" pivotButton="0" quotePrefix="0" xfId="0">
      <alignment vertical="top" wrapText="1"/>
    </xf>
    <xf numFmtId="0" fontId="1" fillId="27" borderId="0" pivotButton="0" quotePrefix="0" xfId="0"/>
    <xf numFmtId="0" fontId="14" fillId="9" borderId="0" applyAlignment="1" pivotButton="0" quotePrefix="0" xfId="0">
      <alignment vertical="top" wrapText="1"/>
    </xf>
    <xf numFmtId="0" fontId="14" fillId="28" borderId="0" applyAlignment="1" pivotButton="0" quotePrefix="0" xfId="0">
      <alignment vertical="top" wrapText="1"/>
    </xf>
    <xf numFmtId="0" fontId="1" fillId="29" borderId="0" pivotButton="0" quotePrefix="0" xfId="0"/>
    <xf numFmtId="0" fontId="14" fillId="30" borderId="0" applyAlignment="1" pivotButton="0" quotePrefix="0" xfId="0">
      <alignment vertical="top" wrapText="1"/>
    </xf>
    <xf numFmtId="0" fontId="1" fillId="31" borderId="0" pivotButton="0" quotePrefix="0" xfId="0"/>
    <xf numFmtId="0" fontId="14" fillId="32" borderId="0" applyAlignment="1" pivotButton="0" quotePrefix="0" xfId="0">
      <alignment vertical="top" wrapText="1"/>
    </xf>
    <xf numFmtId="0" fontId="1" fillId="33" borderId="0" pivotButton="0" quotePrefix="0" xfId="0"/>
    <xf numFmtId="0" fontId="14" fillId="34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35" borderId="0" applyAlignment="1" pivotButton="0" quotePrefix="0" xfId="0">
      <alignment wrapText="1"/>
    </xf>
    <xf numFmtId="0" fontId="4" fillId="36" borderId="0" pivotButton="0" quotePrefix="0" xfId="0"/>
    <xf numFmtId="0" fontId="1" fillId="37" borderId="0" pivotButton="0" quotePrefix="0" xfId="0"/>
    <xf numFmtId="0" fontId="9" fillId="13" borderId="0" pivotButton="0" quotePrefix="0" xfId="0"/>
    <xf numFmtId="0" fontId="3" fillId="38" borderId="0" applyAlignment="1" pivotButton="0" quotePrefix="0" xfId="0">
      <alignment horizontal="center"/>
    </xf>
    <xf numFmtId="0" fontId="4" fillId="7" borderId="0" pivotButton="0" quotePrefix="0" xfId="0"/>
    <xf numFmtId="0" fontId="1" fillId="39" borderId="0" pivotButton="0" quotePrefix="0" xfId="0"/>
    <xf numFmtId="0" fontId="1" fillId="40" borderId="0" pivotButton="0" quotePrefix="0" xfId="0"/>
    <xf numFmtId="0" fontId="1" fillId="41" borderId="0" pivotButton="0" quotePrefix="0" xfId="0"/>
    <xf numFmtId="0" fontId="4" fillId="8" borderId="0" pivotButton="0" quotePrefix="0" xfId="0"/>
    <xf numFmtId="0" fontId="1" fillId="42" borderId="0" pivotButton="0" quotePrefix="0" xfId="0"/>
    <xf numFmtId="0" fontId="15" fillId="43" borderId="0" pivotButton="0" quotePrefix="0" xfId="0"/>
    <xf numFmtId="0" fontId="16" fillId="42" borderId="0" pivotButton="0" quotePrefix="0" xfId="0"/>
    <xf numFmtId="0" fontId="4" fillId="9" borderId="0" pivotButton="0" quotePrefix="0" xfId="0"/>
    <xf numFmtId="0" fontId="1" fillId="44" borderId="0" pivotButton="0" quotePrefix="0" xfId="0"/>
    <xf numFmtId="0" fontId="4" fillId="28" borderId="0" pivotButton="0" quotePrefix="0" xfId="0"/>
    <xf numFmtId="0" fontId="4" fillId="30" borderId="0" pivotButton="0" quotePrefix="0" xfId="0"/>
    <xf numFmtId="0" fontId="1" fillId="41" borderId="0" applyAlignment="1" pivotButton="0" quotePrefix="0" xfId="0">
      <alignment wrapText="1"/>
    </xf>
    <xf numFmtId="0" fontId="4" fillId="32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left" vertical="top" wrapText="1"/>
    </xf>
    <xf numFmtId="0" fontId="19" fillId="0" borderId="0" pivotButton="0" quotePrefix="0" xfId="0"/>
    <xf numFmtId="0" fontId="21" fillId="45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left" vertical="top" wrapText="1"/>
    </xf>
    <xf numFmtId="0" fontId="24" fillId="0" borderId="0" pivotButton="0" quotePrefix="0" xfId="0"/>
    <xf numFmtId="0" fontId="25" fillId="45" borderId="0" applyAlignment="1" pivotButton="0" quotePrefix="0" xfId="0">
      <alignment horizontal="left" vertical="top" wrapText="1"/>
    </xf>
    <xf numFmtId="0" fontId="21" fillId="46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top" wrapText="1"/>
    </xf>
    <xf numFmtId="0" fontId="22" fillId="46" borderId="1" applyAlignment="1" pivotButton="0" quotePrefix="0" xfId="0">
      <alignment horizontal="left" vertical="top" wrapText="1"/>
    </xf>
    <xf numFmtId="0" fontId="22" fillId="47" borderId="1" applyAlignment="1" pivotButton="0" quotePrefix="0" xfId="0">
      <alignment horizontal="left" vertical="top" wrapText="1"/>
    </xf>
    <xf numFmtId="0" fontId="22" fillId="48" borderId="1" applyAlignment="1" pivotButton="0" quotePrefix="0" xfId="0">
      <alignment horizontal="left" vertical="top" wrapText="1"/>
    </xf>
    <xf numFmtId="0" fontId="22" fillId="49" borderId="1" applyAlignment="1" pivotButton="0" quotePrefix="0" xfId="0">
      <alignment horizontal="left" vertical="top" wrapText="1"/>
    </xf>
    <xf numFmtId="0" fontId="20" fillId="0" borderId="0" pivotButton="0" quotePrefix="0" xfId="0"/>
    <xf numFmtId="0" fontId="21" fillId="46" borderId="0" pivotButton="0" quotePrefix="0" xfId="0"/>
    <xf numFmtId="0" fontId="22" fillId="48" borderId="0" pivotButton="0" quotePrefix="0" xfId="0"/>
    <xf numFmtId="0" fontId="22" fillId="49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5" customWidth="1" style="1" min="1" max="1"/>
    <col width="70" customWidth="1" style="1" min="2" max="2"/>
  </cols>
  <sheetData>
    <row r="1" ht="28" customHeight="1" s="1">
      <c r="A1" s="76" t="inlineStr">
        <is>
          <t>Instructions — dependency-mapping.xlsx</t>
        </is>
      </c>
    </row>
    <row r="2">
      <c r="A2" s="77" t="inlineStr">
        <is>
          <t>Read this before opening any other tab</t>
        </is>
      </c>
    </row>
    <row r="4" ht="18" customHeight="1" s="1">
      <c r="A4" s="78" t="inlineStr">
        <is>
          <t>PURPOSE</t>
        </is>
      </c>
    </row>
    <row r="5" ht="184" customHeight="1" s="1">
      <c r="A5" s="79" t="inlineStr">
        <is>
          <t xml:space="preserve">  Map application-to-application and application-to-infrastructure dependencies. This is used to identify dependency clusters in Phase 2 and sequence migration waves in Phase 4. Applications with tightly-coupled dependencies cannot be separated across different migration waves.</t>
        </is>
      </c>
    </row>
    <row r="7" ht="18" customHeight="1" s="1">
      <c r="A7" s="78" t="inlineStr">
        <is>
          <t>WHO FILLS THIS IN</t>
        </is>
      </c>
    </row>
    <row r="8" ht="172" customHeight="1" s="1">
      <c r="A8" s="79" t="inlineStr">
        <is>
          <t xml:space="preserve">  Lead Architect (facilitation) + Application Owners (workshop participants). The dependency data comes from two sources: (1) automated discovery tooling (Azure Migrate network dependencies, AWS ADS, GCP Migration Center), and (2) workshops with application owners.</t>
        </is>
      </c>
    </row>
    <row r="10" ht="18" customHeight="1" s="1">
      <c r="A10" s="78" t="inlineStr">
        <is>
          <t>WHEN TO USE</t>
        </is>
      </c>
    </row>
    <row r="11" ht="128" customHeight="1" s="1">
      <c r="A11" s="79" t="inlineStr">
        <is>
          <t xml:space="preserve">  Phase 1 Weeks 2–6. Workshops with application owners should be scheduled in Phase 1 Week 2 while discovery tooling is still collecting data in the background. Do not wait for Phase 1 to complete.</t>
        </is>
      </c>
    </row>
    <row r="13" ht="18" customHeight="1" s="1">
      <c r="A13" s="78" t="inlineStr">
        <is>
          <t>WHAT 'GOOD DATA' LOOKS LIKE</t>
        </is>
      </c>
    </row>
    <row r="14" ht="15" customHeight="1" s="1">
      <c r="A14" s="80" t="inlineStr">
        <is>
          <t xml:space="preserve">  • Every Tier-1 application has its dependencies validated by its application owner</t>
        </is>
      </c>
    </row>
    <row r="15" ht="15" customHeight="1" s="1">
      <c r="A15" s="80" t="inlineStr">
        <is>
          <t xml:space="preserve">  • Dependency Cluster IDs assigned to all tightly-coupled groups</t>
        </is>
      </c>
    </row>
    <row r="16" ht="15" customHeight="1" s="1">
      <c r="A16" s="80" t="inlineStr">
        <is>
          <t xml:space="preserve">  • External dependencies (SaaS, APIs, third-party services) are documented</t>
        </is>
      </c>
    </row>
    <row r="17" ht="15" customHeight="1" s="1">
      <c r="A17" s="80" t="inlineStr">
        <is>
          <t xml:space="preserve">  • Bi-directional dependencies captured (upstream AND downstream)</t>
        </is>
      </c>
    </row>
    <row r="18" ht="15" customHeight="1" s="1">
      <c r="A18" s="80" t="inlineStr">
        <is>
          <t xml:space="preserve">  • Latency-sensitive dependencies flagged (cannot tolerate WAN latency post-migration)</t>
        </is>
      </c>
    </row>
    <row r="20" ht="18" customHeight="1" s="1">
      <c r="A20" s="78" t="inlineStr">
        <is>
          <t>COMMON MISTAKES TO AVOID</t>
        </is>
      </c>
    </row>
    <row r="21" ht="15" customHeight="1" s="1">
      <c r="A21" s="80" t="inlineStr">
        <is>
          <t xml:space="preserve">  • Relying on automated tools only — they miss application-level logical dependencies</t>
        </is>
      </c>
    </row>
    <row r="22" ht="15" customHeight="1" s="1">
      <c r="A22" s="80" t="inlineStr">
        <is>
          <t xml:space="preserve">  • Not capturing database-level dependencies (shared SQL instances across apps)</t>
        </is>
      </c>
    </row>
    <row r="23" ht="15" customHeight="1" s="1">
      <c r="A23" s="80" t="inlineStr">
        <is>
          <t xml:space="preserve">  • Ignoring SaaS dependencies — a migrated app that calls an on-prem SaaS proxy breaks</t>
        </is>
      </c>
    </row>
    <row r="24" ht="15" customHeight="1" s="1">
      <c r="A24" s="80" t="inlineStr">
        <is>
          <t xml:space="preserve">  • Not clustering tightly-coupled apps — splitting them across waves causes migration failures</t>
        </is>
      </c>
    </row>
    <row r="26">
      <c r="A26" s="81" t="inlineStr">
        <is>
          <t>CRA Framework v2.0  |  Rackspace Cloud Solutions Architecture  |  dependency-mapping.xlsx</t>
        </is>
      </c>
    </row>
  </sheetData>
  <mergeCells count="20">
    <mergeCell ref="A24:B24"/>
    <mergeCell ref="A15:B15"/>
    <mergeCell ref="A11:B11"/>
    <mergeCell ref="A1:B1"/>
    <mergeCell ref="A16:B16"/>
    <mergeCell ref="A7:B7"/>
    <mergeCell ref="A18:B18"/>
    <mergeCell ref="A26:B26"/>
    <mergeCell ref="A21:B21"/>
    <mergeCell ref="A2:B2"/>
    <mergeCell ref="A5:B5"/>
    <mergeCell ref="A14:B14"/>
    <mergeCell ref="A23:B23"/>
    <mergeCell ref="A17:B17"/>
    <mergeCell ref="A8:B8"/>
    <mergeCell ref="A22:B22"/>
    <mergeCell ref="A4:B4"/>
    <mergeCell ref="A20:B20"/>
    <mergeCell ref="A10:B10"/>
    <mergeCell ref="A13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78D4"/>
    <outlinePr summaryBelow="1" summaryRight="1"/>
    <pageSetUpPr/>
  </sheetPr>
  <dimension ref="A1:H56"/>
  <sheetViews>
    <sheetView topLeftCell="A14" workbookViewId="0">
      <selection activeCell="B10" sqref="B10"/>
    </sheetView>
  </sheetViews>
  <sheetFormatPr baseColWidth="8" defaultRowHeight="14.5"/>
  <cols>
    <col width="40" customWidth="1" style="1" min="1" max="1"/>
    <col width="23.6328125" customWidth="1" style="1" min="2" max="2"/>
    <col width="18.1796875" customWidth="1" style="1" min="3" max="3"/>
    <col width="14.54296875" customWidth="1" style="1" min="4" max="4"/>
    <col width="29.08984375" customWidth="1" style="1" min="5" max="5"/>
    <col width="23.6328125" customWidth="1" style="1" min="6" max="6"/>
  </cols>
  <sheetData>
    <row r="1" ht="35" customHeight="1" s="1">
      <c r="A1" s="6" t="inlineStr">
        <is>
          <t>CLOUD READINESS ASSESSMENT</t>
        </is>
      </c>
    </row>
    <row r="2" ht="18.5" customHeight="1" s="1">
      <c r="A2" s="7" t="inlineStr">
        <is>
          <t>DEPENDENCY MAPPING TEMPLATE</t>
        </is>
      </c>
    </row>
    <row r="4" ht="15.5" customHeight="1" s="1">
      <c r="A4" s="59" t="inlineStr">
        <is>
          <t>PROJECT INFORMATION</t>
        </is>
      </c>
    </row>
    <row r="5">
      <c r="A5" s="9" t="inlineStr">
        <is>
          <t>Field</t>
        </is>
      </c>
      <c r="B5" s="9" t="inlineStr">
        <is>
          <t>Value</t>
        </is>
      </c>
      <c r="C5" s="9" t="n"/>
      <c r="D5" s="9" t="n"/>
      <c r="E5" s="9" t="inlineStr">
        <is>
          <t>Field</t>
        </is>
      </c>
      <c r="F5" s="9" t="inlineStr">
        <is>
          <t>Value</t>
        </is>
      </c>
    </row>
    <row r="6">
      <c r="A6" t="inlineStr">
        <is>
          <t>Project Name</t>
        </is>
      </c>
      <c r="B6" t="inlineStr">
        <is>
          <t>[Enter Project Name]</t>
        </is>
      </c>
      <c r="E6" t="inlineStr">
        <is>
          <t>Project Manager</t>
        </is>
      </c>
      <c r="F6" t="inlineStr">
        <is>
          <t>[Enter PM Name]</t>
        </is>
      </c>
    </row>
    <row r="7">
      <c r="A7" t="inlineStr">
        <is>
          <t>Organization</t>
        </is>
      </c>
      <c r="B7" t="inlineStr">
        <is>
          <t>[Enter Organization]</t>
        </is>
      </c>
      <c r="E7" t="inlineStr">
        <is>
          <t>Technical Lead</t>
        </is>
      </c>
      <c r="F7" t="inlineStr">
        <is>
          <t>[Enter Tech Lead]</t>
        </is>
      </c>
    </row>
    <row r="8">
      <c r="A8" t="inlineStr">
        <is>
          <t>Assessment Start Date</t>
        </is>
      </c>
      <c r="B8" t="inlineStr">
        <is>
          <t>[Enter Date]</t>
        </is>
      </c>
      <c r="E8" t="inlineStr">
        <is>
          <t>Target Completion</t>
        </is>
      </c>
      <c r="F8" t="inlineStr">
        <is>
          <t>[Enter Date]</t>
        </is>
      </c>
    </row>
    <row r="9">
      <c r="A9" t="inlineStr">
        <is>
          <t>Cloud Target(s)</t>
        </is>
      </c>
      <c r="B9" t="inlineStr">
        <is>
          <t>[AWS/Azure/GCP]</t>
        </is>
      </c>
      <c r="E9" t="inlineStr">
        <is>
          <t>Assessment Phase</t>
        </is>
      </c>
      <c r="F9" t="inlineStr">
        <is>
          <t>[Discovery/Analysis]</t>
        </is>
      </c>
    </row>
    <row r="11" ht="15.5" customHeight="1" s="1">
      <c r="A11" s="59" t="inlineStr">
        <is>
          <t>DISCOVERY METRICS (Auto-Calculated)</t>
        </is>
      </c>
    </row>
    <row r="12">
      <c r="A12" s="9" t="inlineStr">
        <is>
          <t>Metric</t>
        </is>
      </c>
      <c r="B12" s="9" t="inlineStr">
        <is>
          <t>Count</t>
        </is>
      </c>
      <c r="C12" s="9" t="inlineStr">
        <is>
          <t>Source</t>
        </is>
      </c>
    </row>
    <row r="13">
      <c r="A13" t="inlineStr">
        <is>
          <t>Total Servers Discovered</t>
        </is>
      </c>
      <c r="B13">
        <f>COUNTA(Server_Inventory!A:A)-4</f>
        <v/>
      </c>
      <c r="C13" t="inlineStr">
        <is>
          <t>Server_Inventory</t>
        </is>
      </c>
    </row>
    <row r="14">
      <c r="A14" t="inlineStr">
        <is>
          <t>Total Network Connections</t>
        </is>
      </c>
      <c r="B14">
        <f>COUNTA(Network_Dependencies!A:A)-4</f>
        <v/>
      </c>
      <c r="C14" t="inlineStr">
        <is>
          <t>Network_Dependencies</t>
        </is>
      </c>
    </row>
    <row r="15">
      <c r="A15" t="inlineStr">
        <is>
          <t>Total Application Dependencies</t>
        </is>
      </c>
      <c r="B15">
        <f>COUNTA(App_Dependencies!A:A)-4</f>
        <v/>
      </c>
      <c r="C15" t="inlineStr">
        <is>
          <t>App_Dependencies</t>
        </is>
      </c>
    </row>
    <row r="16">
      <c r="A16" t="inlineStr">
        <is>
          <t>Total Processes Mapped</t>
        </is>
      </c>
      <c r="B16">
        <f>COUNTA(Process_Mapping!A:A)-4</f>
        <v/>
      </c>
      <c r="C16" t="inlineStr">
        <is>
          <t>Process_Mapping</t>
        </is>
      </c>
    </row>
    <row r="18" ht="15.5" customHeight="1" s="1">
      <c r="A18" s="59" t="inlineStr">
        <is>
          <t>DISCOVERY SOURCE BREAKDOWN</t>
        </is>
      </c>
    </row>
    <row r="19">
      <c r="A19" s="9" t="inlineStr">
        <is>
          <t>Source</t>
        </is>
      </c>
      <c r="B19" s="9" t="inlineStr">
        <is>
          <t>Servers</t>
        </is>
      </c>
      <c r="C19" s="9" t="inlineStr">
        <is>
          <t>Network</t>
        </is>
      </c>
      <c r="D19" s="9" t="inlineStr">
        <is>
          <t>Apps</t>
        </is>
      </c>
      <c r="E19" s="9" t="inlineStr">
        <is>
          <t>Processes</t>
        </is>
      </c>
    </row>
    <row r="20">
      <c r="A20" t="inlineStr">
        <is>
          <t>AWS ADS</t>
        </is>
      </c>
      <c r="B20">
        <f>COUNTIF(Server_Inventory!M:M,"*AWS*")</f>
        <v/>
      </c>
      <c r="C20">
        <f>COUNTIF(Network_Dependencies!Q:Q,"*AWS*")</f>
        <v/>
      </c>
      <c r="D20">
        <f>COUNTIF(App_Dependencies!P:P,"*AWS*")</f>
        <v/>
      </c>
      <c r="E20">
        <f>COUNTIF(Process_Mapping!R:R,"*AWS*")</f>
        <v/>
      </c>
    </row>
    <row r="21">
      <c r="A21" t="inlineStr">
        <is>
          <t>Azure Migrate</t>
        </is>
      </c>
      <c r="B21">
        <f>COUNTIF(Server_Inventory!M:M,"*Azure*")</f>
        <v/>
      </c>
      <c r="C21">
        <f>COUNTIF(Network_Dependencies!Q:Q,"*Azure*")</f>
        <v/>
      </c>
      <c r="D21">
        <f>COUNTIF(App_Dependencies!P:P,"*Azure*")</f>
        <v/>
      </c>
      <c r="E21">
        <f>COUNTIF(Process_Mapping!R:R,"*Azure*")</f>
        <v/>
      </c>
    </row>
    <row r="22">
      <c r="A22" t="inlineStr">
        <is>
          <t>GCP Migration Center</t>
        </is>
      </c>
      <c r="B22">
        <f>COUNTIF(Server_Inventory!M:M,"*GCP*")</f>
        <v/>
      </c>
      <c r="C22">
        <f>COUNTIF(Network_Dependencies!Q:Q,"*GCP*")</f>
        <v/>
      </c>
      <c r="D22">
        <f>COUNTIF(App_Dependencies!P:P,"*GCP*")</f>
        <v/>
      </c>
      <c r="E22">
        <f>COUNTIF(Process_Mapping!R:R,"*GCP*")</f>
        <v/>
      </c>
    </row>
    <row r="23">
      <c r="A23" t="inlineStr">
        <is>
          <t>Manual Entry</t>
        </is>
      </c>
      <c r="B23">
        <f>COUNTIF(Server_Inventory!M:M,"Manual")</f>
        <v/>
      </c>
      <c r="C23">
        <f>COUNTIF(Network_Dependencies!Q:Q,"Manual")</f>
        <v/>
      </c>
      <c r="D23">
        <f>COUNTIF(App_Dependencies!P:P,"Manual")</f>
        <v/>
      </c>
      <c r="E23">
        <f>COUNTIF(Process_Mapping!R:R,"Manual")</f>
        <v/>
      </c>
    </row>
    <row r="25" ht="15.5" customHeight="1" s="1">
      <c r="A25" s="59" t="inlineStr">
        <is>
          <t>DEPENDENCY CRITICALITY ANALYSIS</t>
        </is>
      </c>
    </row>
    <row r="26">
      <c r="A26" s="9" t="inlineStr">
        <is>
          <t>Criticality Level</t>
        </is>
      </c>
      <c r="B26" s="9" t="inlineStr">
        <is>
          <t>Count</t>
        </is>
      </c>
      <c r="C26" s="9" t="inlineStr">
        <is>
          <t>Percentage</t>
        </is>
      </c>
    </row>
    <row r="27">
      <c r="A27" t="inlineStr">
        <is>
          <t>Critical</t>
        </is>
      </c>
      <c r="B27">
        <f>COUNTIF(App_Dependencies!I:I,"Critical")</f>
        <v/>
      </c>
      <c r="C27" s="5">
        <f>IF($B$15&gt;0,TEXT(B27/$B$15,"0%"),"0%")</f>
        <v/>
      </c>
    </row>
    <row r="28">
      <c r="A28" t="inlineStr">
        <is>
          <t>High</t>
        </is>
      </c>
      <c r="B28">
        <f>COUNTIF(App_Dependencies!I:I,"High")</f>
        <v/>
      </c>
      <c r="C28" s="5">
        <f>IF($B$15&gt;0,TEXT(B28/$B$15,"0%"),"0%")</f>
        <v/>
      </c>
    </row>
    <row r="29">
      <c r="A29" t="inlineStr">
        <is>
          <t>Medium</t>
        </is>
      </c>
      <c r="B29">
        <f>COUNTIF(App_Dependencies!I:I,"Medium")</f>
        <v/>
      </c>
      <c r="C29" s="5">
        <f>IF($B$15&gt;0,TEXT(B29/$B$15,"0%"),"0%")</f>
        <v/>
      </c>
    </row>
    <row r="30">
      <c r="A30" t="inlineStr">
        <is>
          <t>Low</t>
        </is>
      </c>
      <c r="B30">
        <f>COUNTIF(App_Dependencies!I:I,"Low")</f>
        <v/>
      </c>
      <c r="C30" s="5">
        <f>IF($B$15&gt;0,TEXT(B30/$B$15,"0%"),"0%")</f>
        <v/>
      </c>
    </row>
    <row r="31" ht="15.5" customHeight="1" s="1">
      <c r="A31" s="59" t="n"/>
    </row>
    <row r="32">
      <c r="A32" s="9" t="inlineStr">
        <is>
          <t>READINESS ASSESSMENT STATUS</t>
        </is>
      </c>
      <c r="B32" s="9" t="n"/>
      <c r="C32" s="9" t="n"/>
      <c r="D32" s="9" t="n"/>
      <c r="E32" s="9" t="n"/>
    </row>
    <row r="33">
      <c r="A33" t="inlineStr">
        <is>
          <t>Assessment Area</t>
        </is>
      </c>
      <c r="B33" t="inlineStr">
        <is>
          <t>Status</t>
        </is>
      </c>
      <c r="C33" t="inlineStr">
        <is>
          <t>Completion %</t>
        </is>
      </c>
      <c r="D33" t="inlineStr">
        <is>
          <t>Owner</t>
        </is>
      </c>
      <c r="E33" t="inlineStr">
        <is>
          <t>Notes</t>
        </is>
      </c>
    </row>
    <row r="34">
      <c r="A34" t="inlineStr">
        <is>
          <t>Server Discovery</t>
        </is>
      </c>
      <c r="B34" t="inlineStr">
        <is>
          <t>Not Started</t>
        </is>
      </c>
      <c r="C34" s="5" t="n">
        <v>0</v>
      </c>
    </row>
    <row r="35">
      <c r="A35" t="inlineStr">
        <is>
          <t>Network Dependency Mapping</t>
        </is>
      </c>
      <c r="B35" t="inlineStr">
        <is>
          <t>Not Started</t>
        </is>
      </c>
      <c r="C35" s="5" t="n">
        <v>0</v>
      </c>
    </row>
    <row r="36">
      <c r="A36" t="inlineStr">
        <is>
          <t>Application Dependency Analysis</t>
        </is>
      </c>
      <c r="B36" t="inlineStr">
        <is>
          <t>Not Started</t>
        </is>
      </c>
      <c r="C36" s="5" t="n">
        <v>0</v>
      </c>
    </row>
    <row r="37">
      <c r="A37" t="inlineStr">
        <is>
          <t>Process Inventory</t>
        </is>
      </c>
      <c r="B37" t="inlineStr">
        <is>
          <t>Not Started</t>
        </is>
      </c>
      <c r="C37" s="5" t="n">
        <v>0</v>
      </c>
    </row>
    <row r="38">
      <c r="A38" t="inlineStr">
        <is>
          <t>Data Validation</t>
        </is>
      </c>
      <c r="B38" t="inlineStr">
        <is>
          <t>Not Started</t>
        </is>
      </c>
      <c r="C38" s="5" t="n">
        <v>0</v>
      </c>
    </row>
    <row r="39">
      <c r="A39" t="inlineStr">
        <is>
          <t>Stakeholder Review</t>
        </is>
      </c>
      <c r="B39" t="inlineStr">
        <is>
          <t>Not Started</t>
        </is>
      </c>
      <c r="C39" s="5" t="n">
        <v>0</v>
      </c>
    </row>
    <row r="40" ht="15.5" customHeight="1" s="1">
      <c r="A40" s="59" t="n"/>
    </row>
    <row r="41">
      <c r="A41" t="inlineStr">
        <is>
          <t>TEMPLATE INSTRUCTIONS</t>
        </is>
      </c>
    </row>
    <row r="42">
      <c r="A42" t="inlineStr">
        <is>
          <t>Step 1: Fill in Project Information above</t>
        </is>
      </c>
    </row>
    <row r="43">
      <c r="A43" t="inlineStr">
        <is>
          <t>Step 2: Deploy cloud discovery tools (AWS ADS, Azure Migrate, GCP Migration Center)</t>
        </is>
      </c>
    </row>
    <row r="44">
      <c r="A44" t="inlineStr">
        <is>
          <t>Step 3: Export data and populate inventory sheets</t>
        </is>
      </c>
    </row>
    <row r="45">
      <c r="A45" t="inlineStr">
        <is>
          <t>Step 4: Dashboard metrics auto-calculate as data is added</t>
        </is>
      </c>
    </row>
    <row r="46">
      <c r="A46" t="inlineStr">
        <is>
          <t>Step 5: Update status and complete stakeholder review</t>
        </is>
      </c>
    </row>
    <row r="48">
      <c r="A48" s="57" t="inlineStr">
        <is>
          <t>PREREQUISITES &amp; REMEDIATION SUMMARY</t>
        </is>
      </c>
    </row>
    <row r="49">
      <c r="A49" s="58" t="inlineStr">
        <is>
          <t>Cloud Provider</t>
        </is>
      </c>
      <c r="B49" s="58" t="inlineStr">
        <is>
          <t>Total Prerequisites</t>
        </is>
      </c>
      <c r="C49" s="58" t="inlineStr">
        <is>
          <t>Complete</t>
        </is>
      </c>
      <c r="D49" s="58" t="inlineStr">
        <is>
          <t>In Progress</t>
        </is>
      </c>
      <c r="E49" s="58" t="inlineStr">
        <is>
          <t>Blocked</t>
        </is>
      </c>
    </row>
    <row r="50">
      <c r="A50" t="inlineStr">
        <is>
          <t>AWS ADS</t>
        </is>
      </c>
      <c r="B50" t="n">
        <v>16</v>
      </c>
      <c r="C50">
        <f>COUNTIF(Prerequisites_Remediation!D7:D22,"✓ Complete")</f>
        <v/>
      </c>
      <c r="D50">
        <f>COUNTIF(Prerequisites_Remediation!D7:D22,"⏳ In Progress")</f>
        <v/>
      </c>
      <c r="E50">
        <f>COUNTIF(Prerequisites_Remediation!D7:D22,"⚠ Blocked")</f>
        <v/>
      </c>
    </row>
    <row r="51">
      <c r="A51" t="inlineStr">
        <is>
          <t>Azure Migrate</t>
        </is>
      </c>
      <c r="B51" t="n">
        <v>18</v>
      </c>
      <c r="C51">
        <f>COUNTIF(Prerequisites_Remediation!D26:D43,"✓ Complete")</f>
        <v/>
      </c>
      <c r="D51">
        <f>COUNTIF(Prerequisites_Remediation!D26:D43,"⏳ In Progress")</f>
        <v/>
      </c>
      <c r="E51">
        <f>COUNTIF(Prerequisites_Remediation!D26:D43,"⚠ Blocked")</f>
        <v/>
      </c>
    </row>
    <row r="52">
      <c r="A52" t="inlineStr">
        <is>
          <t>GCP Migration Center</t>
        </is>
      </c>
      <c r="B52" t="n">
        <v>16</v>
      </c>
      <c r="C52">
        <f>COUNTIF(Prerequisites_Remediation!D47:D62,"✓ Complete")</f>
        <v/>
      </c>
      <c r="D52">
        <f>COUNTIF(Prerequisites_Remediation!D47:D62,"⏳ In Progress")</f>
        <v/>
      </c>
      <c r="E52">
        <f>COUNTIF(Prerequisites_Remediation!D47:D62,"⚠ Blocked")</f>
        <v/>
      </c>
    </row>
    <row r="54">
      <c r="A54" s="58" t="inlineStr">
        <is>
          <t>Category</t>
        </is>
      </c>
      <c r="B54" s="58" t="inlineStr">
        <is>
          <t>Total Items</t>
        </is>
      </c>
      <c r="C54" s="58" t="inlineStr">
        <is>
          <t>Validated/Resolved</t>
        </is>
      </c>
      <c r="D54" s="58" t="inlineStr">
        <is>
          <t>Pending</t>
        </is>
      </c>
      <c r="E54" s="58" t="n"/>
    </row>
    <row r="55">
      <c r="A55" t="inlineStr">
        <is>
          <t>Assumptions</t>
        </is>
      </c>
      <c r="B55" t="n">
        <v>15</v>
      </c>
      <c r="C55">
        <f>COUNTIF(Prerequisites_Remediation!D66:D80,"Yes")</f>
        <v/>
      </c>
      <c r="D55">
        <f>COUNTIF(Prerequisites_Remediation!D66:D80,"Pending")</f>
        <v/>
      </c>
    </row>
    <row r="56">
      <c r="A56" t="inlineStr">
        <is>
          <t>Active Gaps/Remediation Items</t>
        </is>
      </c>
      <c r="B56" t="n">
        <v>20</v>
      </c>
      <c r="C56">
        <f>COUNTIF(Prerequisites_Remediation!C107:C116,"✓ Complete")</f>
        <v/>
      </c>
      <c r="D56">
        <f>COUNTIF(Prerequisites_Remediation!C107:C116,"⏳ In Progress")+COUNTIF(Prerequisites_Remediation!C107:C116,"⚠ Blocked")</f>
        <v/>
      </c>
    </row>
  </sheetData>
  <mergeCells count="9">
    <mergeCell ref="A18:H18"/>
    <mergeCell ref="A4:H4"/>
    <mergeCell ref="A48:H48"/>
    <mergeCell ref="A25:H25"/>
    <mergeCell ref="A2:H2"/>
    <mergeCell ref="A11:H11"/>
    <mergeCell ref="A1:H1"/>
    <mergeCell ref="A31:H31"/>
    <mergeCell ref="A40:H40"/>
  </mergeCells>
  <dataValidations count="1">
    <dataValidation sqref="B33:B38" showDropDown="0" showInputMessage="1" showErrorMessage="1" allowBlank="1" type="list">
      <formula1>"Not Started,In Progress,Complete,Blocked"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78D4"/>
    <outlinePr summaryBelow="1" summaryRight="1"/>
    <pageSetUpPr/>
  </sheetPr>
  <dimension ref="A1:F49"/>
  <sheetViews>
    <sheetView showGridLines="0" tabSelected="1" zoomScaleNormal="100" workbookViewId="0">
      <pane ySplit="3" topLeftCell="A18" activePane="bottomLeft" state="frozen"/>
      <selection pane="bottomLeft" activeCell="B10" sqref="B10"/>
    </sheetView>
  </sheetViews>
  <sheetFormatPr baseColWidth="8" defaultColWidth="8.6328125" defaultRowHeight="14.5"/>
  <cols>
    <col width="32.7265625" customWidth="1" style="1" min="1" max="1"/>
    <col width="36.36328125" customWidth="1" style="1" min="2" max="2"/>
    <col width="32.7265625" customWidth="1" style="1" min="3" max="3"/>
    <col width="29.08984375" customWidth="1" style="1" min="4" max="4"/>
    <col width="25.453125" customWidth="1" style="1" min="5" max="5"/>
    <col width="18.1796875" customWidth="1" style="1" min="6" max="6"/>
    <col width="16" customWidth="1" style="1" min="7" max="7"/>
    <col width="26" customWidth="1" style="1" min="8" max="8"/>
  </cols>
  <sheetData>
    <row r="1" ht="30" customHeight="1" s="1">
      <c r="A1" s="10" t="inlineStr">
        <is>
          <t>CLOUD READINESS ASSESSMENT - DEPENDENCY MAPPING TEMPLATE</t>
        </is>
      </c>
    </row>
    <row r="2" ht="21.75" customHeight="1" s="1">
      <c r="A2" s="11" t="inlineStr">
        <is>
          <t>Reusable Template for Cloud Migration Dependency Discovery</t>
        </is>
      </c>
    </row>
    <row r="4" ht="24" customHeight="1" s="1">
      <c r="A4" s="59" t="inlineStr">
        <is>
          <t>PURPOSE</t>
        </is>
      </c>
    </row>
    <row r="5" ht="30" customHeight="1" s="1">
      <c r="A5" t="inlineStr">
        <is>
          <t>This template provides a standardized, cloud-agnostic approach to capture dependency mapping data</t>
        </is>
      </c>
    </row>
    <row r="6">
      <c r="A6" t="inlineStr">
        <is>
          <t>as part of cloud readiness assessment projects. It is designed to be populated with data from:</t>
        </is>
      </c>
    </row>
    <row r="7">
      <c r="A7" t="inlineStr">
        <is>
          <t>• AWS Application Discovery Service (ADS)</t>
        </is>
      </c>
    </row>
    <row r="8">
      <c r="A8" t="inlineStr">
        <is>
          <t>• Azure Migrate Dependency Analysis</t>
        </is>
      </c>
    </row>
    <row r="9">
      <c r="A9" t="inlineStr">
        <is>
          <t>• Google Cloud Migration Center</t>
        </is>
      </c>
    </row>
    <row r="10">
      <c r="A10" t="inlineStr">
        <is>
          <t>• Manual discovery and documentation</t>
        </is>
      </c>
    </row>
    <row r="12" ht="15.5" customHeight="1" s="1">
      <c r="A12" s="59" t="inlineStr">
        <is>
          <t>CLOUD PROVIDER TOOLS REFERENCE</t>
        </is>
      </c>
    </row>
    <row r="13">
      <c r="A13" s="9" t="inlineStr">
        <is>
          <t>Cloud Provider</t>
        </is>
      </c>
      <c r="B13" s="9" t="inlineStr">
        <is>
          <t>Migration Tool</t>
        </is>
      </c>
      <c r="C13" s="9" t="inlineStr">
        <is>
          <t>Dependency Feature</t>
        </is>
      </c>
      <c r="D13" s="9" t="inlineStr">
        <is>
          <t>Discovery Method</t>
        </is>
      </c>
      <c r="E13" s="9" t="inlineStr">
        <is>
          <t>Export Format</t>
        </is>
      </c>
    </row>
    <row r="14">
      <c r="A14" t="inlineStr">
        <is>
          <t>AWS</t>
        </is>
      </c>
      <c r="B14" t="inlineStr">
        <is>
          <t>Application Discovery Service</t>
        </is>
      </c>
      <c r="C14" t="inlineStr">
        <is>
          <t>Agent &amp; Agentless Discovery</t>
        </is>
      </c>
      <c r="D14" t="inlineStr">
        <is>
          <t>TCP Connections, Processes</t>
        </is>
      </c>
      <c r="E14" t="inlineStr">
        <is>
          <t>CSV via Migration Hub</t>
        </is>
      </c>
    </row>
    <row r="15">
      <c r="A15" t="inlineStr">
        <is>
          <t>Azure</t>
        </is>
      </c>
      <c r="B15" t="inlineStr">
        <is>
          <t>Azure Migrate</t>
        </is>
      </c>
      <c r="C15" t="inlineStr">
        <is>
          <t>Dependency Analysis</t>
        </is>
      </c>
      <c r="D15" t="inlineStr">
        <is>
          <t>Service Map, TCP Data</t>
        </is>
      </c>
      <c r="E15" t="inlineStr">
        <is>
          <t>CSV, Log Analytics</t>
        </is>
      </c>
    </row>
    <row r="16">
      <c r="A16" t="inlineStr">
        <is>
          <t>Google Cloud</t>
        </is>
      </c>
      <c r="B16" t="inlineStr">
        <is>
          <t>Migration Center</t>
        </is>
      </c>
      <c r="C16" t="inlineStr">
        <is>
          <t>Application Dependency Mapping</t>
        </is>
      </c>
      <c r="D16" t="inlineStr">
        <is>
          <t>Topology Scanning</t>
        </is>
      </c>
      <c r="E16" t="inlineStr">
        <is>
          <t>BigQuery, CSV</t>
        </is>
      </c>
    </row>
    <row r="18" ht="15.5" customHeight="1" s="1">
      <c r="A18" s="59" t="inlineStr">
        <is>
          <t>TEMPLATE SHEETS OVERVIEW</t>
        </is>
      </c>
    </row>
    <row r="19">
      <c r="A19" s="9" t="inlineStr">
        <is>
          <t>Sheet Name</t>
        </is>
      </c>
      <c r="B19" s="9" t="inlineStr">
        <is>
          <t>Purpose</t>
        </is>
      </c>
      <c r="C19" s="9" t="inlineStr">
        <is>
          <t>Data Source</t>
        </is>
      </c>
      <c r="D19" s="9" t="inlineStr">
        <is>
          <t>Key Fields</t>
        </is>
      </c>
    </row>
    <row r="20">
      <c r="A20" t="inlineStr">
        <is>
          <t>Dashboard</t>
        </is>
      </c>
      <c r="B20" t="inlineStr">
        <is>
          <t>Project overview &amp; auto-calculated metrics</t>
        </is>
      </c>
      <c r="C20" t="inlineStr">
        <is>
          <t>Auto-populated from other sheets</t>
        </is>
      </c>
      <c r="D20" t="inlineStr">
        <is>
          <t>Metrics, Status, Progress</t>
        </is>
      </c>
    </row>
    <row r="21">
      <c r="A21" t="inlineStr">
        <is>
          <t>Server_Inventory</t>
        </is>
      </c>
      <c r="B21" t="inlineStr">
        <is>
          <t>Master list of discovered servers</t>
        </is>
      </c>
      <c r="C21" t="inlineStr">
        <is>
          <t>Cloud tool exports</t>
        </is>
      </c>
      <c r="D21" t="inlineStr">
        <is>
          <t>Server ID, IP, OS, Resources</t>
        </is>
      </c>
    </row>
    <row r="22">
      <c r="A22" t="inlineStr">
        <is>
          <t>Network_Dependencies</t>
        </is>
      </c>
      <c r="B22" t="inlineStr">
        <is>
          <t>TCP connections between servers</t>
        </is>
      </c>
      <c r="C22" t="inlineStr">
        <is>
          <t>Agent-based discovery</t>
        </is>
      </c>
      <c r="D22" t="inlineStr">
        <is>
          <t>Source, Destination, Ports</t>
        </is>
      </c>
    </row>
    <row r="23">
      <c r="A23" t="inlineStr">
        <is>
          <t>App_Dependencies</t>
        </is>
      </c>
      <c r="B23" t="inlineStr">
        <is>
          <t>Application-to-application dependencies</t>
        </is>
      </c>
      <c r="C23" t="inlineStr">
        <is>
          <t>Discovery + Manual input</t>
        </is>
      </c>
      <c r="D23" t="inlineStr">
        <is>
          <t>Apps, Criticality, Protocols</t>
        </is>
      </c>
    </row>
    <row r="24" ht="24" customHeight="1" s="1">
      <c r="A24" t="inlineStr">
        <is>
          <t>Process_Mapping</t>
        </is>
      </c>
      <c r="B24" t="inlineStr">
        <is>
          <t>Running processes on servers</t>
        </is>
      </c>
      <c r="C24" t="inlineStr">
        <is>
          <t>Agent-based discovery</t>
        </is>
      </c>
      <c r="D24" t="inlineStr">
        <is>
          <t>Processes, Ports, Resources</t>
        </is>
      </c>
    </row>
    <row r="25" ht="30" customHeight="1" s="1">
      <c r="A25" t="inlineStr">
        <is>
          <t>Tool_Reference</t>
        </is>
      </c>
      <c r="B25" t="inlineStr">
        <is>
          <t>Cloud tool guidance</t>
        </is>
      </c>
      <c r="C25" t="inlineStr">
        <is>
          <t>Reference documentation</t>
        </is>
      </c>
      <c r="D25" t="inlineStr">
        <is>
          <t>Commands, Features, Tips</t>
        </is>
      </c>
    </row>
    <row r="26">
      <c r="A26" t="inlineStr">
        <is>
          <t>Process_Data_Guide</t>
        </is>
      </c>
      <c r="B26" t="inlineStr">
        <is>
          <t>Detailed instructions for extracting process data</t>
        </is>
      </c>
      <c r="C26" t="inlineStr">
        <is>
          <t>Reference guide - AWS, Azure, GCP extraction methods</t>
        </is>
      </c>
      <c r="D26" t="inlineStr">
        <is>
          <t>Commands, Queries, Field Mappings</t>
        </is>
      </c>
    </row>
    <row r="27" ht="15.5" customHeight="1" s="1">
      <c r="A27" t="inlineStr">
        <is>
          <t>Prerequisites_Remediation</t>
        </is>
      </c>
      <c r="B27" t="inlineStr">
        <is>
          <t>Prerequisites, assumptions &amp; remediation guide</t>
        </is>
      </c>
      <c r="C27" t="inlineStr">
        <is>
          <t>Template reference + project tracking</t>
        </is>
      </c>
      <c r="D27" t="inlineStr">
        <is>
          <t>Prerequisites, Assumptions, Gaps, Remediation</t>
        </is>
      </c>
      <c r="F27" s="59" t="n"/>
    </row>
    <row r="28" ht="15.5" customHeight="1" s="1">
      <c r="A28" s="59" t="inlineStr">
        <is>
          <t>HOW TO USE THIS TEMPLATE</t>
        </is>
      </c>
      <c r="B28" s="59" t="n"/>
      <c r="C28" s="59" t="n"/>
      <c r="D28" s="59" t="n"/>
      <c r="E28" s="59" t="n"/>
    </row>
    <row r="29">
      <c r="A29" s="9" t="inlineStr">
        <is>
          <t>Step</t>
        </is>
      </c>
      <c r="B29" s="9" t="inlineStr">
        <is>
          <t>Action</t>
        </is>
      </c>
      <c r="C29" s="9" t="inlineStr">
        <is>
          <t>Details</t>
        </is>
      </c>
    </row>
    <row r="30">
      <c r="A30" t="n">
        <v>1</v>
      </c>
      <c r="B30" t="inlineStr">
        <is>
          <t>Initialize Project</t>
        </is>
      </c>
      <c r="C30" t="inlineStr">
        <is>
          <t>Fill in project information on Dashboard sheet</t>
        </is>
      </c>
    </row>
    <row r="31">
      <c r="A31" t="n">
        <v>2</v>
      </c>
      <c r="B31" t="inlineStr">
        <is>
          <t>Deploy Discovery Tools</t>
        </is>
      </c>
      <c r="C31" t="inlineStr">
        <is>
          <t>Install AWS ADS Agent, Azure Migrate Appliance, or GCP collectors</t>
        </is>
      </c>
    </row>
    <row r="32">
      <c r="A32" t="n">
        <v>3</v>
      </c>
      <c r="B32" t="inlineStr">
        <is>
          <t>Run Discovery</t>
        </is>
      </c>
      <c r="C32" t="inlineStr">
        <is>
          <t>Allow tools to collect data (typically 1-4 weeks for complete mapping)</t>
        </is>
      </c>
    </row>
    <row r="33">
      <c r="A33" t="n">
        <v>4</v>
      </c>
      <c r="B33" t="inlineStr">
        <is>
          <t>Export Data</t>
        </is>
      </c>
      <c r="C33" t="inlineStr">
        <is>
          <t>Use native export features to download CSV/BigQuery data</t>
        </is>
      </c>
    </row>
    <row r="34">
      <c r="A34" t="n">
        <v>5</v>
      </c>
      <c r="B34" t="inlineStr">
        <is>
          <t>Populate Sheets</t>
        </is>
      </c>
      <c r="C34" t="inlineStr">
        <is>
          <t>Map exported fields to template columns using Tool_Reference guide</t>
        </is>
      </c>
    </row>
    <row r="35">
      <c r="A35" t="n">
        <v>6</v>
      </c>
      <c r="B35" t="inlineStr">
        <is>
          <t>Validate Data</t>
        </is>
      </c>
      <c r="C35" t="inlineStr">
        <is>
          <t>Cross-check dependencies, identify gaps</t>
        </is>
      </c>
    </row>
    <row r="36">
      <c r="A36" t="n">
        <v>7</v>
      </c>
      <c r="B36" t="inlineStr">
        <is>
          <t>Review &amp; Sign-off</t>
        </is>
      </c>
      <c r="C36" t="inlineStr">
        <is>
          <t>Stakeholder review of dependency mapping completeness</t>
        </is>
      </c>
    </row>
    <row r="37" ht="24" customHeight="1" s="1">
      <c r="F37" s="59" t="n"/>
    </row>
    <row r="38" ht="30" customHeight="1" s="1">
      <c r="A38" s="59" t="inlineStr">
        <is>
          <t>DEPENDENCY MAPPING SCOPE</t>
        </is>
      </c>
      <c r="B38" s="59" t="n"/>
      <c r="C38" s="59" t="n"/>
      <c r="D38" s="59" t="n"/>
      <c r="E38" s="59" t="n"/>
    </row>
    <row r="39">
      <c r="A39" s="9" t="inlineStr">
        <is>
          <t>In Scope</t>
        </is>
      </c>
      <c r="B39" s="9" t="inlineStr">
        <is>
          <t>Out of Scope</t>
        </is>
      </c>
    </row>
    <row r="40">
      <c r="A40" t="inlineStr">
        <is>
          <t>Server discovery and inventory</t>
        </is>
      </c>
      <c r="B40" t="inlineStr">
        <is>
          <t>Migration wave planning</t>
        </is>
      </c>
    </row>
    <row r="41">
      <c r="A41" t="inlineStr">
        <is>
          <t>Network dependency mapping (TCP connections)</t>
        </is>
      </c>
      <c r="B41" t="inlineStr">
        <is>
          <t>Target architecture design</t>
        </is>
      </c>
    </row>
    <row r="42">
      <c r="A42" t="inlineStr">
        <is>
          <t>Application-to-application dependencies</t>
        </is>
      </c>
      <c r="B42" t="inlineStr">
        <is>
          <t>Migration execution</t>
        </is>
      </c>
    </row>
    <row r="43">
      <c r="A43" t="inlineStr">
        <is>
          <t>Process and service mapping</t>
        </is>
      </c>
      <c r="B43" t="inlineStr">
        <is>
          <t>Cost estimation/TCO</t>
        </is>
      </c>
    </row>
    <row r="44">
      <c r="A44" t="inlineStr">
        <is>
          <t>Dependency criticality assessment</t>
        </is>
      </c>
      <c r="B44" t="inlineStr">
        <is>
          <t>Workload right-sizing</t>
        </is>
      </c>
    </row>
    <row r="45">
      <c r="A45" t="inlineStr">
        <is>
          <t>Data validation and review</t>
        </is>
      </c>
      <c r="B45" t="inlineStr">
        <is>
          <t>Application modernization decisions</t>
        </is>
      </c>
    </row>
    <row r="46" ht="15.5" customHeight="1" s="1">
      <c r="F46" s="59" t="n"/>
    </row>
    <row r="47" ht="15.5" customHeight="1" s="1">
      <c r="A47" s="59" t="inlineStr">
        <is>
          <t>VERSION CONTROL</t>
        </is>
      </c>
      <c r="B47" s="59" t="n"/>
      <c r="C47" s="59" t="n"/>
      <c r="D47" s="59" t="n"/>
      <c r="E47" s="59" t="n"/>
    </row>
    <row r="48">
      <c r="A48" s="9" t="inlineStr">
        <is>
          <t>Version</t>
        </is>
      </c>
      <c r="B48" s="9" t="inlineStr">
        <is>
          <t>Date</t>
        </is>
      </c>
      <c r="C48" s="9" t="inlineStr">
        <is>
          <t>Author</t>
        </is>
      </c>
      <c r="D48" s="9" t="inlineStr">
        <is>
          <t>Changes</t>
        </is>
      </c>
    </row>
    <row r="49">
      <c r="A49" t="n">
        <v>1</v>
      </c>
      <c r="B49" t="inlineStr">
        <is>
          <t>[Date]</t>
        </is>
      </c>
      <c r="C49" t="inlineStr">
        <is>
          <t>[Author]</t>
        </is>
      </c>
      <c r="D49" t="inlineStr">
        <is>
          <t>Initial template creation</t>
        </is>
      </c>
    </row>
    <row r="50" ht="24" customHeight="1" s="1"/>
    <row r="51" ht="19.5" customHeight="1" s="1"/>
    <row r="52" ht="30" customHeight="1" s="1"/>
    <row r="59" ht="19.5" customHeight="1" s="1"/>
    <row r="60" ht="30" customHeight="1" s="1"/>
    <row r="67" ht="24" customHeight="1" s="1"/>
    <row r="68" ht="30" customHeight="1" s="1"/>
    <row r="78" ht="24" customHeight="1" s="1"/>
  </sheetData>
  <mergeCells count="5">
    <mergeCell ref="A2:F2"/>
    <mergeCell ref="A1:F1"/>
    <mergeCell ref="A18:F18"/>
    <mergeCell ref="A4:F4"/>
    <mergeCell ref="A12:F1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217346"/>
    <outlinePr summaryBelow="1" summaryRight="1"/>
    <pageSetUpPr/>
  </sheetPr>
  <dimension ref="A1:T6"/>
  <sheetViews>
    <sheetView workbookViewId="0">
      <pane ySplit="5" topLeftCell="A6" activePane="bottomLeft" state="frozen"/>
      <selection pane="bottomLeft" activeCell="B10" sqref="B10"/>
    </sheetView>
  </sheetViews>
  <sheetFormatPr baseColWidth="8" defaultRowHeight="14.5"/>
  <cols>
    <col width="16.36328125" customWidth="1" style="1" min="1" max="1"/>
    <col width="21.81640625" customWidth="1" style="1" min="2" max="2"/>
    <col width="27.26953125" customWidth="1" style="1" min="3" max="3"/>
    <col width="18.1796875" customWidth="1" style="1" min="4" max="4"/>
    <col width="21.81640625" customWidth="1" style="1" min="5" max="6"/>
    <col width="16.36328125" customWidth="1" style="1" min="7" max="7"/>
    <col width="12.7265625" customWidth="1" style="1" min="8" max="9"/>
    <col width="14.54296875" customWidth="1" style="1" min="10" max="10"/>
    <col width="16.36328125" customWidth="1" style="1" min="11" max="11"/>
    <col width="21.81640625" customWidth="1" style="1" min="12" max="13"/>
    <col width="18.1796875" customWidth="1" style="1" min="14" max="14"/>
    <col width="23.6328125" customWidth="1" style="1" min="15" max="16"/>
    <col width="18.1796875" customWidth="1" style="1" min="17" max="18"/>
    <col width="20" customWidth="1" style="1" min="19" max="19"/>
    <col width="18.1796875" customWidth="1" style="1" min="20" max="20"/>
  </cols>
  <sheetData>
    <row r="1" ht="21" customHeight="1" s="1">
      <c r="A1" s="12" t="inlineStr">
        <is>
          <t>SERVER INVENTORY</t>
        </is>
      </c>
    </row>
    <row r="2">
      <c r="A2" s="13" t="inlineStr">
        <is>
          <t>Cloud Readiness Assessment - Dependency Mapping Template</t>
        </is>
      </c>
    </row>
    <row r="3">
      <c r="A3" s="14" t="inlineStr">
        <is>
          <t>Instructions: Populate with data exported from AWS ADS, Azure Migrate, or GCP Migration Center</t>
        </is>
      </c>
    </row>
    <row r="5" ht="35" customHeight="1" s="1">
      <c r="A5" s="15" t="inlineStr">
        <is>
          <t>Server ID</t>
        </is>
      </c>
      <c r="B5" s="15" t="inlineStr">
        <is>
          <t>Hostname</t>
        </is>
      </c>
      <c r="C5" s="15" t="inlineStr">
        <is>
          <t>FQDN</t>
        </is>
      </c>
      <c r="D5" s="15" t="inlineStr">
        <is>
          <t>Primary IP</t>
        </is>
      </c>
      <c r="E5" s="15" t="inlineStr">
        <is>
          <t>Secondary IPs</t>
        </is>
      </c>
      <c r="F5" s="15" t="inlineStr">
        <is>
          <t>Operating System</t>
        </is>
      </c>
      <c r="G5" s="15" t="inlineStr">
        <is>
          <t>OS Version</t>
        </is>
      </c>
      <c r="H5" s="15" t="inlineStr">
        <is>
          <t>CPU Cores</t>
        </is>
      </c>
      <c r="I5" s="15" t="inlineStr">
        <is>
          <t>RAM (GB)</t>
        </is>
      </c>
      <c r="J5" s="15" t="inlineStr">
        <is>
          <t>Storage (GB)</t>
        </is>
      </c>
      <c r="K5" s="15" t="inlineStr">
        <is>
          <t>Environment</t>
        </is>
      </c>
      <c r="L5" s="15" t="inlineStr">
        <is>
          <t>Data Center/Location</t>
        </is>
      </c>
      <c r="M5" s="15" t="inlineStr">
        <is>
          <t>Application Name</t>
        </is>
      </c>
      <c r="N5" s="15" t="inlineStr">
        <is>
          <t>Server Role</t>
        </is>
      </c>
      <c r="O5" s="15" t="inlineStr">
        <is>
          <t>Hypervisor/Platform</t>
        </is>
      </c>
      <c r="P5" s="15" t="inlineStr">
        <is>
          <t>Discovery Source</t>
        </is>
      </c>
      <c r="Q5" s="15" t="inlineStr">
        <is>
          <t>Discovery Date</t>
        </is>
      </c>
      <c r="R5" s="15" t="inlineStr">
        <is>
          <t>AWS ADS ID</t>
        </is>
      </c>
      <c r="S5" s="15" t="inlineStr">
        <is>
          <t>Azure Migrate ID</t>
        </is>
      </c>
      <c r="T5" s="15" t="inlineStr">
        <is>
          <t>GCP MC ID</t>
        </is>
      </c>
    </row>
    <row r="6">
      <c r="A6" s="16" t="inlineStr">
        <is>
          <t>[Auto/Manual]</t>
        </is>
      </c>
      <c r="B6" s="16" t="inlineStr">
        <is>
          <t>[hostname]</t>
        </is>
      </c>
      <c r="C6" s="16" t="inlineStr">
        <is>
          <t>[fqdn.domain.com]</t>
        </is>
      </c>
      <c r="D6" s="16" t="inlineStr">
        <is>
          <t>[x.x.x.x]</t>
        </is>
      </c>
      <c r="E6" s="16" t="inlineStr">
        <is>
          <t>[comma separated]</t>
        </is>
      </c>
      <c r="F6" s="16" t="inlineStr">
        <is>
          <t>[Windows/Linux]</t>
        </is>
      </c>
      <c r="G6" s="16" t="inlineStr">
        <is>
          <t>[version]</t>
        </is>
      </c>
      <c r="H6" s="16" t="inlineStr">
        <is>
          <t>[#]</t>
        </is>
      </c>
      <c r="I6" s="16" t="inlineStr">
        <is>
          <t>[#]</t>
        </is>
      </c>
      <c r="J6" s="16" t="inlineStr">
        <is>
          <t>[#]</t>
        </is>
      </c>
      <c r="K6" s="16" t="inlineStr">
        <is>
          <t>[Prod/Dev/Test]</t>
        </is>
      </c>
      <c r="L6" s="16" t="inlineStr">
        <is>
          <t>[DC Name]</t>
        </is>
      </c>
      <c r="M6" s="16" t="inlineStr">
        <is>
          <t>[App Name]</t>
        </is>
      </c>
      <c r="N6" s="16" t="inlineStr">
        <is>
          <t>[Web/DB/App]</t>
        </is>
      </c>
      <c r="O6" s="16" t="inlineStr">
        <is>
          <t>[VMware/HyperV/KVM/Physical]</t>
        </is>
      </c>
      <c r="P6" s="16" t="inlineStr">
        <is>
          <t>[AWS ADS/Azure Migrate/GCP Migration Center/Manual]</t>
        </is>
      </c>
      <c r="Q6" s="16" t="inlineStr">
        <is>
          <t>[YYYY-MM-DD]</t>
        </is>
      </c>
      <c r="R6" s="16" t="inlineStr">
        <is>
          <t>[d-server-xxx]</t>
        </is>
      </c>
      <c r="S6" s="16" t="inlineStr">
        <is>
          <t>[srv-xxx]</t>
        </is>
      </c>
      <c r="T6" s="16" t="inlineStr">
        <is>
          <t>[mc-xxx]</t>
        </is>
      </c>
    </row>
  </sheetData>
  <mergeCells count="3">
    <mergeCell ref="A1:T1"/>
    <mergeCell ref="A3:T3"/>
    <mergeCell ref="A2:T2"/>
  </mergeCells>
  <dataValidations count="3">
    <dataValidation sqref="P7:P500" showDropDown="0" showInputMessage="1" showErrorMessage="1" allowBlank="1" type="list">
      <formula1>"AWS ADS,Azure Migrate,GCP Migration Center,Manual"</formula1>
    </dataValidation>
    <dataValidation sqref="K7:K500" showDropDown="0" showInputMessage="1" showErrorMessage="1" allowBlank="1" type="list">
      <formula1>"Production,Development,Test,UAT,Staging,DR"</formula1>
    </dataValidation>
    <dataValidation sqref="O7:O500" showDropDown="0" showInputMessage="1" showErrorMessage="1" allowBlank="1" type="list">
      <formula1>"VMware,Hyper-V,KVM,Xen,Physical,AWS EC2,Azure VM,GCP Compute"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S6"/>
  <sheetViews>
    <sheetView workbookViewId="0">
      <pane ySplit="5" topLeftCell="A6" activePane="bottomLeft" state="frozen"/>
      <selection pane="bottomLeft" activeCell="B10" sqref="B10"/>
    </sheetView>
  </sheetViews>
  <sheetFormatPr baseColWidth="8" defaultRowHeight="14.5"/>
  <cols>
    <col width="17.26953125" customWidth="1" style="1" min="1" max="2"/>
    <col width="20" customWidth="1" style="1" min="3" max="3"/>
    <col width="16.36328125" customWidth="1" style="1" min="4" max="4"/>
    <col width="18.1796875" customWidth="1" style="1" min="5" max="5"/>
    <col width="13.6328125" customWidth="1" style="1" min="6" max="6"/>
    <col width="17.26953125" customWidth="1" style="1" min="7" max="7"/>
    <col width="20" customWidth="1" style="1" min="8" max="8"/>
    <col width="16.36328125" customWidth="1" style="1" min="9" max="9"/>
    <col width="12.7265625" customWidth="1" style="1" min="10" max="10"/>
    <col width="18.1796875" customWidth="1" style="1" min="11" max="11"/>
    <col width="12.7265625" customWidth="1" style="1" min="12" max="12"/>
    <col width="18.1796875" customWidth="1" style="1" min="13" max="14"/>
    <col width="17.26953125" customWidth="1" style="1" min="15" max="16"/>
    <col width="20" customWidth="1" style="1" min="17" max="17"/>
    <col width="25.453125" customWidth="1" style="1" min="18" max="18"/>
    <col width="27.26953125" customWidth="1" style="1" min="19" max="19"/>
  </cols>
  <sheetData>
    <row r="1" ht="21" customHeight="1" s="1">
      <c r="A1" s="17" t="inlineStr">
        <is>
          <t>NETWORK DEPENDENCIES</t>
        </is>
      </c>
    </row>
    <row r="2">
      <c r="A2" s="18" t="inlineStr">
        <is>
          <t>Cloud Readiness Assessment - TCP Connection Mapping</t>
        </is>
      </c>
    </row>
    <row r="3">
      <c r="A3" s="4" t="inlineStr">
        <is>
          <t>Instructions: Capture TCP connections from AWS ADS exports, Azure Migrate, or GCP Migration Center</t>
        </is>
      </c>
    </row>
    <row r="5" ht="35" customHeight="1" s="1">
      <c r="A5" s="19" t="inlineStr">
        <is>
          <t>Connection ID</t>
        </is>
      </c>
      <c r="B5" s="19" t="inlineStr">
        <is>
          <t>Source Server ID</t>
        </is>
      </c>
      <c r="C5" s="19" t="inlineStr">
        <is>
          <t>Source Hostname</t>
        </is>
      </c>
      <c r="D5" s="19" t="inlineStr">
        <is>
          <t>Source IP</t>
        </is>
      </c>
      <c r="E5" s="19" t="inlineStr">
        <is>
          <t>Source Process</t>
        </is>
      </c>
      <c r="F5" s="19" t="inlineStr">
        <is>
          <t>Source Port</t>
        </is>
      </c>
      <c r="G5" s="19" t="inlineStr">
        <is>
          <t>Dest Server ID</t>
        </is>
      </c>
      <c r="H5" s="19" t="inlineStr">
        <is>
          <t>Dest Hostname</t>
        </is>
      </c>
      <c r="I5" s="19" t="inlineStr">
        <is>
          <t>Dest IP</t>
        </is>
      </c>
      <c r="J5" s="19" t="inlineStr">
        <is>
          <t>Dest Port</t>
        </is>
      </c>
      <c r="K5" s="19" t="inlineStr">
        <is>
          <t>Dest Process</t>
        </is>
      </c>
      <c r="L5" s="19" t="inlineStr">
        <is>
          <t>Protocol</t>
        </is>
      </c>
      <c r="M5" s="19" t="inlineStr">
        <is>
          <t>Bytes Transferred</t>
        </is>
      </c>
      <c r="N5" s="19" t="inlineStr">
        <is>
          <t>Connection Count</t>
        </is>
      </c>
      <c r="O5" s="19" t="inlineStr">
        <is>
          <t>First Observed</t>
        </is>
      </c>
      <c r="P5" s="19" t="inlineStr">
        <is>
          <t>Last Observed</t>
        </is>
      </c>
      <c r="Q5" s="19" t="inlineStr">
        <is>
          <t>Dependency Type</t>
        </is>
      </c>
      <c r="R5" s="19" t="inlineStr">
        <is>
          <t>Discovery Source</t>
        </is>
      </c>
      <c r="S5" s="19" t="inlineStr">
        <is>
          <t>Notes</t>
        </is>
      </c>
    </row>
    <row r="6">
      <c r="A6" s="16" t="inlineStr">
        <is>
          <t>[Auto/CON-xxx]</t>
        </is>
      </c>
      <c r="B6" s="16" t="inlineStr">
        <is>
          <t>[SRV-xxx]</t>
        </is>
      </c>
      <c r="C6" s="16" t="inlineStr">
        <is>
          <t>[hostname]</t>
        </is>
      </c>
      <c r="D6" s="16" t="inlineStr">
        <is>
          <t>[x.x.x.x]</t>
        </is>
      </c>
      <c r="E6" s="16" t="inlineStr">
        <is>
          <t>[process name]</t>
        </is>
      </c>
      <c r="F6" s="16" t="inlineStr">
        <is>
          <t>[port#]</t>
        </is>
      </c>
      <c r="G6" s="16" t="inlineStr">
        <is>
          <t>[SRV-xxx]</t>
        </is>
      </c>
      <c r="H6" s="16" t="inlineStr">
        <is>
          <t>[hostname]</t>
        </is>
      </c>
      <c r="I6" s="16" t="inlineStr">
        <is>
          <t>[x.x.x.x]</t>
        </is>
      </c>
      <c r="J6" s="16" t="inlineStr">
        <is>
          <t>[port#]</t>
        </is>
      </c>
      <c r="K6" s="16" t="inlineStr">
        <is>
          <t>[process name]</t>
        </is>
      </c>
      <c r="L6" s="16" t="inlineStr">
        <is>
          <t>[TCP/UDP]</t>
        </is>
      </c>
      <c r="M6" s="16" t="inlineStr">
        <is>
          <t>[bytes]</t>
        </is>
      </c>
      <c r="N6" s="16" t="inlineStr">
        <is>
          <t>[count]</t>
        </is>
      </c>
      <c r="O6" s="16" t="inlineStr">
        <is>
          <t>[YYYY-MM-DD]</t>
        </is>
      </c>
      <c r="P6" s="16" t="inlineStr">
        <is>
          <t>[YYYY-MM-DD]</t>
        </is>
      </c>
      <c r="Q6" s="16" t="inlineStr">
        <is>
          <t>[Database/API/Web/Cache/etc]</t>
        </is>
      </c>
      <c r="R6" s="16" t="inlineStr">
        <is>
          <t>[AWS ADS/Azure Migrate/GCP Migration Center/Manual]</t>
        </is>
      </c>
      <c r="S6" s="16" t="inlineStr">
        <is>
          <t>[notes]</t>
        </is>
      </c>
    </row>
  </sheetData>
  <mergeCells count="3">
    <mergeCell ref="A3:S3"/>
    <mergeCell ref="A2:S2"/>
    <mergeCell ref="A1:S1"/>
  </mergeCells>
  <dataValidations count="3">
    <dataValidation sqref="R7:R500" showDropDown="0" showInputMessage="1" showErrorMessage="1" allowBlank="1" type="list">
      <formula1>"AWS ADS,Azure Migrate,GCP Migration Center,Manual"</formula1>
    </dataValidation>
    <dataValidation sqref="L7:L500" showDropDown="0" showInputMessage="1" showErrorMessage="1" allowBlank="1" type="list">
      <formula1>"TCP,UDP,HTTPS,HTTP,TLS"</formula1>
    </dataValidation>
    <dataValidation sqref="Q7:Q500" showDropDown="0" showInputMessage="1" showErrorMessage="1" allowBlank="1" type="list">
      <formula1>"Database,API,Web,Cache,Queue,Storage,Authentication,Monitoring,Other"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R6"/>
  <sheetViews>
    <sheetView workbookViewId="0">
      <pane ySplit="5" topLeftCell="A6" activePane="bottomLeft" state="frozen"/>
      <selection pane="bottomLeft" activeCell="B10" sqref="B10"/>
    </sheetView>
  </sheetViews>
  <sheetFormatPr baseColWidth="8" defaultRowHeight="14.5"/>
  <cols>
    <col width="18.1796875" customWidth="1" style="1" min="1" max="1"/>
    <col width="23.6328125" customWidth="1" style="1" min="2" max="2"/>
    <col width="18.1796875" customWidth="1" style="1" min="3" max="4"/>
    <col width="23.6328125" customWidth="1" style="1" min="5" max="5"/>
    <col width="18.1796875" customWidth="1" style="1" min="6" max="7"/>
    <col width="21.81640625" customWidth="1" style="1" min="8" max="8"/>
    <col width="14.54296875" customWidth="1" style="1" min="9" max="9"/>
    <col width="16.36328125" customWidth="1" style="1" min="10" max="10"/>
    <col width="12.7265625" customWidth="1" style="1" min="11" max="11"/>
    <col width="29.08984375" customWidth="1" style="1" min="12" max="12"/>
    <col width="18.1796875" customWidth="1" style="1" min="13" max="13"/>
    <col width="23.6328125" customWidth="1" style="1" min="14" max="14"/>
    <col width="18.1796875" customWidth="1" style="1" min="15" max="15"/>
    <col width="25.453125" customWidth="1" style="1" min="16" max="16"/>
    <col width="20" customWidth="1" style="1" min="17" max="17"/>
    <col width="27.26953125" customWidth="1" style="1" min="18" max="18"/>
  </cols>
  <sheetData>
    <row r="1" ht="21" customHeight="1" s="1">
      <c r="A1" s="20" t="inlineStr">
        <is>
          <t>APPLICATION DEPENDENCIES</t>
        </is>
      </c>
    </row>
    <row r="2">
      <c r="A2" s="21" t="inlineStr">
        <is>
          <t>Cloud Readiness Assessment - Application-to-Application Dependency Mapping</t>
        </is>
      </c>
    </row>
    <row r="3">
      <c r="A3" s="22" t="inlineStr">
        <is>
          <t>Instructions: Document dependencies between applications for readiness assessment</t>
        </is>
      </c>
    </row>
    <row r="5" ht="35" customHeight="1" s="1">
      <c r="A5" s="23" t="inlineStr">
        <is>
          <t>Dependency ID</t>
        </is>
      </c>
      <c r="B5" s="23" t="inlineStr">
        <is>
          <t>Source Application</t>
        </is>
      </c>
      <c r="C5" s="23" t="inlineStr">
        <is>
          <t>Source Owner</t>
        </is>
      </c>
      <c r="D5" s="23" t="inlineStr">
        <is>
          <t>Source Environment</t>
        </is>
      </c>
      <c r="E5" s="23" t="inlineStr">
        <is>
          <t>Target Application</t>
        </is>
      </c>
      <c r="F5" s="23" t="inlineStr">
        <is>
          <t>Target Owner</t>
        </is>
      </c>
      <c r="G5" s="23" t="inlineStr">
        <is>
          <t>Target Environment</t>
        </is>
      </c>
      <c r="H5" s="23" t="inlineStr">
        <is>
          <t>Dependency Direction</t>
        </is>
      </c>
      <c r="I5" s="23" t="inlineStr">
        <is>
          <t>Criticality</t>
        </is>
      </c>
      <c r="J5" s="23" t="inlineStr">
        <is>
          <t>Protocol</t>
        </is>
      </c>
      <c r="K5" s="23" t="inlineStr">
        <is>
          <t>Port(s)</t>
        </is>
      </c>
      <c r="L5" s="23" t="inlineStr">
        <is>
          <t>Data Flow Description</t>
        </is>
      </c>
      <c r="M5" s="23" t="inlineStr">
        <is>
          <t>SLA Requirement</t>
        </is>
      </c>
      <c r="N5" s="23" t="inlineStr">
        <is>
          <t>Can Operate Independently?</t>
        </is>
      </c>
      <c r="O5" s="23" t="inlineStr">
        <is>
          <t>Readiness Impact</t>
        </is>
      </c>
      <c r="P5" s="23" t="inlineStr">
        <is>
          <t>Discovery Source</t>
        </is>
      </c>
      <c r="Q5" s="23" t="inlineStr">
        <is>
          <t>Validation Status</t>
        </is>
      </c>
      <c r="R5" s="23" t="inlineStr">
        <is>
          <t>Notes</t>
        </is>
      </c>
    </row>
    <row r="6">
      <c r="A6" s="16" t="inlineStr">
        <is>
          <t>[APP-DEP-xxx]</t>
        </is>
      </c>
      <c r="B6" s="16" t="inlineStr">
        <is>
          <t>[App Name]</t>
        </is>
      </c>
      <c r="C6" s="16" t="inlineStr">
        <is>
          <t>[Team/Owner]</t>
        </is>
      </c>
      <c r="D6" s="16" t="inlineStr">
        <is>
          <t>[Prod/Dev/Test]</t>
        </is>
      </c>
      <c r="E6" s="16" t="inlineStr">
        <is>
          <t>[App Name]</t>
        </is>
      </c>
      <c r="F6" s="16" t="inlineStr">
        <is>
          <t>[Team/Owner]</t>
        </is>
      </c>
      <c r="G6" s="16" t="inlineStr">
        <is>
          <t>[Prod/Dev/Test]</t>
        </is>
      </c>
      <c r="H6" s="16" t="inlineStr">
        <is>
          <t>[Inbound/Outbound/Bidirectional]</t>
        </is>
      </c>
      <c r="I6" s="16" t="inlineStr">
        <is>
          <t>[Critical/High/Medium/Low]</t>
        </is>
      </c>
      <c r="J6" s="16" t="inlineStr">
        <is>
          <t>[HTTPS/TCP/REST/SOAP]</t>
        </is>
      </c>
      <c r="K6" s="16" t="inlineStr">
        <is>
          <t>[port#]</t>
        </is>
      </c>
      <c r="L6" s="16" t="inlineStr">
        <is>
          <t>[description]</t>
        </is>
      </c>
      <c r="M6" s="16" t="inlineStr">
        <is>
          <t>[99.99%/99.9%/etc]</t>
        </is>
      </c>
      <c r="N6" s="16" t="inlineStr">
        <is>
          <t>[Yes/No/Degraded]</t>
        </is>
      </c>
      <c r="O6" s="16" t="inlineStr">
        <is>
          <t>[Critical/High/Medium/Low]</t>
        </is>
      </c>
      <c r="P6" s="16" t="inlineStr">
        <is>
          <t>[AWS ADS/Azure Migrate/GCP Migration Center/Manual]</t>
        </is>
      </c>
      <c r="Q6" s="16" t="inlineStr">
        <is>
          <t>[Validated/Pending/Failed]</t>
        </is>
      </c>
      <c r="R6" s="16" t="inlineStr">
        <is>
          <t>[notes]</t>
        </is>
      </c>
    </row>
  </sheetData>
  <mergeCells count="3">
    <mergeCell ref="A3:R3"/>
    <mergeCell ref="A2:R2"/>
    <mergeCell ref="A1:R1"/>
  </mergeCells>
  <dataValidations count="6">
    <dataValidation sqref="I7:I500 O7:O500" showDropDown="0" showInputMessage="1" showErrorMessage="1" allowBlank="1" type="list">
      <formula1>"Critical,High,Medium,Low"</formula1>
    </dataValidation>
    <dataValidation sqref="D7:D500 G7:G500" showDropDown="0" showInputMessage="1" showErrorMessage="1" allowBlank="1" type="list">
      <formula1>"Production,Development,Test,UAT,Staging,DR,On-Premises"</formula1>
    </dataValidation>
    <dataValidation sqref="H7:H500" showDropDown="0" showInputMessage="1" showErrorMessage="1" allowBlank="1" type="list">
      <formula1>"Inbound,Outbound,Bidirectional"</formula1>
    </dataValidation>
    <dataValidation sqref="N7:N500" showDropDown="0" showInputMessage="1" showErrorMessage="1" allowBlank="1" type="list">
      <formula1>"Yes,No,Degraded Mode"</formula1>
    </dataValidation>
    <dataValidation sqref="P7:P500" showDropDown="0" showInputMessage="1" showErrorMessage="1" allowBlank="1" type="list">
      <formula1>"AWS ADS,Azure Migrate,GCP Migration Center,Manual"</formula1>
    </dataValidation>
    <dataValidation sqref="Q7:Q500" showDropDown="0" showInputMessage="1" showErrorMessage="1" allowBlank="1" type="list">
      <formula1>"Validated,Pending,Failed,Not Required"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C65911"/>
    <outlinePr summaryBelow="1" summaryRight="1"/>
    <pageSetUpPr/>
  </sheetPr>
  <dimension ref="A1:S6"/>
  <sheetViews>
    <sheetView workbookViewId="0">
      <pane ySplit="5" topLeftCell="A6" activePane="bottomLeft" state="frozen"/>
      <selection pane="bottomLeft" activeCell="B10" sqref="B10"/>
    </sheetView>
  </sheetViews>
  <sheetFormatPr baseColWidth="8" defaultRowHeight="14.5"/>
  <cols>
    <col width="15.453125" customWidth="1" style="1" min="1" max="2"/>
    <col width="20" customWidth="1" style="1" min="3" max="3"/>
    <col width="18.1796875" customWidth="1" style="1" min="4" max="4"/>
    <col width="25.453125" customWidth="1" style="1" min="5" max="5"/>
    <col width="16.36328125" customWidth="1" style="1" min="6" max="6"/>
    <col width="10" customWidth="1" style="1" min="7" max="7"/>
    <col width="18.1796875" customWidth="1" style="1" min="8" max="8"/>
    <col width="21.81640625" customWidth="1" style="1" min="9" max="9"/>
    <col width="18.1796875" customWidth="1" style="1" min="10" max="11"/>
    <col width="15.453125" customWidth="1" style="1" min="12" max="12"/>
    <col width="18.1796875" customWidth="1" style="1" min="13" max="14"/>
    <col width="14.54296875" customWidth="1" style="1" min="15" max="15"/>
    <col width="18.1796875" customWidth="1" style="1" min="16" max="16"/>
    <col width="23.6328125" customWidth="1" style="1" min="17" max="17"/>
    <col width="25.453125" customWidth="1" style="1" min="18" max="18"/>
    <col width="27.26953125" customWidth="1" style="1" min="19" max="19"/>
  </cols>
  <sheetData>
    <row r="1" ht="21" customHeight="1" s="1">
      <c r="A1" s="24" t="inlineStr">
        <is>
          <t>PROCESS MAPPING</t>
        </is>
      </c>
    </row>
    <row r="2">
      <c r="A2" s="25" t="inlineStr">
        <is>
          <t>Cloud Readiness Assessment - Server Process Discovery</t>
        </is>
      </c>
    </row>
    <row r="3">
      <c r="A3" s="26" t="inlineStr">
        <is>
          <t>Instructions: Populate with process data from agent-based discovery (AWS ADS Agent, Azure Dependency Agent)</t>
        </is>
      </c>
    </row>
    <row r="5" ht="35" customHeight="1" s="1">
      <c r="A5" s="27" t="inlineStr">
        <is>
          <t>Process ID</t>
        </is>
      </c>
      <c r="B5" s="27" t="inlineStr">
        <is>
          <t>Server ID</t>
        </is>
      </c>
      <c r="C5" s="27" t="inlineStr">
        <is>
          <t>Hostname</t>
        </is>
      </c>
      <c r="D5" s="27" t="inlineStr">
        <is>
          <t>Process Name</t>
        </is>
      </c>
      <c r="E5" s="27" t="inlineStr">
        <is>
          <t>Process Path</t>
        </is>
      </c>
      <c r="F5" s="27" t="inlineStr">
        <is>
          <t>Process User</t>
        </is>
      </c>
      <c r="G5" s="27" t="inlineStr">
        <is>
          <t>PID</t>
        </is>
      </c>
      <c r="H5" s="27" t="inlineStr">
        <is>
          <t>Parent Process</t>
        </is>
      </c>
      <c r="I5" s="27" t="inlineStr">
        <is>
          <t>Application Name</t>
        </is>
      </c>
      <c r="J5" s="27" t="inlineStr">
        <is>
          <t>Listening Ports</t>
        </is>
      </c>
      <c r="K5" s="27" t="inlineStr">
        <is>
          <t>Active Connections</t>
        </is>
      </c>
      <c r="L5" s="27" t="inlineStr">
        <is>
          <t>CPU Usage (%)</t>
        </is>
      </c>
      <c r="M5" s="27" t="inlineStr">
        <is>
          <t>Memory Usage (MB)</t>
        </is>
      </c>
      <c r="N5" s="27" t="inlineStr">
        <is>
          <t>Start Time</t>
        </is>
      </c>
      <c r="O5" s="27" t="inlineStr">
        <is>
          <t>Status</t>
        </is>
      </c>
      <c r="P5" s="27" t="inlineStr">
        <is>
          <t>Service Type</t>
        </is>
      </c>
      <c r="Q5" s="27" t="inlineStr">
        <is>
          <t>Dependencies</t>
        </is>
      </c>
      <c r="R5" s="27" t="inlineStr">
        <is>
          <t>Discovery Source</t>
        </is>
      </c>
      <c r="S5" s="27" t="inlineStr">
        <is>
          <t>Notes</t>
        </is>
      </c>
    </row>
    <row r="6">
      <c r="A6" s="16" t="inlineStr">
        <is>
          <t>[PROC-xxx]</t>
        </is>
      </c>
      <c r="B6" s="16" t="inlineStr">
        <is>
          <t>[SRV-xxx]</t>
        </is>
      </c>
      <c r="C6" s="16" t="inlineStr">
        <is>
          <t>[hostname]</t>
        </is>
      </c>
      <c r="D6" s="16" t="inlineStr">
        <is>
          <t>[process]</t>
        </is>
      </c>
      <c r="E6" s="16" t="inlineStr">
        <is>
          <t>[/path/to/process]</t>
        </is>
      </c>
      <c r="F6" s="16" t="inlineStr">
        <is>
          <t>[user]</t>
        </is>
      </c>
      <c r="G6" s="16" t="inlineStr">
        <is>
          <t>[#]</t>
        </is>
      </c>
      <c r="H6" s="16" t="inlineStr">
        <is>
          <t>[parent]</t>
        </is>
      </c>
      <c r="I6" s="16" t="inlineStr">
        <is>
          <t>[App Name]</t>
        </is>
      </c>
      <c r="J6" s="16" t="inlineStr">
        <is>
          <t>[port,port]</t>
        </is>
      </c>
      <c r="K6" s="16" t="inlineStr">
        <is>
          <t>[#]</t>
        </is>
      </c>
      <c r="L6" s="16" t="inlineStr">
        <is>
          <t>[%]</t>
        </is>
      </c>
      <c r="M6" s="16" t="inlineStr">
        <is>
          <t>[MB]</t>
        </is>
      </c>
      <c r="N6" s="16" t="inlineStr">
        <is>
          <t>[datetime]</t>
        </is>
      </c>
      <c r="O6" s="16" t="inlineStr">
        <is>
          <t>[Running/Stopped]</t>
        </is>
      </c>
      <c r="P6" s="16" t="inlineStr">
        <is>
          <t>[Web/DB/App/Cache/Queue]</t>
        </is>
      </c>
      <c r="Q6" s="16" t="inlineStr">
        <is>
          <t>[comma separated]</t>
        </is>
      </c>
      <c r="R6" s="16" t="inlineStr">
        <is>
          <t>[AWS ADS/Azure Migrate/GCP Migration Center/Manual]</t>
        </is>
      </c>
      <c r="S6" s="16" t="inlineStr">
        <is>
          <t>[notes]</t>
        </is>
      </c>
    </row>
  </sheetData>
  <mergeCells count="3">
    <mergeCell ref="A3:S3"/>
    <mergeCell ref="A2:S2"/>
    <mergeCell ref="A1:S1"/>
  </mergeCells>
  <dataValidations count="3">
    <dataValidation sqref="O7:O500" showDropDown="0" showInputMessage="1" showErrorMessage="1" allowBlank="1" type="list">
      <formula1>"Running,Stopped,Unknown"</formula1>
    </dataValidation>
    <dataValidation sqref="P7:P500" showDropDown="0" showInputMessage="1" showErrorMessage="1" allowBlank="1" type="list">
      <formula1>"Web Server,Database,Application,Cache,Queue,Monitoring,Authentication,Batch,Other"</formula1>
    </dataValidation>
    <dataValidation sqref="R7:R500" showDropDown="0" showInputMessage="1" showErrorMessage="1" allowBlank="1" type="list">
      <formula1>"AWS ADS Agent,Azure Migrate Agent,GCP Migration Center,Manual"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2F5496"/>
    <outlinePr summaryBelow="1" summaryRight="1"/>
    <pageSetUpPr/>
  </sheetPr>
  <dimension ref="A1:F75"/>
  <sheetViews>
    <sheetView topLeftCell="A35" workbookViewId="0">
      <selection activeCell="B10" sqref="B10"/>
    </sheetView>
  </sheetViews>
  <sheetFormatPr baseColWidth="8" defaultRowHeight="14.5"/>
  <cols>
    <col width="32.7265625" customWidth="1" style="1" min="1" max="1"/>
    <col width="36.36328125" customWidth="1" style="1" min="2" max="2"/>
    <col width="32.7265625" customWidth="1" style="1" min="3" max="3"/>
    <col width="27.26953125" customWidth="1" style="1" min="4" max="5"/>
    <col width="18.1796875" customWidth="1" style="1" min="6" max="6"/>
  </cols>
  <sheetData>
    <row r="1" ht="30" customHeight="1" s="1">
      <c r="A1" s="29" t="inlineStr">
        <is>
          <t>CLOUD DEPENDENCY MAPPING - TOOL REFERENCE GUIDE</t>
        </is>
      </c>
    </row>
    <row r="2">
      <c r="A2" s="30" t="inlineStr">
        <is>
          <t>Quick Reference for AWS, Azure, and Google Cloud Native Discovery Tools</t>
        </is>
      </c>
    </row>
    <row r="4" ht="17" customHeight="1" s="1">
      <c r="A4" s="31" t="inlineStr">
        <is>
          <t>AWS APPLICATION DISCOVERY SERVICE (ADS)</t>
        </is>
      </c>
    </row>
    <row r="5">
      <c r="A5" s="35" t="inlineStr">
        <is>
          <t>Feature</t>
        </is>
      </c>
      <c r="B5" s="35" t="inlineStr">
        <is>
          <t>Description</t>
        </is>
      </c>
      <c r="C5" s="35" t="inlineStr">
        <is>
          <t>Data Captured</t>
        </is>
      </c>
      <c r="D5" s="35" t="inlineStr">
        <is>
          <t>Export Method</t>
        </is>
      </c>
      <c r="E5" s="35" t="inlineStr">
        <is>
          <t>Best Use Case</t>
        </is>
      </c>
    </row>
    <row r="6">
      <c r="A6" t="inlineStr">
        <is>
          <t>Agentless Discovery</t>
        </is>
      </c>
      <c r="B6" t="inlineStr">
        <is>
          <t>VMware vCenter Connector OVA</t>
        </is>
      </c>
      <c r="C6" t="inlineStr">
        <is>
          <t>VM inventory, basic metrics</t>
        </is>
      </c>
      <c r="D6" t="inlineStr">
        <is>
          <t>CSV via Migration Hub</t>
        </is>
      </c>
      <c r="E6" t="inlineStr">
        <is>
          <t>Quick inventory scan</t>
        </is>
      </c>
    </row>
    <row r="7">
      <c r="A7" t="inlineStr">
        <is>
          <t>Agent-Based Discovery</t>
        </is>
      </c>
      <c r="B7" t="inlineStr">
        <is>
          <t>Discovery Agent on each server</t>
        </is>
      </c>
      <c r="C7" t="inlineStr">
        <is>
          <t>Processes, TCP connections, performance</t>
        </is>
      </c>
      <c r="D7" t="inlineStr">
        <is>
          <t>CSV Export, API</t>
        </is>
      </c>
      <c r="E7" t="inlineStr">
        <is>
          <t>Deep dependency mapping</t>
        </is>
      </c>
    </row>
    <row r="8">
      <c r="A8" t="inlineStr">
        <is>
          <t>Network Connections</t>
        </is>
      </c>
      <c r="B8" t="inlineStr">
        <is>
          <t>TCP connection capture between servers</t>
        </is>
      </c>
      <c r="C8" t="inlineStr">
        <is>
          <t>Source/Dest IP, Port, Bytes</t>
        </is>
      </c>
      <c r="D8" t="inlineStr">
        <is>
          <t>Network CSV Export</t>
        </is>
      </c>
      <c r="E8" t="inlineStr">
        <is>
          <t>Server communication mapping</t>
        </is>
      </c>
    </row>
    <row r="9">
      <c r="A9" t="inlineStr">
        <is>
          <t>Migration Hub</t>
        </is>
      </c>
      <c r="B9" t="inlineStr">
        <is>
          <t>Centralized discovery dashboard</t>
        </is>
      </c>
      <c r="C9" t="inlineStr">
        <is>
          <t>Aggregated server data</t>
        </is>
      </c>
      <c r="D9" t="inlineStr">
        <is>
          <t>Console, API</t>
        </is>
      </c>
      <c r="E9" t="inlineStr">
        <is>
          <t>Unified view</t>
        </is>
      </c>
    </row>
    <row r="11">
      <c r="A11" s="34" t="inlineStr">
        <is>
          <t>AWS ADS Export Commands:</t>
        </is>
      </c>
    </row>
    <row r="12">
      <c r="A12" s="35" t="inlineStr">
        <is>
          <t>Command</t>
        </is>
      </c>
      <c r="B12" s="35" t="inlineStr">
        <is>
          <t>Purpose</t>
        </is>
      </c>
    </row>
    <row r="13">
      <c r="A13" t="inlineStr">
        <is>
          <t>aws discovery start-export-task</t>
        </is>
      </c>
      <c r="B13" t="inlineStr">
        <is>
          <t>Export data to S3 bucket</t>
        </is>
      </c>
    </row>
    <row r="14">
      <c r="A14" t="inlineStr">
        <is>
          <t>aws discovery describe-configurations</t>
        </is>
      </c>
      <c r="B14" t="inlineStr">
        <is>
          <t>Query server configurations</t>
        </is>
      </c>
    </row>
    <row r="15">
      <c r="A15" t="inlineStr">
        <is>
          <t>aws discovery list-configurations</t>
        </is>
      </c>
      <c r="B15" t="inlineStr">
        <is>
          <t>List all discovered items</t>
        </is>
      </c>
    </row>
    <row r="17" ht="17" customHeight="1" s="1">
      <c r="A17" s="32" t="inlineStr">
        <is>
          <t>AZURE MIGRATE - DEPENDENCY ANALYSIS</t>
        </is>
      </c>
    </row>
    <row r="18">
      <c r="A18" s="35" t="inlineStr">
        <is>
          <t>Feature</t>
        </is>
      </c>
      <c r="B18" s="35" t="inlineStr">
        <is>
          <t>Description</t>
        </is>
      </c>
      <c r="C18" s="35" t="inlineStr">
        <is>
          <t>Data Captured</t>
        </is>
      </c>
      <c r="D18" s="35" t="inlineStr">
        <is>
          <t>Export Method</t>
        </is>
      </c>
      <c r="E18" s="35" t="inlineStr">
        <is>
          <t>Best Use Case</t>
        </is>
      </c>
    </row>
    <row r="19">
      <c r="A19" t="inlineStr">
        <is>
          <t>Agentless Analysis</t>
        </is>
      </c>
      <c r="B19" t="inlineStr">
        <is>
          <t>Azure Migrate Appliance polls TCP</t>
        </is>
      </c>
      <c r="C19" t="inlineStr">
        <is>
          <t>Source/Dest server, process, port</t>
        </is>
      </c>
      <c r="D19" t="inlineStr">
        <is>
          <t>CSV (30 days retention)</t>
        </is>
      </c>
      <c r="E19" t="inlineStr">
        <is>
          <t>VMware, Hyper-V, Physical</t>
        </is>
      </c>
    </row>
    <row r="20">
      <c r="A20" t="inlineStr">
        <is>
          <t>Agent-Based Analysis</t>
        </is>
      </c>
      <c r="B20" t="inlineStr">
        <is>
          <t>Log Analytics + Dependency Agent</t>
        </is>
      </c>
      <c r="C20" t="inlineStr">
        <is>
          <t>Connections, latency, data transfer</t>
        </is>
      </c>
      <c r="D20" t="inlineStr">
        <is>
          <t>Log Analytics Query</t>
        </is>
      </c>
      <c r="E20" t="inlineStr">
        <is>
          <t>Deep analysis with Service Map</t>
        </is>
      </c>
    </row>
    <row r="21">
      <c r="A21" t="inlineStr">
        <is>
          <t>Dependency Visualization</t>
        </is>
      </c>
      <c r="B21" t="inlineStr">
        <is>
          <t>Interactive map of connections</t>
        </is>
      </c>
      <c r="C21" t="inlineStr">
        <is>
          <t>Visual graph, connection details</t>
        </is>
      </c>
      <c r="D21" t="inlineStr">
        <is>
          <t>Screenshot, CSV</t>
        </is>
      </c>
      <c r="E21" t="inlineStr">
        <is>
          <t>Understanding architecture</t>
        </is>
      </c>
    </row>
    <row r="22">
      <c r="A22" t="inlineStr">
        <is>
          <t>Service Map</t>
        </is>
      </c>
      <c r="B22" t="inlineStr">
        <is>
          <t>Azure Monitor solution</t>
        </is>
      </c>
      <c r="C22" t="inlineStr">
        <is>
          <t>Process-level dependencies</t>
        </is>
      </c>
      <c r="D22" t="inlineStr">
        <is>
          <t>Kusto Query</t>
        </is>
      </c>
      <c r="E22" t="inlineStr">
        <is>
          <t>Complex environments</t>
        </is>
      </c>
    </row>
    <row r="24">
      <c r="A24" s="34" t="inlineStr">
        <is>
          <t>Azure Migrate Capabilities:</t>
        </is>
      </c>
    </row>
    <row r="25">
      <c r="A25" s="35" t="inlineStr">
        <is>
          <t>Capability</t>
        </is>
      </c>
      <c r="B25" s="35" t="inlineStr">
        <is>
          <t>Details</t>
        </is>
      </c>
    </row>
    <row r="26">
      <c r="A26" t="inlineStr">
        <is>
          <t>Polling Frequency</t>
        </is>
      </c>
      <c r="B26" t="inlineStr">
        <is>
          <t>Every 5 minutes for TCP data</t>
        </is>
      </c>
    </row>
    <row r="27">
      <c r="A27" t="inlineStr">
        <is>
          <t>Data Retention</t>
        </is>
      </c>
      <c r="B27" t="inlineStr">
        <is>
          <t>30 days (agentless), configurable (agent)</t>
        </is>
      </c>
    </row>
    <row r="28">
      <c r="A28" t="inlineStr">
        <is>
          <t>Supported Platforms</t>
        </is>
      </c>
      <c r="B28" t="inlineStr">
        <is>
          <t>VMware, Hyper-V, Physical, AWS, GCP VMs</t>
        </is>
      </c>
    </row>
    <row r="30" ht="17" customHeight="1" s="1">
      <c r="A30" s="33" t="inlineStr">
        <is>
          <t>GOOGLE CLOUD MIGRATION CENTER</t>
        </is>
      </c>
    </row>
    <row r="31">
      <c r="A31" s="35" t="inlineStr">
        <is>
          <t>Feature</t>
        </is>
      </c>
      <c r="B31" s="35" t="inlineStr">
        <is>
          <t>Description</t>
        </is>
      </c>
      <c r="C31" s="35" t="inlineStr">
        <is>
          <t>Data Captured</t>
        </is>
      </c>
      <c r="D31" s="35" t="inlineStr">
        <is>
          <t>Export Method</t>
        </is>
      </c>
      <c r="E31" s="35" t="inlineStr">
        <is>
          <t>Best Use Case</t>
        </is>
      </c>
    </row>
    <row r="32">
      <c r="A32" t="inlineStr">
        <is>
          <t>Migration Center Discovery</t>
        </is>
      </c>
      <c r="B32" t="inlineStr">
        <is>
          <t>Automated asset discovery</t>
        </is>
      </c>
      <c r="C32" t="inlineStr">
        <is>
          <t>Server inventory, dependencies</t>
        </is>
      </c>
      <c r="D32" t="inlineStr">
        <is>
          <t>BigQuery, CSV</t>
        </is>
      </c>
      <c r="E32" t="inlineStr">
        <is>
          <t>Multi-cloud environments</t>
        </is>
      </c>
    </row>
    <row r="33">
      <c r="A33" t="inlineStr">
        <is>
          <t>Application Mapping</t>
        </is>
      </c>
      <c r="B33" t="inlineStr">
        <is>
          <t>Cross-workload dependencies</t>
        </is>
      </c>
      <c r="C33" t="inlineStr">
        <is>
          <t>Server interactions, topology</t>
        </is>
      </c>
      <c r="D33" t="inlineStr">
        <is>
          <t>BigQuery, Console</t>
        </is>
      </c>
      <c r="E33" t="inlineStr">
        <is>
          <t>Complex architectures</t>
        </is>
      </c>
    </row>
    <row r="34">
      <c r="A34" t="inlineStr">
        <is>
          <t>BigQuery Exporter</t>
        </is>
      </c>
      <c r="B34" t="inlineStr">
        <is>
          <t>Advanced analytics export</t>
        </is>
      </c>
      <c r="C34" t="inlineStr">
        <is>
          <t>Full infrastructure data</t>
        </is>
      </c>
      <c r="D34" t="inlineStr">
        <is>
          <t>BigQuery tables</t>
        </is>
      </c>
      <c r="E34" t="inlineStr">
        <is>
          <t>Custom reporting</t>
        </is>
      </c>
    </row>
    <row r="36">
      <c r="A36" s="34" t="inlineStr">
        <is>
          <t>GCP Partner Tools:</t>
        </is>
      </c>
    </row>
    <row r="37">
      <c r="A37" s="35" t="inlineStr">
        <is>
          <t>Tool</t>
        </is>
      </c>
      <c r="B37" s="35" t="inlineStr">
        <is>
          <t>Provider</t>
        </is>
      </c>
      <c r="C37" s="35" t="inlineStr">
        <is>
          <t>Key Feature</t>
        </is>
      </c>
    </row>
    <row r="38">
      <c r="A38" t="inlineStr">
        <is>
          <t>CAST Software</t>
        </is>
      </c>
      <c r="B38" t="inlineStr">
        <is>
          <t>CAST</t>
        </is>
      </c>
      <c r="C38" t="inlineStr">
        <is>
          <t>Static code analysis</t>
        </is>
      </c>
    </row>
    <row r="39">
      <c r="A39" t="inlineStr">
        <is>
          <t>Matilda Cloud</t>
        </is>
      </c>
      <c r="B39" t="inlineStr">
        <is>
          <t>Matilda</t>
        </is>
      </c>
      <c r="C39" t="inlineStr">
        <is>
          <t>Agentless topology discovery</t>
        </is>
      </c>
    </row>
    <row r="40">
      <c r="A40" t="inlineStr">
        <is>
          <t>Txture</t>
        </is>
      </c>
      <c r="B40" t="inlineStr">
        <is>
          <t>Txture</t>
        </is>
      </c>
      <c r="C40" t="inlineStr">
        <is>
          <t>IT infrastructure mapping</t>
        </is>
      </c>
    </row>
    <row r="42">
      <c r="A42" s="34" t="inlineStr">
        <is>
          <t>DATA FIELD MAPPING GUIDE</t>
        </is>
      </c>
    </row>
    <row r="43">
      <c r="A43" t="inlineStr">
        <is>
          <t>Map exported data from each cloud tool to this template's columns</t>
        </is>
      </c>
    </row>
    <row r="45">
      <c r="A45" t="inlineStr">
        <is>
          <t>SERVER_INVENTORY FIELD MAPPING</t>
        </is>
      </c>
    </row>
    <row r="46">
      <c r="A46" s="34" t="inlineStr">
        <is>
          <t>Template Column</t>
        </is>
      </c>
    </row>
    <row r="47">
      <c r="A47" s="35" t="inlineStr">
        <is>
          <t>Server ID</t>
        </is>
      </c>
      <c r="B47" s="35" t="inlineStr">
        <is>
          <t>configurationId</t>
        </is>
      </c>
      <c r="C47" s="35" t="inlineStr">
        <is>
          <t>Machine ID</t>
        </is>
      </c>
      <c r="D47" s="35" t="inlineStr">
        <is>
          <t>Asset ID</t>
        </is>
      </c>
    </row>
    <row r="48">
      <c r="A48" t="inlineStr">
        <is>
          <t>Hostname</t>
        </is>
      </c>
      <c r="B48" t="inlineStr">
        <is>
          <t>server.hostName</t>
        </is>
      </c>
      <c r="C48" t="inlineStr">
        <is>
          <t>Machine name</t>
        </is>
      </c>
      <c r="D48" t="inlineStr">
        <is>
          <t>Name</t>
        </is>
      </c>
    </row>
    <row r="49">
      <c r="A49" t="inlineStr">
        <is>
          <t>Primary IP</t>
        </is>
      </c>
      <c r="B49" t="inlineStr">
        <is>
          <t>networkInterfaceInfo.ipAddress</t>
        </is>
      </c>
      <c r="C49" t="inlineStr">
        <is>
          <t>IP addresses</t>
        </is>
      </c>
      <c r="D49" t="inlineStr">
        <is>
          <t>IP Address</t>
        </is>
      </c>
    </row>
    <row r="50">
      <c r="A50" t="inlineStr">
        <is>
          <t>Operating System</t>
        </is>
      </c>
      <c r="B50" t="inlineStr">
        <is>
          <t>server.osName</t>
        </is>
      </c>
      <c r="C50" t="inlineStr">
        <is>
          <t>Operating system</t>
        </is>
      </c>
      <c r="D50" t="inlineStr">
        <is>
          <t>OS Type</t>
        </is>
      </c>
    </row>
    <row r="51">
      <c r="A51" t="inlineStr">
        <is>
          <t>OS Version</t>
        </is>
      </c>
      <c r="B51" t="inlineStr">
        <is>
          <t>server.osVersion</t>
        </is>
      </c>
      <c r="C51" t="inlineStr">
        <is>
          <t>OS version</t>
        </is>
      </c>
      <c r="D51" t="inlineStr">
        <is>
          <t>OS Version</t>
        </is>
      </c>
    </row>
    <row r="52">
      <c r="A52" t="inlineStr">
        <is>
          <t>CPU Cores</t>
        </is>
      </c>
      <c r="B52" t="inlineStr">
        <is>
          <t>server.cpuCount</t>
        </is>
      </c>
      <c r="C52" t="inlineStr">
        <is>
          <t>Number of cores</t>
        </is>
      </c>
      <c r="D52" t="inlineStr">
        <is>
          <t>CPU Count</t>
        </is>
      </c>
    </row>
    <row r="53">
      <c r="A53" t="inlineStr">
        <is>
          <t>RAM (GB)</t>
        </is>
      </c>
      <c r="B53" t="inlineStr">
        <is>
          <t>server.totalRamInMB / 1024</t>
        </is>
      </c>
      <c r="C53" t="inlineStr">
        <is>
          <t>Memory (MB) / 1024</t>
        </is>
      </c>
      <c r="D53" t="inlineStr">
        <is>
          <t>Memory GB</t>
        </is>
      </c>
    </row>
    <row r="55">
      <c r="A55" t="inlineStr">
        <is>
          <t>NETWORK_DEPENDENCIES FIELD MAPPING</t>
        </is>
      </c>
    </row>
    <row r="56">
      <c r="A56" s="34" t="inlineStr">
        <is>
          <t>Template Column</t>
        </is>
      </c>
    </row>
    <row r="57">
      <c r="A57" s="35" t="inlineStr">
        <is>
          <t>Source IP</t>
        </is>
      </c>
      <c r="B57" s="35" t="inlineStr">
        <is>
          <t>sourceServer.ipAddress</t>
        </is>
      </c>
      <c r="C57" s="35" t="inlineStr">
        <is>
          <t>Source IP</t>
        </is>
      </c>
      <c r="D57" s="35" t="inlineStr">
        <is>
          <t>Source Address</t>
        </is>
      </c>
    </row>
    <row r="58">
      <c r="A58" t="inlineStr">
        <is>
          <t>Source Process</t>
        </is>
      </c>
      <c r="B58" t="inlineStr">
        <is>
          <t>sourceProcess.name</t>
        </is>
      </c>
      <c r="C58" t="inlineStr">
        <is>
          <t>Source process name</t>
        </is>
      </c>
      <c r="D58" t="inlineStr">
        <is>
          <t>Source Process</t>
        </is>
      </c>
    </row>
    <row r="59">
      <c r="A59" t="inlineStr">
        <is>
          <t>Dest IP</t>
        </is>
      </c>
      <c r="B59" t="inlineStr">
        <is>
          <t>destinationServer.ipAddress</t>
        </is>
      </c>
      <c r="C59" t="inlineStr">
        <is>
          <t>Destination IP</t>
        </is>
      </c>
      <c r="D59" t="inlineStr">
        <is>
          <t>Destination Address</t>
        </is>
      </c>
    </row>
    <row r="60">
      <c r="A60" t="inlineStr">
        <is>
          <t>Dest Port</t>
        </is>
      </c>
      <c r="B60" t="inlineStr">
        <is>
          <t>destinationPort</t>
        </is>
      </c>
      <c r="C60" t="inlineStr">
        <is>
          <t>Destination port</t>
        </is>
      </c>
      <c r="D60" t="inlineStr">
        <is>
          <t>Destination Port</t>
        </is>
      </c>
    </row>
    <row r="61">
      <c r="A61" t="inlineStr">
        <is>
          <t>Bytes Transferred</t>
        </is>
      </c>
      <c r="B61" t="inlineStr">
        <is>
          <t>bytesTransferred</t>
        </is>
      </c>
      <c r="C61" t="inlineStr">
        <is>
          <t>Data sent/received</t>
        </is>
      </c>
      <c r="D61" t="inlineStr">
        <is>
          <t>Traffic Volume</t>
        </is>
      </c>
    </row>
    <row r="63">
      <c r="A63" t="inlineStr">
        <is>
          <t>BEST PRACTICES FOR DEPENDENCY DISCOVERY</t>
        </is>
      </c>
    </row>
    <row r="64">
      <c r="A64" s="34" t="inlineStr">
        <is>
          <t>Recommendation</t>
        </is>
      </c>
    </row>
    <row r="65">
      <c r="A65" s="35" t="inlineStr">
        <is>
          <t>Discovery Duration</t>
        </is>
      </c>
      <c r="B65" s="35" t="inlineStr">
        <is>
          <t>Run discovery for 2-4 weeks to capture periodic connections</t>
        </is>
      </c>
    </row>
    <row r="66">
      <c r="A66" t="inlineStr">
        <is>
          <t>Multiple Sources</t>
        </is>
      </c>
      <c r="B66" t="inlineStr">
        <is>
          <t>Use both agentless AND agent-based for comprehensive coverage</t>
        </is>
      </c>
    </row>
    <row r="67">
      <c r="A67" t="inlineStr">
        <is>
          <t>Validate Results</t>
        </is>
      </c>
      <c r="B67" t="inlineStr">
        <is>
          <t>Cross-check discovered dependencies with application owners</t>
        </is>
      </c>
    </row>
    <row r="68">
      <c r="A68" t="inlineStr">
        <is>
          <t>Document Manual Entries</t>
        </is>
      </c>
      <c r="B68" t="inlineStr">
        <is>
          <t>Some dependencies may not be captured automatically</t>
        </is>
      </c>
    </row>
    <row r="69">
      <c r="A69" t="inlineStr">
        <is>
          <t>Update Regularly</t>
        </is>
      </c>
      <c r="B69" t="inlineStr">
        <is>
          <t>Re-run discovery before major migration phases</t>
        </is>
      </c>
    </row>
    <row r="71">
      <c r="A71" t="inlineStr">
        <is>
          <t>TEMPLATE VERSION INFORMATION</t>
        </is>
      </c>
    </row>
    <row r="72">
      <c r="A72" s="34" t="inlineStr">
        <is>
          <t>Item</t>
        </is>
      </c>
    </row>
    <row r="73">
      <c r="A73" s="35" t="inlineStr">
        <is>
          <t>Template Version</t>
        </is>
      </c>
      <c r="B73" s="35" t="n">
        <v>1</v>
      </c>
    </row>
    <row r="74">
      <c r="A74" t="inlineStr">
        <is>
          <t>Last Updated</t>
        </is>
      </c>
      <c r="B74" s="28" t="n">
        <v>46113</v>
      </c>
    </row>
    <row r="75">
      <c r="A75" t="inlineStr">
        <is>
          <t>Scope</t>
        </is>
      </c>
      <c r="B75" t="inlineStr">
        <is>
          <t>Cloud Readiness Assessment - Dependency Mapping</t>
        </is>
      </c>
    </row>
  </sheetData>
  <mergeCells count="13">
    <mergeCell ref="A24:F24"/>
    <mergeCell ref="A2:F2"/>
    <mergeCell ref="A11:F11"/>
    <mergeCell ref="A42:F42"/>
    <mergeCell ref="A46:F46"/>
    <mergeCell ref="A36:F36"/>
    <mergeCell ref="A1:F1"/>
    <mergeCell ref="A17:F17"/>
    <mergeCell ref="A56:F56"/>
    <mergeCell ref="A4:F4"/>
    <mergeCell ref="A30:F30"/>
    <mergeCell ref="A72:F72"/>
    <mergeCell ref="A64:F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9C27B0"/>
    <outlinePr summaryBelow="1" summaryRight="1"/>
    <pageSetUpPr/>
  </sheetPr>
  <dimension ref="A1:D129"/>
  <sheetViews>
    <sheetView topLeftCell="A96" workbookViewId="0">
      <selection activeCell="B10" sqref="B10"/>
    </sheetView>
  </sheetViews>
  <sheetFormatPr baseColWidth="8" defaultRowHeight="14.5"/>
  <cols>
    <col width="32.7265625" customWidth="1" style="1" min="1" max="1"/>
    <col width="54.54296875" customWidth="1" style="1" min="2" max="2"/>
    <col width="40" customWidth="1" style="1" min="3" max="3"/>
    <col width="32.7265625" customWidth="1" style="1" min="4" max="4"/>
  </cols>
  <sheetData>
    <row r="1" ht="21" customHeight="1" s="1">
      <c r="A1" s="36" t="inlineStr">
        <is>
          <t>PROCESS MAPPING DATA COLLECTION GUIDE</t>
        </is>
      </c>
    </row>
    <row r="2">
      <c r="A2" s="60" t="inlineStr">
        <is>
          <t>How to Extract Process Data from AWS, Azure, and GCP Migration Tools</t>
        </is>
      </c>
    </row>
    <row r="4">
      <c r="A4" s="61" t="inlineStr">
        <is>
          <t>AWS APPLICATION DISCOVERY SERVICE - PROCESS DATA EXTRACTION</t>
        </is>
      </c>
    </row>
    <row r="5">
      <c r="A5" s="62" t="inlineStr">
        <is>
          <t>⚠️ PREREQUISITE: Agent-Based Discovery Required - Agentless does NOT capture process data</t>
        </is>
      </c>
    </row>
    <row r="7">
      <c r="A7" s="63" t="inlineStr">
        <is>
          <t>Method 1: AWS Console Export</t>
        </is>
      </c>
    </row>
    <row r="8">
      <c r="A8" s="64" t="inlineStr">
        <is>
          <t>Step</t>
        </is>
      </c>
      <c r="B8" s="64" t="inlineStr">
        <is>
          <t>Action</t>
        </is>
      </c>
      <c r="C8" s="64" t="inlineStr">
        <is>
          <t>Details</t>
        </is>
      </c>
      <c r="D8" s="64" t="inlineStr">
        <is>
          <t>Output</t>
        </is>
      </c>
    </row>
    <row r="9">
      <c r="A9" t="n">
        <v>1</v>
      </c>
      <c r="B9" t="inlineStr">
        <is>
          <t>Navigate to Migration Hub</t>
        </is>
      </c>
      <c r="C9" t="inlineStr">
        <is>
          <t>AWS Console → Migration Hub → Discover → Servers</t>
        </is>
      </c>
      <c r="D9" t="inlineStr">
        <is>
          <t>Server list</t>
        </is>
      </c>
    </row>
    <row r="10">
      <c r="A10" t="n">
        <v>2</v>
      </c>
      <c r="B10" t="inlineStr">
        <is>
          <t>Select Server</t>
        </is>
      </c>
      <c r="C10" t="inlineStr">
        <is>
          <t>Click on server hostname</t>
        </is>
      </c>
      <c r="D10" t="inlineStr">
        <is>
          <t>Server detail page</t>
        </is>
      </c>
    </row>
    <row r="11">
      <c r="A11" t="n">
        <v>3</v>
      </c>
      <c r="B11" t="inlineStr">
        <is>
          <t>View Processes Tab</t>
        </is>
      </c>
      <c r="C11" t="inlineStr">
        <is>
          <t>Click 'Running processes' tab</t>
        </is>
      </c>
      <c r="D11" t="inlineStr">
        <is>
          <t>Process list</t>
        </is>
      </c>
    </row>
    <row r="12">
      <c r="A12" t="n">
        <v>4</v>
      </c>
      <c r="B12" t="inlineStr">
        <is>
          <t>Export Data</t>
        </is>
      </c>
      <c r="C12" t="inlineStr">
        <is>
          <t>Click 'Export' → Select 'Running processes'</t>
        </is>
      </c>
      <c r="D12" t="inlineStr">
        <is>
          <t>CSV download</t>
        </is>
      </c>
    </row>
    <row r="13">
      <c r="A13" t="n">
        <v>5</v>
      </c>
      <c r="B13" t="inlineStr">
        <is>
          <t>Repeat for All</t>
        </is>
      </c>
      <c r="C13" t="inlineStr">
        <is>
          <t>Export for each server</t>
        </is>
      </c>
      <c r="D13" t="inlineStr">
        <is>
          <t>Multiple CSVs</t>
        </is>
      </c>
    </row>
    <row r="15">
      <c r="A15" s="63" t="inlineStr">
        <is>
          <t>Method 2: AWS CLI Bulk Export</t>
        </is>
      </c>
    </row>
    <row r="16">
      <c r="A16" s="64" t="inlineStr">
        <is>
          <t>Command</t>
        </is>
      </c>
      <c r="B16" s="64" t="inlineStr">
        <is>
          <t>Purpose</t>
        </is>
      </c>
      <c r="C16" s="64" t="n"/>
      <c r="D16" s="64" t="n"/>
    </row>
    <row r="17">
      <c r="A17" t="inlineStr">
        <is>
          <t>aws discovery start-export-task --export-data-format CSV</t>
        </is>
      </c>
      <c r="B17" t="inlineStr">
        <is>
          <t>Initiates bulk export to S3</t>
        </is>
      </c>
    </row>
    <row r="18">
      <c r="A18" t="inlineStr">
        <is>
          <t>aws discovery describe-export-tasks</t>
        </is>
      </c>
      <c r="B18" t="inlineStr">
        <is>
          <t>Check export status</t>
        </is>
      </c>
    </row>
    <row r="19">
      <c r="A19" t="inlineStr">
        <is>
          <t>processes.csv in S3 bucket</t>
        </is>
      </c>
      <c r="B19" t="inlineStr">
        <is>
          <t>Contains all process data</t>
        </is>
      </c>
    </row>
    <row r="21">
      <c r="A21" s="63" t="inlineStr">
        <is>
          <t>AWS ADS → Process_Mapping Field Mapping</t>
        </is>
      </c>
    </row>
    <row r="22">
      <c r="A22" s="64" t="inlineStr">
        <is>
          <t>Template Column</t>
        </is>
      </c>
      <c r="B22" s="64" t="inlineStr">
        <is>
          <t>AWS ADS Field</t>
        </is>
      </c>
      <c r="C22" s="64" t="inlineStr">
        <is>
          <t>Notes</t>
        </is>
      </c>
      <c r="D22" s="64" t="n"/>
    </row>
    <row r="23">
      <c r="A23" t="inlineStr">
        <is>
          <t>Process Name</t>
        </is>
      </c>
      <c r="B23" t="inlineStr">
        <is>
          <t>process.name</t>
        </is>
      </c>
      <c r="C23" t="inlineStr">
        <is>
          <t>Executable name</t>
        </is>
      </c>
    </row>
    <row r="24">
      <c r="A24" t="inlineStr">
        <is>
          <t>Process Path</t>
        </is>
      </c>
      <c r="B24" t="inlineStr">
        <is>
          <t>process.cmdLine</t>
        </is>
      </c>
      <c r="C24" t="inlineStr">
        <is>
          <t>Full command line</t>
        </is>
      </c>
    </row>
    <row r="25">
      <c r="A25" t="inlineStr">
        <is>
          <t>Process User</t>
        </is>
      </c>
      <c r="B25" t="inlineStr">
        <is>
          <t>process.user</t>
        </is>
      </c>
      <c r="C25" t="inlineStr">
        <is>
          <t>Running user</t>
        </is>
      </c>
    </row>
    <row r="26">
      <c r="A26" t="inlineStr">
        <is>
          <t>Listening Ports</t>
        </is>
      </c>
      <c r="B26" t="inlineStr">
        <is>
          <t>process.transportProtocol + portNumber</t>
        </is>
      </c>
      <c r="C26" t="inlineStr">
        <is>
          <t>Combine fields</t>
        </is>
      </c>
    </row>
    <row r="27">
      <c r="A27" t="inlineStr">
        <is>
          <t>CPU Usage (%)</t>
        </is>
      </c>
      <c r="B27" t="inlineStr">
        <is>
          <t>process.cpuUsagePct</t>
        </is>
      </c>
      <c r="C27" t="inlineStr">
        <is>
          <t>Average CPU</t>
        </is>
      </c>
    </row>
    <row r="28">
      <c r="A28" t="inlineStr">
        <is>
          <t>Memory Usage (MB)</t>
        </is>
      </c>
      <c r="B28" t="inlineStr">
        <is>
          <t>process.memoryUsageMB</t>
        </is>
      </c>
      <c r="C28" t="inlineStr">
        <is>
          <t>Memory consumption</t>
        </is>
      </c>
    </row>
    <row r="31">
      <c r="A31" s="65" t="inlineStr">
        <is>
          <t>AZURE MIGRATE - PROCESS DATA EXTRACTION</t>
        </is>
      </c>
    </row>
    <row r="32">
      <c r="A32" s="62" t="inlineStr">
        <is>
          <t>⚠️ PREREQUISITE: Agentless = limited data | Agent-Based (Service Map) = full process details</t>
        </is>
      </c>
    </row>
    <row r="34">
      <c r="A34" s="66" t="inlineStr">
        <is>
          <t>Method 1: Agentless Dependency Analysis (Limited Process Data)</t>
        </is>
      </c>
    </row>
    <row r="35">
      <c r="A35" s="64" t="inlineStr">
        <is>
          <t>Step</t>
        </is>
      </c>
      <c r="B35" s="64" t="inlineStr">
        <is>
          <t>Action</t>
        </is>
      </c>
      <c r="C35" s="64" t="inlineStr">
        <is>
          <t>Details</t>
        </is>
      </c>
      <c r="D35" s="64" t="inlineStr">
        <is>
          <t>Output</t>
        </is>
      </c>
    </row>
    <row r="36">
      <c r="A36" t="n">
        <v>1</v>
      </c>
      <c r="B36" t="inlineStr">
        <is>
          <t>Enable Dependency Analysis</t>
        </is>
      </c>
      <c r="C36" t="inlineStr">
        <is>
          <t>Azure Portal → Azure Migrate → Enable</t>
        </is>
      </c>
      <c r="D36" t="inlineStr">
        <is>
          <t>Polling starts</t>
        </is>
      </c>
    </row>
    <row r="37">
      <c r="A37" t="n">
        <v>2</v>
      </c>
      <c r="B37" t="inlineStr">
        <is>
          <t>Wait 30 days</t>
        </is>
      </c>
      <c r="C37" t="inlineStr">
        <is>
          <t>Appliance polls every 5 minutes</t>
        </is>
      </c>
      <c r="D37" t="inlineStr">
        <is>
          <t>Data accumulates</t>
        </is>
      </c>
    </row>
    <row r="38">
      <c r="A38" t="n">
        <v>3</v>
      </c>
      <c r="B38" t="inlineStr">
        <is>
          <t>View Dependencies</t>
        </is>
      </c>
      <c r="C38" t="inlineStr">
        <is>
          <t>Click server → Dependencies</t>
        </is>
      </c>
      <c r="D38" t="inlineStr">
        <is>
          <t>Process names &amp; ports</t>
        </is>
      </c>
    </row>
    <row r="39">
      <c r="A39" t="n">
        <v>4</v>
      </c>
      <c r="B39" t="inlineStr">
        <is>
          <t>Export CSV</t>
        </is>
      </c>
      <c r="C39" t="inlineStr">
        <is>
          <t>Click 'Export' button</t>
        </is>
      </c>
      <c r="D39" t="inlineStr">
        <is>
          <t>CSV file</t>
        </is>
      </c>
    </row>
    <row r="41">
      <c r="A41" s="66" t="inlineStr">
        <is>
          <t>Method 2: Agent-Based (Service Map) - RECOMMENDED for Full Process Data</t>
        </is>
      </c>
    </row>
    <row r="42">
      <c r="A42" s="64" t="inlineStr">
        <is>
          <t>Step</t>
        </is>
      </c>
      <c r="B42" s="64" t="inlineStr">
        <is>
          <t>Action</t>
        </is>
      </c>
      <c r="C42" s="64" t="inlineStr">
        <is>
          <t>Details</t>
        </is>
      </c>
      <c r="D42" s="64" t="inlineStr">
        <is>
          <t>Output</t>
        </is>
      </c>
    </row>
    <row r="43">
      <c r="A43" t="n">
        <v>1</v>
      </c>
      <c r="B43" t="inlineStr">
        <is>
          <t>Create Log Analytics Workspace</t>
        </is>
      </c>
      <c r="C43" t="inlineStr">
        <is>
          <t>Azure Portal → Log Analytics → Create</t>
        </is>
      </c>
      <c r="D43" t="inlineStr">
        <is>
          <t>Workspace ready</t>
        </is>
      </c>
    </row>
    <row r="44">
      <c r="A44" t="n">
        <v>2</v>
      </c>
      <c r="B44" t="inlineStr">
        <is>
          <t>Enable Service Map</t>
        </is>
      </c>
      <c r="C44" t="inlineStr">
        <is>
          <t>Workspace → Solutions → Add Service Map</t>
        </is>
      </c>
      <c r="D44" t="inlineStr">
        <is>
          <t>Solution enabled</t>
        </is>
      </c>
    </row>
    <row r="45">
      <c r="A45" t="n">
        <v>3</v>
      </c>
      <c r="B45" t="inlineStr">
        <is>
          <t>Install Log Analytics Agent</t>
        </is>
      </c>
      <c r="C45" t="inlineStr">
        <is>
          <t>Download &amp; install on servers</t>
        </is>
      </c>
      <c r="D45" t="inlineStr">
        <is>
          <t>Agent reporting</t>
        </is>
      </c>
    </row>
    <row r="46">
      <c r="A46" t="n">
        <v>4</v>
      </c>
      <c r="B46" t="inlineStr">
        <is>
          <t>Install Dependency Agent</t>
        </is>
      </c>
      <c r="C46" t="inlineStr">
        <is>
          <t>Install after LA Agent</t>
        </is>
      </c>
      <c r="D46" t="inlineStr">
        <is>
          <t>Full capture starts</t>
        </is>
      </c>
    </row>
    <row r="47">
      <c r="A47" t="n">
        <v>5</v>
      </c>
      <c r="B47" t="inlineStr">
        <is>
          <t>Query VMProcess table</t>
        </is>
      </c>
      <c r="C47" t="inlineStr">
        <is>
          <t>Log Analytics → Logs → KQL query</t>
        </is>
      </c>
      <c r="D47" t="inlineStr">
        <is>
          <t>Process data</t>
        </is>
      </c>
    </row>
    <row r="48">
      <c r="A48" t="n">
        <v>6</v>
      </c>
      <c r="B48" t="inlineStr">
        <is>
          <t>Export Results</t>
        </is>
      </c>
      <c r="C48" t="inlineStr">
        <is>
          <t>Export query to CSV</t>
        </is>
      </c>
      <c r="D48" t="inlineStr">
        <is>
          <t>All fields available</t>
        </is>
      </c>
    </row>
    <row r="50">
      <c r="A50" s="66" t="inlineStr">
        <is>
          <t>KQL Query for Process Data:</t>
        </is>
      </c>
    </row>
    <row r="51">
      <c r="A51" s="67" t="inlineStr">
        <is>
          <t>VMProcess | where TimeGenerated &gt; ago(7d)</t>
        </is>
      </c>
      <c r="B51" s="67" t="n"/>
      <c r="C51" s="67" t="n"/>
      <c r="D51" s="67" t="n"/>
    </row>
    <row r="52">
      <c r="A52" s="67" t="inlineStr">
        <is>
          <t>| project Computer, Process, ExecutablePath, UserName, Pid, WorkingSet</t>
        </is>
      </c>
      <c r="B52" s="67" t="n"/>
      <c r="C52" s="67" t="n"/>
      <c r="D52" s="67" t="n"/>
    </row>
    <row r="53">
      <c r="A53" s="67" t="inlineStr">
        <is>
          <t>| summarize by Computer, Process, ExecutablePath, UserName</t>
        </is>
      </c>
      <c r="B53" s="67" t="n"/>
      <c r="C53" s="67" t="n"/>
      <c r="D53" s="67" t="n"/>
    </row>
    <row r="55">
      <c r="A55" s="68" t="inlineStr">
        <is>
          <t>Azure → Process_Mapping Field Mapping</t>
        </is>
      </c>
    </row>
    <row r="56">
      <c r="A56" s="64" t="inlineStr">
        <is>
          <t>Template Column</t>
        </is>
      </c>
      <c r="B56" s="64" t="inlineStr">
        <is>
          <t>Service Map Field</t>
        </is>
      </c>
      <c r="C56" s="64" t="inlineStr">
        <is>
          <t>Agentless Field</t>
        </is>
      </c>
      <c r="D56" s="64" t="inlineStr">
        <is>
          <t>Notes</t>
        </is>
      </c>
    </row>
    <row r="57">
      <c r="A57" t="inlineStr">
        <is>
          <t>Process Name</t>
        </is>
      </c>
      <c r="B57" t="inlineStr">
        <is>
          <t>Process</t>
        </is>
      </c>
      <c r="C57" t="inlineStr">
        <is>
          <t>Process name</t>
        </is>
      </c>
      <c r="D57" t="inlineStr">
        <is>
          <t>Both methods</t>
        </is>
      </c>
    </row>
    <row r="58">
      <c r="A58" t="inlineStr">
        <is>
          <t>Process Path</t>
        </is>
      </c>
      <c r="B58" t="inlineStr">
        <is>
          <t>ExecutablePath</t>
        </is>
      </c>
      <c r="C58" t="inlineStr">
        <is>
          <t>N/A</t>
        </is>
      </c>
      <c r="D58" t="inlineStr">
        <is>
          <t>Agent only</t>
        </is>
      </c>
    </row>
    <row r="59">
      <c r="A59" t="inlineStr">
        <is>
          <t>Process User</t>
        </is>
      </c>
      <c r="B59" t="inlineStr">
        <is>
          <t>UserName</t>
        </is>
      </c>
      <c r="C59" t="inlineStr">
        <is>
          <t>N/A</t>
        </is>
      </c>
      <c r="D59" t="inlineStr">
        <is>
          <t>Agent only</t>
        </is>
      </c>
    </row>
    <row r="60">
      <c r="A60" t="inlineStr">
        <is>
          <t>PID</t>
        </is>
      </c>
      <c r="B60" t="inlineStr">
        <is>
          <t>Pid</t>
        </is>
      </c>
      <c r="C60" t="inlineStr">
        <is>
          <t>N/A</t>
        </is>
      </c>
      <c r="D60" t="inlineStr">
        <is>
          <t>Agent only</t>
        </is>
      </c>
    </row>
    <row r="61">
      <c r="A61" t="inlineStr">
        <is>
          <t>Memory (MB)</t>
        </is>
      </c>
      <c r="B61" t="inlineStr">
        <is>
          <t>WorkingSet / 1048576</t>
        </is>
      </c>
      <c r="C61" t="inlineStr">
        <is>
          <t>N/A</t>
        </is>
      </c>
      <c r="D61" t="inlineStr">
        <is>
          <t>Convert bytes</t>
        </is>
      </c>
    </row>
    <row r="62">
      <c r="A62" t="inlineStr">
        <is>
          <t>Listening Ports</t>
        </is>
      </c>
      <c r="B62" t="inlineStr">
        <is>
          <t>Query VMConnection</t>
        </is>
      </c>
      <c r="C62" t="inlineStr">
        <is>
          <t>DestinationPort</t>
        </is>
      </c>
      <c r="D62" t="inlineStr">
        <is>
          <t>Join tables</t>
        </is>
      </c>
    </row>
    <row r="65">
      <c r="A65" s="69" t="inlineStr">
        <is>
          <t>GOOGLE CLOUD MIGRATION CENTER - PROCESS DATA EXTRACTION</t>
        </is>
      </c>
    </row>
    <row r="66">
      <c r="A66" s="62" t="inlineStr">
        <is>
          <t>⚠️ PREREQUISITE: Discovery Client (mcdc) or Partner Tools (StratoZone) required for process data</t>
        </is>
      </c>
    </row>
    <row r="68">
      <c r="A68" s="70" t="inlineStr">
        <is>
          <t>Method 1: Migration Center Discovery Client (mcdc)</t>
        </is>
      </c>
    </row>
    <row r="69">
      <c r="A69" s="64" t="inlineStr">
        <is>
          <t>Step</t>
        </is>
      </c>
      <c r="B69" s="64" t="inlineStr">
        <is>
          <t>Action</t>
        </is>
      </c>
      <c r="C69" s="64" t="inlineStr">
        <is>
          <t>Details</t>
        </is>
      </c>
      <c r="D69" s="64" t="inlineStr">
        <is>
          <t>Output</t>
        </is>
      </c>
    </row>
    <row r="70">
      <c r="A70" t="n">
        <v>1</v>
      </c>
      <c r="B70" t="inlineStr">
        <is>
          <t>Download mcdc</t>
        </is>
      </c>
      <c r="C70" t="inlineStr">
        <is>
          <t>gcloud migration-center discovery-client download</t>
        </is>
      </c>
      <c r="D70" t="inlineStr">
        <is>
          <t>mcdc binary</t>
        </is>
      </c>
    </row>
    <row r="71">
      <c r="A71" t="n">
        <v>2</v>
      </c>
      <c r="B71" t="inlineStr">
        <is>
          <t>Run Discovery</t>
        </is>
      </c>
      <c r="C71" t="inlineStr">
        <is>
          <t>mcdc discover --project=PROJECT_ID</t>
        </is>
      </c>
      <c r="D71" t="inlineStr">
        <is>
          <t>Collects process data</t>
        </is>
      </c>
    </row>
    <row r="72">
      <c r="A72" t="n">
        <v>3</v>
      </c>
      <c r="B72" t="inlineStr">
        <is>
          <t>Upload Data</t>
        </is>
      </c>
      <c r="C72" t="inlineStr">
        <is>
          <t>mcdc upload --project=PROJECT_ID</t>
        </is>
      </c>
      <c r="D72" t="inlineStr">
        <is>
          <t>Data in console</t>
        </is>
      </c>
    </row>
    <row r="73">
      <c r="A73" t="n">
        <v>4</v>
      </c>
      <c r="B73" t="inlineStr">
        <is>
          <t>Export to BigQuery</t>
        </is>
      </c>
      <c r="C73" t="inlineStr">
        <is>
          <t>Migration Center → Export → BigQuery</t>
        </is>
      </c>
      <c r="D73" t="inlineStr">
        <is>
          <t>BQ tables</t>
        </is>
      </c>
    </row>
    <row r="74">
      <c r="A74" t="n">
        <v>5</v>
      </c>
      <c r="B74" t="inlineStr">
        <is>
          <t>Query &amp; Export</t>
        </is>
      </c>
      <c r="C74" t="inlineStr">
        <is>
          <t>SELECT * FROM dataset.processes</t>
        </is>
      </c>
      <c r="D74" t="inlineStr">
        <is>
          <t>CSV export</t>
        </is>
      </c>
    </row>
    <row r="76">
      <c r="A76" s="70" t="inlineStr">
        <is>
          <t>Method 2: StratoZone (Partner Tool - More Detailed)</t>
        </is>
      </c>
    </row>
    <row r="77">
      <c r="A77" s="64" t="inlineStr">
        <is>
          <t>Step</t>
        </is>
      </c>
      <c r="B77" s="64" t="inlineStr">
        <is>
          <t>Action</t>
        </is>
      </c>
      <c r="C77" s="64" t="inlineStr">
        <is>
          <t>Details</t>
        </is>
      </c>
      <c r="D77" s="64" t="inlineStr">
        <is>
          <t>Output</t>
        </is>
      </c>
    </row>
    <row r="78">
      <c r="A78" t="n">
        <v>1</v>
      </c>
      <c r="B78" t="inlineStr">
        <is>
          <t>Request Access</t>
        </is>
      </c>
      <c r="C78" t="inlineStr">
        <is>
          <t>Contact Google Cloud or partner</t>
        </is>
      </c>
      <c r="D78" t="inlineStr">
        <is>
          <t>Portal access</t>
        </is>
      </c>
    </row>
    <row r="79">
      <c r="A79" t="n">
        <v>2</v>
      </c>
      <c r="B79" t="inlineStr">
        <is>
          <t>Deploy Collector</t>
        </is>
      </c>
      <c r="C79" t="inlineStr">
        <is>
          <t>Install StratoProbe in environment</t>
        </is>
      </c>
      <c r="D79" t="inlineStr">
        <is>
          <t>Discovery starts</t>
        </is>
      </c>
    </row>
    <row r="80">
      <c r="A80" t="n">
        <v>3</v>
      </c>
      <c r="B80" t="inlineStr">
        <is>
          <t>Install Agent</t>
        </is>
      </c>
      <c r="C80" t="inlineStr">
        <is>
          <t>Deploy on servers for process data</t>
        </is>
      </c>
      <c r="D80" t="inlineStr">
        <is>
          <t>Process capture</t>
        </is>
      </c>
    </row>
    <row r="81">
      <c r="A81" t="n">
        <v>4</v>
      </c>
      <c r="B81" t="inlineStr">
        <is>
          <t>Generate Reports</t>
        </is>
      </c>
      <c r="C81" t="inlineStr">
        <is>
          <t>StratoZone → Reports</t>
        </is>
      </c>
      <c r="D81" t="inlineStr">
        <is>
          <t>Process report</t>
        </is>
      </c>
    </row>
    <row r="82">
      <c r="A82" t="n">
        <v>5</v>
      </c>
      <c r="B82" t="inlineStr">
        <is>
          <t>Export Data</t>
        </is>
      </c>
      <c r="C82" t="inlineStr">
        <is>
          <t>Reports → Export CSV</t>
        </is>
      </c>
      <c r="D82" t="inlineStr">
        <is>
          <t>All fields</t>
        </is>
      </c>
    </row>
    <row r="84">
      <c r="A84" s="70" t="inlineStr">
        <is>
          <t>GCP → Process_Mapping Field Mapping</t>
        </is>
      </c>
    </row>
    <row r="85">
      <c r="A85" s="64" t="inlineStr">
        <is>
          <t>Template Column</t>
        </is>
      </c>
      <c r="B85" s="64" t="inlineStr">
        <is>
          <t>Migration Center Field</t>
        </is>
      </c>
      <c r="C85" s="64" t="inlineStr">
        <is>
          <t>StratoZone Field</t>
        </is>
      </c>
      <c r="D85" s="64" t="inlineStr">
        <is>
          <t>Notes</t>
        </is>
      </c>
    </row>
    <row r="86">
      <c r="A86" t="inlineStr">
        <is>
          <t>Process Name</t>
        </is>
      </c>
      <c r="B86" t="inlineStr">
        <is>
          <t>process_name</t>
        </is>
      </c>
      <c r="C86" t="inlineStr">
        <is>
          <t>process_name</t>
        </is>
      </c>
      <c r="D86" t="inlineStr">
        <is>
          <t>Both methods</t>
        </is>
      </c>
    </row>
    <row r="87">
      <c r="A87" t="inlineStr">
        <is>
          <t>Process Path</t>
        </is>
      </c>
      <c r="B87" t="inlineStr">
        <is>
          <t>process_path (partial)</t>
        </is>
      </c>
      <c r="C87" t="inlineStr">
        <is>
          <t>executable_path</t>
        </is>
      </c>
      <c r="D87" t="inlineStr">
        <is>
          <t>StratoZone better</t>
        </is>
      </c>
    </row>
    <row r="88">
      <c r="A88" t="inlineStr">
        <is>
          <t>Process User</t>
        </is>
      </c>
      <c r="B88" t="inlineStr">
        <is>
          <t>process_user (partial)</t>
        </is>
      </c>
      <c r="C88" t="inlineStr">
        <is>
          <t>run_as_user</t>
        </is>
      </c>
      <c r="D88" t="inlineStr">
        <is>
          <t>StratoZone better</t>
        </is>
      </c>
    </row>
    <row r="89">
      <c r="A89" t="inlineStr">
        <is>
          <t>Listening Ports</t>
        </is>
      </c>
      <c r="B89" t="inlineStr">
        <is>
          <t>listening_ports</t>
        </is>
      </c>
      <c r="C89" t="inlineStr">
        <is>
          <t>open_ports</t>
        </is>
      </c>
      <c r="D89" t="inlineStr">
        <is>
          <t>Both methods</t>
        </is>
      </c>
    </row>
    <row r="90">
      <c r="A90" t="inlineStr">
        <is>
          <t>CPU Usage (%)</t>
        </is>
      </c>
      <c r="B90" t="inlineStr">
        <is>
          <t>cpu_utilization</t>
        </is>
      </c>
      <c r="C90" t="inlineStr">
        <is>
          <t>avg_cpu_percent</t>
        </is>
      </c>
      <c r="D90" t="inlineStr">
        <is>
          <t>Both methods</t>
        </is>
      </c>
    </row>
    <row r="91">
      <c r="A91" t="inlineStr">
        <is>
          <t>Memory (MB)</t>
        </is>
      </c>
      <c r="B91" t="inlineStr">
        <is>
          <t>memory_usage_mb</t>
        </is>
      </c>
      <c r="C91" t="inlineStr">
        <is>
          <t>memory_mb</t>
        </is>
      </c>
      <c r="D91" t="inlineStr">
        <is>
          <t>Both methods</t>
        </is>
      </c>
    </row>
    <row r="94">
      <c r="A94" s="71" t="inlineStr">
        <is>
          <t>PROCESS DATA CAPABILITY COMPARISON</t>
        </is>
      </c>
    </row>
    <row r="95">
      <c r="A95" s="64" t="inlineStr">
        <is>
          <t>Process_Mapping Field</t>
        </is>
      </c>
      <c r="B95" s="64" t="inlineStr">
        <is>
          <t>AWS ADS (Agent)</t>
        </is>
      </c>
      <c r="C95" s="64" t="inlineStr">
        <is>
          <t>Azure (Service Map)</t>
        </is>
      </c>
      <c r="D95" s="64" t="inlineStr">
        <is>
          <t>GCP (mcdc/StratoZone)</t>
        </is>
      </c>
    </row>
    <row r="96">
      <c r="A96" t="inlineStr">
        <is>
          <t>Process Name</t>
        </is>
      </c>
      <c r="B96" t="inlineStr">
        <is>
          <t>✅ Full</t>
        </is>
      </c>
      <c r="C96" t="inlineStr">
        <is>
          <t>✅ Full</t>
        </is>
      </c>
      <c r="D96" t="inlineStr">
        <is>
          <t>✅ Full</t>
        </is>
      </c>
    </row>
    <row r="97">
      <c r="A97" t="inlineStr">
        <is>
          <t>Process Path</t>
        </is>
      </c>
      <c r="B97" t="inlineStr">
        <is>
          <t>✅ Full</t>
        </is>
      </c>
      <c r="C97" t="inlineStr">
        <is>
          <t>✅ Full</t>
        </is>
      </c>
      <c r="D97" t="inlineStr">
        <is>
          <t>⚠️ Partial / ✅ StratoZone</t>
        </is>
      </c>
    </row>
    <row r="98">
      <c r="A98" t="inlineStr">
        <is>
          <t>Process User</t>
        </is>
      </c>
      <c r="B98" t="inlineStr">
        <is>
          <t>✅ Full</t>
        </is>
      </c>
      <c r="C98" t="inlineStr">
        <is>
          <t>✅ Full</t>
        </is>
      </c>
      <c r="D98" t="inlineStr">
        <is>
          <t>⚠️ Partial / ✅ StratoZone</t>
        </is>
      </c>
    </row>
    <row r="99">
      <c r="A99" t="inlineStr">
        <is>
          <t>PID</t>
        </is>
      </c>
      <c r="B99" t="inlineStr">
        <is>
          <t>⚠️ Limited</t>
        </is>
      </c>
      <c r="C99" t="inlineStr">
        <is>
          <t>✅ Full</t>
        </is>
      </c>
      <c r="D99" t="inlineStr">
        <is>
          <t>❌ N/A</t>
        </is>
      </c>
    </row>
    <row r="100">
      <c r="A100" t="inlineStr">
        <is>
          <t>Parent Process</t>
        </is>
      </c>
      <c r="B100" t="inlineStr">
        <is>
          <t>❌ N/A</t>
        </is>
      </c>
      <c r="C100" t="inlineStr">
        <is>
          <t>✅ Full</t>
        </is>
      </c>
      <c r="D100" t="inlineStr">
        <is>
          <t>❌ N/A</t>
        </is>
      </c>
    </row>
    <row r="101">
      <c r="A101" t="inlineStr">
        <is>
          <t>Listening Ports</t>
        </is>
      </c>
      <c r="B101" t="inlineStr">
        <is>
          <t>✅ Full</t>
        </is>
      </c>
      <c r="C101" t="inlineStr">
        <is>
          <t>✅ Full</t>
        </is>
      </c>
      <c r="D101" t="inlineStr">
        <is>
          <t>✅ Full</t>
        </is>
      </c>
    </row>
    <row r="102">
      <c r="A102" t="inlineStr">
        <is>
          <t>CPU Usage</t>
        </is>
      </c>
      <c r="B102" t="inlineStr">
        <is>
          <t>✅ Full</t>
        </is>
      </c>
      <c r="C102" t="inlineStr">
        <is>
          <t>⚠️ Requires query</t>
        </is>
      </c>
      <c r="D102" t="inlineStr">
        <is>
          <t>✅ Full</t>
        </is>
      </c>
    </row>
    <row r="103">
      <c r="A103" t="inlineStr">
        <is>
          <t>Memory Usage</t>
        </is>
      </c>
      <c r="B103" t="inlineStr">
        <is>
          <t>✅ Full</t>
        </is>
      </c>
      <c r="C103" t="inlineStr">
        <is>
          <t>✅ Full</t>
        </is>
      </c>
      <c r="D103" t="inlineStr">
        <is>
          <t>✅ Full</t>
        </is>
      </c>
    </row>
    <row r="104">
      <c r="A104" t="inlineStr">
        <is>
          <t>Active Connections</t>
        </is>
      </c>
      <c r="B104" t="inlineStr">
        <is>
          <t>✅ Full</t>
        </is>
      </c>
      <c r="C104" t="inlineStr">
        <is>
          <t>✅ Full</t>
        </is>
      </c>
      <c r="D104" t="inlineStr">
        <is>
          <t>✅ Full</t>
        </is>
      </c>
    </row>
    <row r="106">
      <c r="A106" t="inlineStr">
        <is>
          <t>Legend:</t>
        </is>
      </c>
      <c r="B106" t="inlineStr">
        <is>
          <t>✅ = Full | ⚠️ = Partial | ❌ = N/A</t>
        </is>
      </c>
    </row>
    <row r="109">
      <c r="A109" s="72" t="inlineStr">
        <is>
          <t>REMEDIATION: WHEN PROCESS DATA IS NOT AVAILABLE</t>
        </is>
      </c>
    </row>
    <row r="110">
      <c r="A110" s="73" t="inlineStr">
        <is>
          <t>Scenario</t>
        </is>
      </c>
      <c r="B110" s="73" t="inlineStr">
        <is>
          <t>Root Cause</t>
        </is>
      </c>
      <c r="C110" s="73" t="inlineStr">
        <is>
          <t>Remediation</t>
        </is>
      </c>
      <c r="D110" s="73" t="inlineStr">
        <is>
          <t>Fallback</t>
        </is>
      </c>
    </row>
    <row r="111">
      <c r="A111" s="55" t="inlineStr">
        <is>
          <t>No process data</t>
        </is>
      </c>
      <c r="B111" s="55" t="inlineStr">
        <is>
          <t>Agentless only</t>
        </is>
      </c>
      <c r="C111" s="55" t="inlineStr">
        <is>
          <t>Deploy agents</t>
        </is>
      </c>
      <c r="D111" s="55" t="inlineStr">
        <is>
          <t>Manual: ps aux / Get-Process</t>
        </is>
      </c>
    </row>
    <row r="112">
      <c r="A112" s="55" t="inlineStr">
        <is>
          <t>Missing process path</t>
        </is>
      </c>
      <c r="B112" s="55" t="inlineStr">
        <is>
          <t>Agent limitation</t>
        </is>
      </c>
      <c r="C112" s="55" t="inlineStr">
        <is>
          <t>Use agent-based</t>
        </is>
      </c>
      <c r="D112" s="55" t="inlineStr">
        <is>
          <t>Manual: wmic process</t>
        </is>
      </c>
    </row>
    <row r="113">
      <c r="A113" s="55" t="inlineStr">
        <is>
          <t>No listening ports</t>
        </is>
      </c>
      <c r="B113" s="55" t="inlineStr">
        <is>
          <t>Firewall blocking</t>
        </is>
      </c>
      <c r="C113" s="55" t="inlineStr">
        <is>
          <t>Update firewall rules</t>
        </is>
      </c>
      <c r="D113" s="55" t="inlineStr">
        <is>
          <t>Manual: netstat -tlnp</t>
        </is>
      </c>
    </row>
    <row r="114">
      <c r="A114" s="55" t="inlineStr">
        <is>
          <t>Partial coverage</t>
        </is>
      </c>
      <c r="B114" s="55" t="inlineStr">
        <is>
          <t>Incomplete deployment</t>
        </is>
      </c>
      <c r="C114" s="55" t="inlineStr">
        <is>
          <t>Complete agent rollout</t>
        </is>
      </c>
      <c r="D114" s="55" t="inlineStr">
        <is>
          <t>Prioritize critical servers</t>
        </is>
      </c>
    </row>
    <row r="115">
      <c r="A115" s="55" t="inlineStr">
        <is>
          <t>Stale data</t>
        </is>
      </c>
      <c r="B115" s="55" t="inlineStr">
        <is>
          <t>Short discovery period</t>
        </is>
      </c>
      <c r="C115" s="55" t="inlineStr">
        <is>
          <t>Run 2-4 weeks minimum</t>
        </is>
      </c>
      <c r="D115" s="55" t="inlineStr">
        <is>
          <t>Re-run discovery</t>
        </is>
      </c>
    </row>
    <row r="116">
      <c r="A116" s="55" t="inlineStr">
        <is>
          <t>Unsupported OS</t>
        </is>
      </c>
      <c r="B116" s="55" t="inlineStr">
        <is>
          <t>Legacy OS</t>
        </is>
      </c>
      <c r="C116" s="55" t="inlineStr">
        <is>
          <t>Document as gap</t>
        </is>
      </c>
      <c r="D116" s="55" t="inlineStr">
        <is>
          <t>Manual collection</t>
        </is>
      </c>
    </row>
    <row r="117">
      <c r="A117" s="55" t="inlineStr">
        <is>
          <t>Permission denied</t>
        </is>
      </c>
      <c r="B117" s="55" t="inlineStr">
        <is>
          <t>Insufficient privileges</t>
        </is>
      </c>
      <c r="C117" s="55" t="inlineStr">
        <is>
          <t>Request admin access</t>
        </is>
      </c>
      <c r="D117" s="55" t="inlineStr">
        <is>
          <t>Work with server owners</t>
        </is>
      </c>
    </row>
    <row r="120">
      <c r="A120" s="74" t="inlineStr">
        <is>
          <t>MANUAL PROCESS COLLECTION COMMANDS (FALLBACK)</t>
        </is>
      </c>
    </row>
    <row r="121">
      <c r="A121" s="64" t="inlineStr">
        <is>
          <t>OS</t>
        </is>
      </c>
      <c r="B121" s="64" t="inlineStr">
        <is>
          <t>Command</t>
        </is>
      </c>
      <c r="C121" s="64" t="inlineStr">
        <is>
          <t>Purpose</t>
        </is>
      </c>
      <c r="D121" s="64" t="n"/>
    </row>
    <row r="122">
      <c r="A122" s="75" t="inlineStr">
        <is>
          <t>Linux</t>
        </is>
      </c>
      <c r="B122" s="75" t="inlineStr">
        <is>
          <t>ps aux --sort=-%mem | head -50</t>
        </is>
      </c>
      <c r="C122" s="75" t="inlineStr">
        <is>
          <t>Top 50 processes by memory</t>
        </is>
      </c>
      <c r="D122" s="75" t="n"/>
    </row>
    <row r="123">
      <c r="A123" s="75" t="inlineStr">
        <is>
          <t>Linux</t>
        </is>
      </c>
      <c r="B123" s="75" t="inlineStr">
        <is>
          <t>ss -tlnp</t>
        </is>
      </c>
      <c r="C123" s="75" t="inlineStr">
        <is>
          <t>Listening TCP ports with processes</t>
        </is>
      </c>
      <c r="D123" s="75" t="n"/>
    </row>
    <row r="124">
      <c r="A124" s="75" t="inlineStr">
        <is>
          <t>Linux</t>
        </is>
      </c>
      <c r="B124" s="75" t="inlineStr">
        <is>
          <t>lsof -i -P -n</t>
        </is>
      </c>
      <c r="C124" s="75" t="inlineStr">
        <is>
          <t>Open network connections</t>
        </is>
      </c>
      <c r="D124" s="75" t="n"/>
    </row>
    <row r="125">
      <c r="A125" s="75" t="inlineStr">
        <is>
          <t>Linux</t>
        </is>
      </c>
      <c r="B125" s="75" t="inlineStr">
        <is>
          <t>systemctl list-units --type=service</t>
        </is>
      </c>
      <c r="C125" s="75" t="inlineStr">
        <is>
          <t>Running services</t>
        </is>
      </c>
      <c r="D125" s="75" t="n"/>
    </row>
    <row r="126">
      <c r="A126" s="75" t="inlineStr">
        <is>
          <t>Windows</t>
        </is>
      </c>
      <c r="B126" s="75" t="inlineStr">
        <is>
          <t>Get-Process | Select Name, Id, CPU, WorkingSet</t>
        </is>
      </c>
      <c r="C126" s="75" t="inlineStr">
        <is>
          <t>Process list with resources</t>
        </is>
      </c>
      <c r="D126" s="75" t="n"/>
    </row>
    <row r="127">
      <c r="A127" s="75" t="inlineStr">
        <is>
          <t>Windows</t>
        </is>
      </c>
      <c r="B127" s="75" t="inlineStr">
        <is>
          <t>Get-NetTCPConnection -State Listen</t>
        </is>
      </c>
      <c r="C127" s="75" t="inlineStr">
        <is>
          <t>Listening ports</t>
        </is>
      </c>
      <c r="D127" s="75" t="n"/>
    </row>
    <row r="128">
      <c r="A128" s="75" t="inlineStr">
        <is>
          <t>Windows</t>
        </is>
      </c>
      <c r="B128" s="75" t="inlineStr">
        <is>
          <t>Get-Service | Where Status -eq Running</t>
        </is>
      </c>
      <c r="C128" s="75" t="inlineStr">
        <is>
          <t>Running services</t>
        </is>
      </c>
      <c r="D128" s="75" t="n"/>
    </row>
    <row r="129">
      <c r="A129" s="75" t="inlineStr">
        <is>
          <t>Windows</t>
        </is>
      </c>
      <c r="B129" s="75" t="inlineStr">
        <is>
          <t>wmic process get name,processid,executablepath</t>
        </is>
      </c>
      <c r="C129" s="75" t="inlineStr">
        <is>
          <t>Process details</t>
        </is>
      </c>
      <c r="D129" s="75" t="n"/>
    </row>
  </sheetData>
  <mergeCells count="11">
    <mergeCell ref="A1:D1"/>
    <mergeCell ref="A94:D94"/>
    <mergeCell ref="A5:D5"/>
    <mergeCell ref="A31:D31"/>
    <mergeCell ref="A120:D120"/>
    <mergeCell ref="A4:D4"/>
    <mergeCell ref="A109:D109"/>
    <mergeCell ref="A65:D65"/>
    <mergeCell ref="A2:D2"/>
    <mergeCell ref="A32:D32"/>
    <mergeCell ref="A66:D6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9B59B6"/>
    <outlinePr summaryBelow="1" summaryRight="1"/>
    <pageSetUpPr/>
  </sheetPr>
  <dimension ref="A1:F134"/>
  <sheetViews>
    <sheetView workbookViewId="0">
      <pane ySplit="3" topLeftCell="A111" activePane="bottomLeft" state="frozen"/>
      <selection pane="bottomLeft" activeCell="B10" sqref="B10"/>
    </sheetView>
  </sheetViews>
  <sheetFormatPr baseColWidth="8" defaultRowHeight="14.5"/>
  <cols>
    <col width="32.7265625" customWidth="1" style="1" min="1" max="1"/>
    <col width="36.36328125" customWidth="1" style="1" min="2" max="2"/>
    <col width="50.90625" customWidth="1" style="1" min="3" max="3"/>
    <col width="21.81640625" customWidth="1" style="1" min="4" max="4"/>
    <col width="27.26953125" customWidth="1" style="1" min="5" max="5"/>
    <col width="45.453125" customWidth="1" style="1" min="6" max="6"/>
  </cols>
  <sheetData>
    <row r="1" ht="21" customHeight="1" s="1">
      <c r="A1" s="36" t="inlineStr">
        <is>
          <t>PREREQUISITES, ASSUMPTIONS &amp; REMEDIATION GUIDE</t>
        </is>
      </c>
    </row>
    <row r="2" ht="15.5" customHeight="1" s="1">
      <c r="A2" s="37" t="inlineStr">
        <is>
          <t>Cloud Readiness Assessment - Dependency Mapping Template</t>
        </is>
      </c>
    </row>
    <row r="3">
      <c r="A3" s="38" t="inlineStr">
        <is>
          <t>Document prerequisites, validate assumptions, and define remediation actions when dependency data cannot be captured</t>
        </is>
      </c>
    </row>
    <row r="5" ht="15.5" customHeight="1" s="1">
      <c r="A5" s="39" t="inlineStr">
        <is>
          <t>AWS APPLICATION DISCOVERY SERVICE (ADS) - PREREQUISITES</t>
        </is>
      </c>
    </row>
    <row r="6">
      <c r="A6" s="40" t="inlineStr">
        <is>
          <t>Prerequisite Category</t>
        </is>
      </c>
      <c r="B6" s="40" t="inlineStr">
        <is>
          <t>Prerequisite Item</t>
        </is>
      </c>
      <c r="C6" s="40" t="inlineStr">
        <is>
          <t>Description/Requirement</t>
        </is>
      </c>
      <c r="D6" s="40" t="inlineStr">
        <is>
          <t>Status</t>
        </is>
      </c>
      <c r="E6" s="40" t="inlineStr">
        <is>
          <t>Responsible Party</t>
        </is>
      </c>
      <c r="F6" s="40" t="inlineStr">
        <is>
          <t>Notes/Remediation</t>
        </is>
      </c>
    </row>
    <row r="7">
      <c r="A7" s="42" t="inlineStr">
        <is>
          <t>Account &amp; Permissions</t>
        </is>
      </c>
      <c r="B7" s="42" t="inlineStr">
        <is>
          <t>AWS Account</t>
        </is>
      </c>
      <c r="C7" s="42" t="inlineStr">
        <is>
          <t>Active AWS account with billing enabled</t>
        </is>
      </c>
      <c r="D7" s="42" t="inlineStr">
        <is>
          <t>☐ Not Started</t>
        </is>
      </c>
      <c r="E7" s="42" t="inlineStr">
        <is>
          <t>[Assign Owner]</t>
        </is>
      </c>
      <c r="F7" s="42" t="inlineStr">
        <is>
          <t>Create AWS account if not available</t>
        </is>
      </c>
    </row>
    <row r="8">
      <c r="A8" s="42" t="inlineStr">
        <is>
          <t>Account &amp; Permissions</t>
        </is>
      </c>
      <c r="B8" s="42" t="inlineStr">
        <is>
          <t>IAM Permissions</t>
        </is>
      </c>
      <c r="C8" s="42" t="inlineStr">
        <is>
          <t>AWSApplicationDiscoveryServiceFullAccess policy</t>
        </is>
      </c>
      <c r="D8" s="42" t="inlineStr">
        <is>
          <t>☐ Not Started</t>
        </is>
      </c>
      <c r="E8" s="42" t="inlineStr">
        <is>
          <t>[Assign Owner]</t>
        </is>
      </c>
      <c r="F8" s="42" t="inlineStr">
        <is>
          <t>Create IAM role with required permissions</t>
        </is>
      </c>
    </row>
    <row r="9">
      <c r="A9" s="42" t="inlineStr">
        <is>
          <t>Account &amp; Permissions</t>
        </is>
      </c>
      <c r="B9" s="42" t="inlineStr">
        <is>
          <t>Migration Hub Access</t>
        </is>
      </c>
      <c r="C9" s="42" t="inlineStr">
        <is>
          <t>Access to AWS Migration Hub in target region</t>
        </is>
      </c>
      <c r="D9" s="42" t="inlineStr">
        <is>
          <t>☐ Not Started</t>
        </is>
      </c>
      <c r="E9" s="42" t="inlineStr">
        <is>
          <t>[Assign Owner]</t>
        </is>
      </c>
      <c r="F9" s="42" t="inlineStr">
        <is>
          <t>Enable Migration Hub in supported region</t>
        </is>
      </c>
    </row>
    <row r="10">
      <c r="A10" s="42" t="inlineStr">
        <is>
          <t>Network Requirements</t>
        </is>
      </c>
      <c r="B10" s="42" t="inlineStr">
        <is>
          <t>Outbound Internet</t>
        </is>
      </c>
      <c r="C10" s="42" t="inlineStr">
        <is>
          <t>HTTPS (443) to discovery.us-west-2.amazonaws.com</t>
        </is>
      </c>
      <c r="D10" s="42" t="inlineStr">
        <is>
          <t>☐ Not Started</t>
        </is>
      </c>
      <c r="E10" s="42" t="inlineStr">
        <is>
          <t>[Assign Owner]</t>
        </is>
      </c>
      <c r="F10" s="42" t="inlineStr">
        <is>
          <t>Configure firewall/proxy rules</t>
        </is>
      </c>
    </row>
    <row r="11">
      <c r="A11" s="42" t="inlineStr">
        <is>
          <t>Network Requirements</t>
        </is>
      </c>
      <c r="B11" s="42" t="inlineStr">
        <is>
          <t>Internal Network</t>
        </is>
      </c>
      <c r="C11" s="42" t="inlineStr">
        <is>
          <t>Agent must reach all servers to discover</t>
        </is>
      </c>
      <c r="D11" s="42" t="inlineStr">
        <is>
          <t>☐ Not Started</t>
        </is>
      </c>
      <c r="E11" s="42" t="inlineStr">
        <is>
          <t>[Assign Owner]</t>
        </is>
      </c>
      <c r="F11" s="42" t="inlineStr">
        <is>
          <t>Review network segmentation</t>
        </is>
      </c>
    </row>
    <row r="12">
      <c r="A12" s="42" t="inlineStr">
        <is>
          <t>Agent-Based Discovery</t>
        </is>
      </c>
      <c r="B12" s="42" t="inlineStr">
        <is>
          <t>Discovery Agent</t>
        </is>
      </c>
      <c r="C12" s="42" t="inlineStr">
        <is>
          <t>Download and install AWS Discovery Agent on servers</t>
        </is>
      </c>
      <c r="D12" s="42" t="inlineStr">
        <is>
          <t>☐ Not Started</t>
        </is>
      </c>
      <c r="E12" s="42" t="inlineStr">
        <is>
          <t>[Assign Owner]</t>
        </is>
      </c>
      <c r="F12" s="42" t="inlineStr">
        <is>
          <t>Plan agent deployment strategy</t>
        </is>
      </c>
    </row>
    <row r="13">
      <c r="A13" s="42" t="inlineStr">
        <is>
          <t>Agent-Based Discovery</t>
        </is>
      </c>
      <c r="B13" s="42" t="inlineStr">
        <is>
          <t>Supported OS</t>
        </is>
      </c>
      <c r="C13" s="42" t="inlineStr">
        <is>
          <t>Windows 2008R2+, Amazon Linux, Ubuntu, RHEL, CentOS</t>
        </is>
      </c>
      <c r="D13" s="42" t="inlineStr">
        <is>
          <t>☐ Not Started</t>
        </is>
      </c>
      <c r="E13" s="42" t="inlineStr">
        <is>
          <t>[Assign Owner]</t>
        </is>
      </c>
      <c r="F13" s="42" t="inlineStr">
        <is>
          <t>Identify unsupported OS - use agentless</t>
        </is>
      </c>
    </row>
    <row r="14">
      <c r="A14" s="42" t="inlineStr">
        <is>
          <t>Agent-Based Discovery</t>
        </is>
      </c>
      <c r="B14" s="42" t="inlineStr">
        <is>
          <t>Root/Admin Access</t>
        </is>
      </c>
      <c r="C14" s="42" t="inlineStr">
        <is>
          <t>Administrator (Win) or root (Linux) for installation</t>
        </is>
      </c>
      <c r="D14" s="42" t="inlineStr">
        <is>
          <t>☐ Not Started</t>
        </is>
      </c>
      <c r="E14" s="42" t="inlineStr">
        <is>
          <t>[Assign Owner]</t>
        </is>
      </c>
      <c r="F14" s="42" t="inlineStr">
        <is>
          <t>Obtain elevated credentials</t>
        </is>
      </c>
    </row>
    <row r="15">
      <c r="A15" s="42" t="inlineStr">
        <is>
          <t>Agentless Discovery</t>
        </is>
      </c>
      <c r="B15" s="42" t="inlineStr">
        <is>
          <t>VMware vCenter</t>
        </is>
      </c>
      <c r="C15" s="42" t="inlineStr">
        <is>
          <t>vCenter Server 5.5+ with read-only credentials</t>
        </is>
      </c>
      <c r="D15" s="42" t="inlineStr">
        <is>
          <t>☐ Not Started</t>
        </is>
      </c>
      <c r="E15" s="42" t="inlineStr">
        <is>
          <t>[Assign Owner]</t>
        </is>
      </c>
      <c r="F15" s="42" t="inlineStr">
        <is>
          <t>Request vCenter access from VMware team</t>
        </is>
      </c>
    </row>
    <row r="16">
      <c r="A16" s="42" t="inlineStr">
        <is>
          <t>Agentless Discovery</t>
        </is>
      </c>
      <c r="B16" s="42" t="inlineStr">
        <is>
          <t>OVA Appliance</t>
        </is>
      </c>
      <c r="C16" s="42" t="inlineStr">
        <is>
          <t>Deploy Discovery Connector OVA in VMware env</t>
        </is>
      </c>
      <c r="D16" s="42" t="inlineStr">
        <is>
          <t>☐ Not Started</t>
        </is>
      </c>
      <c r="E16" s="42" t="inlineStr">
        <is>
          <t>[Assign Owner]</t>
        </is>
      </c>
      <c r="F16" s="42" t="inlineStr">
        <is>
          <t>Download OVA from AWS console</t>
        </is>
      </c>
    </row>
    <row r="17">
      <c r="A17" s="42" t="inlineStr">
        <is>
          <t>Agentless Discovery</t>
        </is>
      </c>
      <c r="B17" s="42" t="inlineStr">
        <is>
          <t>vCenter Permissions</t>
        </is>
      </c>
      <c r="C17" s="42" t="inlineStr">
        <is>
          <t>Read-only access to VMs, folders, datacenters</t>
        </is>
      </c>
      <c r="D17" s="42" t="inlineStr">
        <is>
          <t>☐ Not Started</t>
        </is>
      </c>
      <c r="E17" s="42" t="inlineStr">
        <is>
          <t>[Assign Owner]</t>
        </is>
      </c>
      <c r="F17" s="42" t="inlineStr">
        <is>
          <t>Create service account in vCenter</t>
        </is>
      </c>
    </row>
    <row r="18">
      <c r="A18" s="42" t="inlineStr">
        <is>
          <t>Data Export</t>
        </is>
      </c>
      <c r="B18" s="42" t="inlineStr">
        <is>
          <t>S3 Bucket</t>
        </is>
      </c>
      <c r="C18" s="42" t="inlineStr">
        <is>
          <t>S3 bucket for data export (optional)</t>
        </is>
      </c>
      <c r="D18" s="42" t="inlineStr">
        <is>
          <t>☐ Not Started</t>
        </is>
      </c>
      <c r="E18" s="42" t="inlineStr">
        <is>
          <t>[Assign Owner]</t>
        </is>
      </c>
      <c r="F18" s="42" t="inlineStr">
        <is>
          <t>Create S3 bucket with appropriate policies</t>
        </is>
      </c>
    </row>
    <row r="19">
      <c r="A19" s="42" t="inlineStr">
        <is>
          <t>Data Export</t>
        </is>
      </c>
      <c r="B19" s="42" t="inlineStr">
        <is>
          <t>Export Permissions</t>
        </is>
      </c>
      <c r="C19" s="42" t="inlineStr">
        <is>
          <t>IAM permissions for s3:PutObject</t>
        </is>
      </c>
      <c r="D19" s="42" t="inlineStr">
        <is>
          <t>☐ Not Started</t>
        </is>
      </c>
      <c r="E19" s="42" t="inlineStr">
        <is>
          <t>[Assign Owner]</t>
        </is>
      </c>
      <c r="F19" s="42" t="inlineStr">
        <is>
          <t>Add S3 permissions to IAM role</t>
        </is>
      </c>
    </row>
    <row r="20">
      <c r="A20" s="42" t="inlineStr">
        <is>
          <t>Timeline</t>
        </is>
      </c>
      <c r="B20" s="42" t="inlineStr">
        <is>
          <t>Discovery Duration</t>
        </is>
      </c>
      <c r="C20" s="42" t="inlineStr">
        <is>
          <t>Minimum 2-4 weeks for complete mapping</t>
        </is>
      </c>
      <c r="D20" s="42" t="inlineStr">
        <is>
          <t>☐ Not Started</t>
        </is>
      </c>
      <c r="E20" s="42" t="inlineStr">
        <is>
          <t>[Assign Owner]</t>
        </is>
      </c>
      <c r="F20" s="42" t="inlineStr">
        <is>
          <t>Plan discovery window in project timeline</t>
        </is>
      </c>
    </row>
    <row r="21">
      <c r="A21" s="42" t="inlineStr">
        <is>
          <t>Stakeholder</t>
        </is>
      </c>
      <c r="B21" s="42" t="inlineStr">
        <is>
          <t>Application Owners</t>
        </is>
      </c>
      <c r="C21" s="42" t="inlineStr">
        <is>
          <t>Contact list for dependency validation</t>
        </is>
      </c>
      <c r="D21" s="42" t="inlineStr">
        <is>
          <t>☐ Not Started</t>
        </is>
      </c>
      <c r="E21" s="42" t="inlineStr">
        <is>
          <t>[Assign Owner]</t>
        </is>
      </c>
      <c r="F21" s="42" t="inlineStr">
        <is>
          <t>Gather stakeholder contact information</t>
        </is>
      </c>
    </row>
    <row r="22">
      <c r="A22" s="42" t="inlineStr">
        <is>
          <t>Documentation</t>
        </is>
      </c>
      <c r="B22" s="42" t="inlineStr">
        <is>
          <t>Server Inventory</t>
        </is>
      </c>
      <c r="C22" s="42" t="inlineStr">
        <is>
          <t>Initial server list for agent deployment planning</t>
        </is>
      </c>
      <c r="D22" s="42" t="inlineStr">
        <is>
          <t>☐ Not Started</t>
        </is>
      </c>
      <c r="E22" s="42" t="inlineStr">
        <is>
          <t>[Assign Owner]</t>
        </is>
      </c>
      <c r="F22" s="42" t="inlineStr">
        <is>
          <t>Export from CMDB or manual collection</t>
        </is>
      </c>
    </row>
    <row r="24" ht="29" customHeight="1" s="1">
      <c r="A24" s="43" t="inlineStr">
        <is>
          <t>AZURE MIGRATE - DEPENDENCY ANALYSIS PREREQUISITES</t>
        </is>
      </c>
    </row>
    <row r="25">
      <c r="A25" s="44" t="inlineStr">
        <is>
          <t>Prerequisite Category</t>
        </is>
      </c>
      <c r="B25" s="44" t="inlineStr">
        <is>
          <t>Prerequisite Item</t>
        </is>
      </c>
      <c r="C25" s="44" t="inlineStr">
        <is>
          <t>Description/Requirement</t>
        </is>
      </c>
      <c r="D25" s="44" t="inlineStr">
        <is>
          <t>Status</t>
        </is>
      </c>
      <c r="E25" s="44" t="inlineStr">
        <is>
          <t>Responsible Party</t>
        </is>
      </c>
      <c r="F25" s="44" t="inlineStr">
        <is>
          <t>Notes/Remediation</t>
        </is>
      </c>
    </row>
    <row r="26">
      <c r="A26" s="42" t="inlineStr">
        <is>
          <t>Subscription &amp; Permissions</t>
        </is>
      </c>
      <c r="B26" s="42" t="inlineStr">
        <is>
          <t>Azure Subscription</t>
        </is>
      </c>
      <c r="C26" s="42" t="inlineStr">
        <is>
          <t>Active Azure subscription with Contributor access</t>
        </is>
      </c>
      <c r="D26" s="42" t="inlineStr">
        <is>
          <t>☐ Not Started</t>
        </is>
      </c>
      <c r="E26" s="42" t="inlineStr">
        <is>
          <t>[Assign Owner]</t>
        </is>
      </c>
      <c r="F26" s="42" t="inlineStr">
        <is>
          <t>Create subscription or request access</t>
        </is>
      </c>
    </row>
    <row r="27">
      <c r="A27" s="42" t="inlineStr">
        <is>
          <t>Subscription &amp; Permissions</t>
        </is>
      </c>
      <c r="B27" s="42" t="inlineStr">
        <is>
          <t>Resource Group</t>
        </is>
      </c>
      <c r="C27" s="42" t="inlineStr">
        <is>
          <t>Resource group for Azure Migrate project</t>
        </is>
      </c>
      <c r="D27" s="42" t="inlineStr">
        <is>
          <t>☐ Not Started</t>
        </is>
      </c>
      <c r="E27" s="42" t="inlineStr">
        <is>
          <t>[Assign Owner]</t>
        </is>
      </c>
      <c r="F27" s="42" t="inlineStr">
        <is>
          <t>Create RG in target region</t>
        </is>
      </c>
    </row>
    <row r="28">
      <c r="A28" s="42" t="inlineStr">
        <is>
          <t>Subscription &amp; Permissions</t>
        </is>
      </c>
      <c r="B28" s="42" t="inlineStr">
        <is>
          <t>RBAC Permissions</t>
        </is>
      </c>
      <c r="C28" s="42" t="inlineStr">
        <is>
          <t>Contributor role on subscription or resource group</t>
        </is>
      </c>
      <c r="D28" s="42" t="inlineStr">
        <is>
          <t>☐ Not Started</t>
        </is>
      </c>
      <c r="E28" s="42" t="inlineStr">
        <is>
          <t>[Assign Owner]</t>
        </is>
      </c>
      <c r="F28" s="42" t="inlineStr">
        <is>
          <t>Request RBAC assignment from Azure admin</t>
        </is>
      </c>
    </row>
    <row r="29">
      <c r="A29" s="42" t="inlineStr">
        <is>
          <t>Subscription &amp; Permissions</t>
        </is>
      </c>
      <c r="B29" s="42" t="inlineStr">
        <is>
          <t>Azure Migrate Project</t>
        </is>
      </c>
      <c r="C29" s="42" t="inlineStr">
        <is>
          <t>Create Azure Migrate project in portal</t>
        </is>
      </c>
      <c r="D29" s="42" t="inlineStr">
        <is>
          <t>☐ Not Started</t>
        </is>
      </c>
      <c r="E29" s="42" t="inlineStr">
        <is>
          <t>[Assign Owner]</t>
        </is>
      </c>
      <c r="F29" s="42" t="inlineStr">
        <is>
          <t>Navigate to Azure Migrate &gt; Create project</t>
        </is>
      </c>
    </row>
    <row r="30">
      <c r="A30" s="42" t="inlineStr">
        <is>
          <t>Agentless Discovery</t>
        </is>
      </c>
      <c r="B30" s="42" t="inlineStr">
        <is>
          <t>Azure Migrate Appliance</t>
        </is>
      </c>
      <c r="C30" s="42" t="inlineStr">
        <is>
          <t>Deploy appliance VM (OVA for VMware, VHD for Hyper-V)</t>
        </is>
      </c>
      <c r="D30" s="42" t="inlineStr">
        <is>
          <t>☐ Not Started</t>
        </is>
      </c>
      <c r="E30" s="42" t="inlineStr">
        <is>
          <t>[Assign Owner]</t>
        </is>
      </c>
      <c r="F30" s="42" t="inlineStr">
        <is>
          <t>Download from Azure portal</t>
        </is>
      </c>
    </row>
    <row r="31">
      <c r="A31" s="42" t="inlineStr">
        <is>
          <t>Agentless Discovery</t>
        </is>
      </c>
      <c r="B31" s="42" t="inlineStr">
        <is>
          <t>Appliance Requirements</t>
        </is>
      </c>
      <c r="C31" s="42" t="inlineStr">
        <is>
          <t>16 GB RAM, 8 vCPUs, 80 GB disk minimum</t>
        </is>
      </c>
      <c r="D31" s="42" t="inlineStr">
        <is>
          <t>☐ Not Started</t>
        </is>
      </c>
      <c r="E31" s="42" t="inlineStr">
        <is>
          <t>[Assign Owner]</t>
        </is>
      </c>
      <c r="F31" s="42" t="inlineStr">
        <is>
          <t>Provision VM meeting requirements</t>
        </is>
      </c>
    </row>
    <row r="32">
      <c r="A32" s="42" t="inlineStr">
        <is>
          <t>Agentless Discovery</t>
        </is>
      </c>
      <c r="B32" s="42" t="inlineStr">
        <is>
          <t>vCenter Credentials</t>
        </is>
      </c>
      <c r="C32" s="42" t="inlineStr">
        <is>
          <t>Read-only account for VMware vCenter (VMware only)</t>
        </is>
      </c>
      <c r="D32" s="42" t="inlineStr">
        <is>
          <t>☐ Not Started</t>
        </is>
      </c>
      <c r="E32" s="42" t="inlineStr">
        <is>
          <t>[Assign Owner]</t>
        </is>
      </c>
      <c r="F32" s="42" t="inlineStr">
        <is>
          <t>Create service account</t>
        </is>
      </c>
    </row>
    <row r="33">
      <c r="A33" s="42" t="inlineStr">
        <is>
          <t>Agentless Discovery</t>
        </is>
      </c>
      <c r="B33" s="42" t="inlineStr">
        <is>
          <t>Hyper-V Credentials</t>
        </is>
      </c>
      <c r="C33" s="42" t="inlineStr">
        <is>
          <t>Domain or local admin for Hyper-V hosts</t>
        </is>
      </c>
      <c r="D33" s="42" t="inlineStr">
        <is>
          <t>☐ Not Started</t>
        </is>
      </c>
      <c r="E33" s="42" t="inlineStr">
        <is>
          <t>[Assign Owner]</t>
        </is>
      </c>
      <c r="F33" s="42" t="inlineStr">
        <is>
          <t>Obtain credentials from Hyper-V team</t>
        </is>
      </c>
    </row>
    <row r="34">
      <c r="A34" s="42" t="inlineStr">
        <is>
          <t>Network Requirements</t>
        </is>
      </c>
      <c r="B34" s="42" t="inlineStr">
        <is>
          <t>Outbound Connectivity</t>
        </is>
      </c>
      <c r="C34" s="42" t="inlineStr">
        <is>
          <t>HTTPS 443 to *.azure.com, *.microsoftonline.com</t>
        </is>
      </c>
      <c r="D34" s="42" t="inlineStr">
        <is>
          <t>☐ Not Started</t>
        </is>
      </c>
      <c r="E34" s="42" t="inlineStr">
        <is>
          <t>[Assign Owner]</t>
        </is>
      </c>
      <c r="F34" s="42" t="inlineStr">
        <is>
          <t>Configure proxy/firewall exceptions</t>
        </is>
      </c>
    </row>
    <row r="35">
      <c r="A35" s="42" t="inlineStr">
        <is>
          <t>Network Requirements</t>
        </is>
      </c>
      <c r="B35" s="42" t="inlineStr">
        <is>
          <t>Port Requirements</t>
        </is>
      </c>
      <c r="C35" s="42" t="inlineStr">
        <is>
          <t>TCP 443, 5985 (WinRM), 22 (SSH) for discovery</t>
        </is>
      </c>
      <c r="D35" s="42" t="inlineStr">
        <is>
          <t>☐ Not Started</t>
        </is>
      </c>
      <c r="E35" s="42" t="inlineStr">
        <is>
          <t>[Assign Owner]</t>
        </is>
      </c>
      <c r="F35" s="42" t="inlineStr">
        <is>
          <t>Open required ports</t>
        </is>
      </c>
    </row>
    <row r="36">
      <c r="A36" s="42" t="inlineStr">
        <is>
          <t>Agent-Based Analysis</t>
        </is>
      </c>
      <c r="B36" s="42" t="inlineStr">
        <is>
          <t>Log Analytics Workspace</t>
        </is>
      </c>
      <c r="C36" s="42" t="inlineStr">
        <is>
          <t>Create workspace for dependency data storage</t>
        </is>
      </c>
      <c r="D36" s="42" t="inlineStr">
        <is>
          <t>☐ Not Started</t>
        </is>
      </c>
      <c r="E36" s="42" t="inlineStr">
        <is>
          <t>[Assign Owner]</t>
        </is>
      </c>
      <c r="F36" s="42" t="inlineStr">
        <is>
          <t>Create in same region as Migrate project</t>
        </is>
      </c>
    </row>
    <row r="37">
      <c r="A37" s="42" t="inlineStr">
        <is>
          <t>Agent-Based Analysis</t>
        </is>
      </c>
      <c r="B37" s="42" t="inlineStr">
        <is>
          <t>Microsoft Monitoring Agent</t>
        </is>
      </c>
      <c r="C37" s="42" t="inlineStr">
        <is>
          <t>Install MMA on Windows servers</t>
        </is>
      </c>
      <c r="D37" s="42" t="inlineStr">
        <is>
          <t>☐ Not Started</t>
        </is>
      </c>
      <c r="E37" s="42" t="inlineStr">
        <is>
          <t>[Assign Owner]</t>
        </is>
      </c>
      <c r="F37" s="42" t="inlineStr">
        <is>
          <t>Deploy via SCCM, GPO, or manual</t>
        </is>
      </c>
    </row>
    <row r="38">
      <c r="A38" s="42" t="inlineStr">
        <is>
          <t>Agent-Based Analysis</t>
        </is>
      </c>
      <c r="B38" s="42" t="inlineStr">
        <is>
          <t>Dependency Agent</t>
        </is>
      </c>
      <c r="C38" s="42" t="inlineStr">
        <is>
          <t>Install Dependency Agent on all servers</t>
        </is>
      </c>
      <c r="D38" s="42" t="inlineStr">
        <is>
          <t>☐ Not Started</t>
        </is>
      </c>
      <c r="E38" s="42" t="inlineStr">
        <is>
          <t>[Assign Owner]</t>
        </is>
      </c>
      <c r="F38" s="42" t="inlineStr">
        <is>
          <t>Deploy alongside MMA</t>
        </is>
      </c>
    </row>
    <row r="39">
      <c r="A39" s="42" t="inlineStr">
        <is>
          <t>Agent-Based Analysis</t>
        </is>
      </c>
      <c r="B39" s="42" t="inlineStr">
        <is>
          <t>Supported OS</t>
        </is>
      </c>
      <c r="C39" s="42" t="inlineStr">
        <is>
          <t>Windows Server 2008R2+, RHEL 6+, Ubuntu 14.04+</t>
        </is>
      </c>
      <c r="D39" s="42" t="inlineStr">
        <is>
          <t>☐ Not Started</t>
        </is>
      </c>
      <c r="E39" s="42" t="inlineStr">
        <is>
          <t>[Assign Owner]</t>
        </is>
      </c>
      <c r="F39" s="42" t="inlineStr">
        <is>
          <t>Identify unsupported OS - use agentless</t>
        </is>
      </c>
    </row>
    <row r="40">
      <c r="A40" s="42" t="inlineStr">
        <is>
          <t>Service Map</t>
        </is>
      </c>
      <c r="B40" s="42" t="inlineStr">
        <is>
          <t>Service Map Solution</t>
        </is>
      </c>
      <c r="C40" s="42" t="inlineStr">
        <is>
          <t>Enable Service Map in Log Analytics workspace</t>
        </is>
      </c>
      <c r="D40" s="42" t="inlineStr">
        <is>
          <t>☐ Not Started</t>
        </is>
      </c>
      <c r="E40" s="42" t="inlineStr">
        <is>
          <t>[Assign Owner]</t>
        </is>
      </c>
      <c r="F40" s="42" t="inlineStr">
        <is>
          <t>Add solution from Azure Marketplace</t>
        </is>
      </c>
    </row>
    <row r="41">
      <c r="A41" s="42" t="inlineStr">
        <is>
          <t>Data Retention</t>
        </is>
      </c>
      <c r="B41" s="42" t="inlineStr">
        <is>
          <t>Retention Period</t>
        </is>
      </c>
      <c r="C41" s="42" t="inlineStr">
        <is>
          <t>Configure 30+ days retention for dependency data</t>
        </is>
      </c>
      <c r="D41" s="42" t="inlineStr">
        <is>
          <t>☐ Not Started</t>
        </is>
      </c>
      <c r="E41" s="42" t="inlineStr">
        <is>
          <t>[Assign Owner]</t>
        </is>
      </c>
      <c r="F41" s="42" t="inlineStr">
        <is>
          <t>Set retention in workspace settings</t>
        </is>
      </c>
    </row>
    <row r="42">
      <c r="A42" s="42" t="inlineStr">
        <is>
          <t>Stakeholder</t>
        </is>
      </c>
      <c r="B42" s="42" t="inlineStr">
        <is>
          <t>Application Owners</t>
        </is>
      </c>
      <c r="C42" s="42" t="inlineStr">
        <is>
          <t>Contact list for dependency validation</t>
        </is>
      </c>
      <c r="D42" s="42" t="inlineStr">
        <is>
          <t>☐ Not Started</t>
        </is>
      </c>
      <c r="E42" s="42" t="inlineStr">
        <is>
          <t>[Assign Owner]</t>
        </is>
      </c>
      <c r="F42" s="42" t="inlineStr">
        <is>
          <t>Gather stakeholder information</t>
        </is>
      </c>
    </row>
    <row r="43">
      <c r="A43" s="42" t="inlineStr">
        <is>
          <t>Timeline</t>
        </is>
      </c>
      <c r="B43" s="42" t="inlineStr">
        <is>
          <t>Discovery Duration</t>
        </is>
      </c>
      <c r="C43" s="42" t="inlineStr">
        <is>
          <t>Minimum 2-4 weeks for comprehensive mapping</t>
        </is>
      </c>
      <c r="D43" s="42" t="inlineStr">
        <is>
          <t>☐ Not Started</t>
        </is>
      </c>
      <c r="E43" s="42" t="inlineStr">
        <is>
          <t>[Assign Owner]</t>
        </is>
      </c>
      <c r="F43" s="42" t="inlineStr">
        <is>
          <t>Plan in project schedule</t>
        </is>
      </c>
    </row>
    <row r="45" ht="29" customHeight="1" s="1">
      <c r="A45" s="45" t="inlineStr">
        <is>
          <t>GOOGLE CLOUD MIGRATION CENTER - PREREQUISITES</t>
        </is>
      </c>
    </row>
    <row r="46">
      <c r="A46" s="3" t="inlineStr">
        <is>
          <t>Prerequisite Category</t>
        </is>
      </c>
      <c r="B46" s="3" t="inlineStr">
        <is>
          <t>Prerequisite Item</t>
        </is>
      </c>
      <c r="C46" s="3" t="inlineStr">
        <is>
          <t>Description/Requirement</t>
        </is>
      </c>
      <c r="D46" s="3" t="inlineStr">
        <is>
          <t>Status</t>
        </is>
      </c>
      <c r="E46" s="3" t="inlineStr">
        <is>
          <t>Responsible Party</t>
        </is>
      </c>
      <c r="F46" s="3" t="inlineStr">
        <is>
          <t>Notes/Remediation</t>
        </is>
      </c>
    </row>
    <row r="47">
      <c r="A47" s="42" t="inlineStr">
        <is>
          <t>Project &amp; Permissions</t>
        </is>
      </c>
      <c r="B47" s="42" t="inlineStr">
        <is>
          <t>GCP Project</t>
        </is>
      </c>
      <c r="C47" s="42" t="inlineStr">
        <is>
          <t>Active GCP project with billing enabled</t>
        </is>
      </c>
      <c r="D47" s="42" t="inlineStr">
        <is>
          <t>☐ Not Started</t>
        </is>
      </c>
      <c r="E47" s="42" t="inlineStr">
        <is>
          <t>[Assign Owner]</t>
        </is>
      </c>
      <c r="F47" s="42" t="inlineStr">
        <is>
          <t>Create project in GCP Console</t>
        </is>
      </c>
    </row>
    <row r="48">
      <c r="A48" s="42" t="inlineStr">
        <is>
          <t>Project &amp; Permissions</t>
        </is>
      </c>
      <c r="B48" s="42" t="inlineStr">
        <is>
          <t>IAM Roles</t>
        </is>
      </c>
      <c r="C48" s="42" t="inlineStr">
        <is>
          <t>Migration Center Admin or Editor role</t>
        </is>
      </c>
      <c r="D48" s="42" t="inlineStr">
        <is>
          <t>☐ Not Started</t>
        </is>
      </c>
      <c r="E48" s="42" t="inlineStr">
        <is>
          <t>[Assign Owner]</t>
        </is>
      </c>
      <c r="F48" s="42" t="inlineStr">
        <is>
          <t>Assign roles/migrationcenter.admin</t>
        </is>
      </c>
    </row>
    <row r="49" ht="29" customHeight="1" s="1">
      <c r="A49" s="42" t="inlineStr">
        <is>
          <t>Project &amp; Permissions</t>
        </is>
      </c>
      <c r="B49" s="42" t="inlineStr">
        <is>
          <t>API Enablement</t>
        </is>
      </c>
      <c r="C49" s="42" t="inlineStr">
        <is>
          <t>Enable Migration Center API</t>
        </is>
      </c>
      <c r="D49" s="42" t="inlineStr">
        <is>
          <t>☐ Not Started</t>
        </is>
      </c>
      <c r="E49" s="42" t="inlineStr">
        <is>
          <t>[Assign Owner]</t>
        </is>
      </c>
      <c r="F49" s="42" t="inlineStr">
        <is>
          <t>gcloud services enable migrationcenter.googleapis.com</t>
        </is>
      </c>
    </row>
    <row r="50">
      <c r="A50" s="42" t="inlineStr">
        <is>
          <t>Project &amp; Permissions</t>
        </is>
      </c>
      <c r="B50" s="42" t="inlineStr">
        <is>
          <t>Service Account</t>
        </is>
      </c>
      <c r="C50" s="42" t="inlineStr">
        <is>
          <t>Service account for discovery collectors</t>
        </is>
      </c>
      <c r="D50" s="42" t="inlineStr">
        <is>
          <t>☐ Not Started</t>
        </is>
      </c>
      <c r="E50" s="42" t="inlineStr">
        <is>
          <t>[Assign Owner]</t>
        </is>
      </c>
      <c r="F50" s="42" t="inlineStr">
        <is>
          <t>Create SA with required permissions</t>
        </is>
      </c>
    </row>
    <row r="51">
      <c r="A51" s="42" t="inlineStr">
        <is>
          <t>Discovery Methods</t>
        </is>
      </c>
      <c r="B51" s="42" t="inlineStr">
        <is>
          <t>Discovery Client CLI</t>
        </is>
      </c>
      <c r="C51" s="42" t="inlineStr">
        <is>
          <t>Install mcdc (Migration Center Discovery Client)</t>
        </is>
      </c>
      <c r="D51" s="42" t="inlineStr">
        <is>
          <t>☐ Not Started</t>
        </is>
      </c>
      <c r="E51" s="42" t="inlineStr">
        <is>
          <t>[Assign Owner]</t>
        </is>
      </c>
      <c r="F51" s="42" t="inlineStr">
        <is>
          <t>Download from GCP documentation</t>
        </is>
      </c>
    </row>
    <row r="52">
      <c r="A52" s="42" t="inlineStr">
        <is>
          <t>Discovery Methods</t>
        </is>
      </c>
      <c r="B52" s="42" t="inlineStr">
        <is>
          <t>VMware Discovery</t>
        </is>
      </c>
      <c r="C52" s="42" t="inlineStr">
        <is>
          <t>vSphere credentials for VMware environments</t>
        </is>
      </c>
      <c r="D52" s="42" t="inlineStr">
        <is>
          <t>☐ Not Started</t>
        </is>
      </c>
      <c r="E52" s="42" t="inlineStr">
        <is>
          <t>[Assign Owner]</t>
        </is>
      </c>
      <c r="F52" s="42" t="inlineStr">
        <is>
          <t>Create read-only vCenter account</t>
        </is>
      </c>
    </row>
    <row r="53">
      <c r="A53" s="42" t="inlineStr">
        <is>
          <t>Discovery Methods</t>
        </is>
      </c>
      <c r="B53" s="42" t="inlineStr">
        <is>
          <t>AWS Import</t>
        </is>
      </c>
      <c r="C53" s="42" t="inlineStr">
        <is>
          <t>AWS credentials for cross-cloud discovery</t>
        </is>
      </c>
      <c r="D53" s="42" t="inlineStr">
        <is>
          <t>☐ Not Started</t>
        </is>
      </c>
      <c r="E53" s="42" t="inlineStr">
        <is>
          <t>[Assign Owner]</t>
        </is>
      </c>
      <c r="F53" s="42" t="inlineStr">
        <is>
          <t>Create IAM user with read permissions</t>
        </is>
      </c>
    </row>
    <row r="54">
      <c r="A54" s="42" t="inlineStr">
        <is>
          <t>Discovery Methods</t>
        </is>
      </c>
      <c r="B54" s="42" t="inlineStr">
        <is>
          <t>Azure Import</t>
        </is>
      </c>
      <c r="C54" s="42" t="inlineStr">
        <is>
          <t>Azure credentials for cross-cloud discovery</t>
        </is>
      </c>
      <c r="D54" s="42" t="inlineStr">
        <is>
          <t>☐ Not Started</t>
        </is>
      </c>
      <c r="E54" s="42" t="inlineStr">
        <is>
          <t>[Assign Owner]</t>
        </is>
      </c>
      <c r="F54" s="42" t="inlineStr">
        <is>
          <t>Create service principal</t>
        </is>
      </c>
    </row>
    <row r="55">
      <c r="A55" s="42" t="inlineStr">
        <is>
          <t>Network Requirements</t>
        </is>
      </c>
      <c r="B55" s="42" t="inlineStr">
        <is>
          <t>Outbound HTTPS</t>
        </is>
      </c>
      <c r="C55" s="42" t="inlineStr">
        <is>
          <t>HTTPS 443 to *.googleapis.com</t>
        </is>
      </c>
      <c r="D55" s="42" t="inlineStr">
        <is>
          <t>☐ Not Started</t>
        </is>
      </c>
      <c r="E55" s="42" t="inlineStr">
        <is>
          <t>[Assign Owner]</t>
        </is>
      </c>
      <c r="F55" s="42" t="inlineStr">
        <is>
          <t>Configure firewall rules</t>
        </is>
      </c>
    </row>
    <row r="56">
      <c r="A56" s="42" t="inlineStr">
        <is>
          <t>Network Requirements</t>
        </is>
      </c>
      <c r="B56" s="42" t="inlineStr">
        <is>
          <t>Collector Network</t>
        </is>
      </c>
      <c r="C56" s="42" t="inlineStr">
        <is>
          <t>Collector must reach all target servers</t>
        </is>
      </c>
      <c r="D56" s="42" t="inlineStr">
        <is>
          <t>☐ Not Started</t>
        </is>
      </c>
      <c r="E56" s="42" t="inlineStr">
        <is>
          <t>[Assign Owner]</t>
        </is>
      </c>
      <c r="F56" s="42" t="inlineStr">
        <is>
          <t>Review network topology</t>
        </is>
      </c>
    </row>
    <row r="57">
      <c r="A57" s="42" t="inlineStr">
        <is>
          <t>Data Export</t>
        </is>
      </c>
      <c r="B57" s="42" t="inlineStr">
        <is>
          <t>BigQuery Dataset</t>
        </is>
      </c>
      <c r="C57" s="42" t="inlineStr">
        <is>
          <t>Create BigQuery dataset for export</t>
        </is>
      </c>
      <c r="D57" s="42" t="inlineStr">
        <is>
          <t>☐ Not Started</t>
        </is>
      </c>
      <c r="E57" s="42" t="inlineStr">
        <is>
          <t>[Assign Owner]</t>
        </is>
      </c>
      <c r="F57" s="42" t="inlineStr">
        <is>
          <t>Create dataset in same region</t>
        </is>
      </c>
    </row>
    <row r="58">
      <c r="A58" s="42" t="inlineStr">
        <is>
          <t>Data Export</t>
        </is>
      </c>
      <c r="B58" s="42" t="inlineStr">
        <is>
          <t>BigQuery Permissions</t>
        </is>
      </c>
      <c r="C58" s="42" t="inlineStr">
        <is>
          <t>BigQuery Data Editor role for export</t>
        </is>
      </c>
      <c r="D58" s="42" t="inlineStr">
        <is>
          <t>☐ Not Started</t>
        </is>
      </c>
      <c r="E58" s="42" t="inlineStr">
        <is>
          <t>[Assign Owner]</t>
        </is>
      </c>
      <c r="F58" s="42" t="inlineStr">
        <is>
          <t>Grant permissions to service account</t>
        </is>
      </c>
    </row>
    <row r="59">
      <c r="A59" s="42" t="inlineStr">
        <is>
          <t>Partner Tools</t>
        </is>
      </c>
      <c r="B59" s="42" t="inlineStr">
        <is>
          <t>CAST Software</t>
        </is>
      </c>
      <c r="C59" s="42" t="inlineStr">
        <is>
          <t>License for CAST (if using for code analysis)</t>
        </is>
      </c>
      <c r="D59" s="42" t="inlineStr">
        <is>
          <t>☐ Not Started</t>
        </is>
      </c>
      <c r="E59" s="42" t="inlineStr">
        <is>
          <t>[Assign Owner]</t>
        </is>
      </c>
      <c r="F59" s="42" t="inlineStr">
        <is>
          <t>Contact CAST for licensing</t>
        </is>
      </c>
    </row>
    <row r="60">
      <c r="A60" s="42" t="inlineStr">
        <is>
          <t>Partner Tools</t>
        </is>
      </c>
      <c r="B60" s="42" t="inlineStr">
        <is>
          <t>Matilda Cloud</t>
        </is>
      </c>
      <c r="C60" s="42" t="inlineStr">
        <is>
          <t>Matilda subscription (if using)</t>
        </is>
      </c>
      <c r="D60" s="42" t="inlineStr">
        <is>
          <t>☐ Not Started</t>
        </is>
      </c>
      <c r="E60" s="42" t="inlineStr">
        <is>
          <t>[Assign Owner]</t>
        </is>
      </c>
      <c r="F60" s="42" t="inlineStr">
        <is>
          <t>Contact Matilda for trial/license</t>
        </is>
      </c>
    </row>
    <row r="61">
      <c r="A61" s="42" t="inlineStr">
        <is>
          <t>Stakeholder</t>
        </is>
      </c>
      <c r="B61" s="42" t="inlineStr">
        <is>
          <t>Application Owners</t>
        </is>
      </c>
      <c r="C61" s="42" t="inlineStr">
        <is>
          <t>Contact list for validation</t>
        </is>
      </c>
      <c r="D61" s="42" t="inlineStr">
        <is>
          <t>☐ Not Started</t>
        </is>
      </c>
      <c r="E61" s="42" t="inlineStr">
        <is>
          <t>[Assign Owner]</t>
        </is>
      </c>
      <c r="F61" s="42" t="inlineStr">
        <is>
          <t>Compile stakeholder list</t>
        </is>
      </c>
    </row>
    <row r="62">
      <c r="A62" s="42" t="inlineStr">
        <is>
          <t>Timeline</t>
        </is>
      </c>
      <c r="B62" s="42" t="inlineStr">
        <is>
          <t>Discovery Duration</t>
        </is>
      </c>
      <c r="C62" s="42" t="inlineStr">
        <is>
          <t>2-4 weeks minimum for comprehensive data</t>
        </is>
      </c>
      <c r="D62" s="42" t="inlineStr">
        <is>
          <t>☐ Not Started</t>
        </is>
      </c>
      <c r="E62" s="42" t="inlineStr">
        <is>
          <t>[Assign Owner]</t>
        </is>
      </c>
      <c r="F62" s="42" t="inlineStr">
        <is>
          <t>Allocate time in project plan</t>
        </is>
      </c>
    </row>
    <row r="64" ht="29" customHeight="1" s="1">
      <c r="A64" s="46" t="inlineStr">
        <is>
          <t>KEY ASSUMPTIONS FOR DEPENDENCY MAPPING</t>
        </is>
      </c>
    </row>
    <row r="65">
      <c r="A65" s="47" t="inlineStr">
        <is>
          <t>Assumption ID</t>
        </is>
      </c>
      <c r="B65" s="47" t="inlineStr">
        <is>
          <t>Assumption Category</t>
        </is>
      </c>
      <c r="C65" s="47" t="inlineStr">
        <is>
          <t>Assumption Statement</t>
        </is>
      </c>
      <c r="D65" s="47" t="inlineStr">
        <is>
          <t>Validation Required?</t>
        </is>
      </c>
      <c r="E65" s="47" t="inlineStr">
        <is>
          <t>Impact if Invalid</t>
        </is>
      </c>
      <c r="F65" s="47" t="inlineStr">
        <is>
          <t>Validated By</t>
        </is>
      </c>
    </row>
    <row r="66" ht="29" customHeight="1" s="1">
      <c r="A66" s="42" t="inlineStr">
        <is>
          <t>ASM-001</t>
        </is>
      </c>
      <c r="B66" s="42" t="inlineStr">
        <is>
          <t>Network Access</t>
        </is>
      </c>
      <c r="C66" s="42" t="inlineStr">
        <is>
          <t>All servers are reachable from discovery tools/agents</t>
        </is>
      </c>
      <c r="D66" s="42" t="inlineStr">
        <is>
          <t>Yes</t>
        </is>
      </c>
      <c r="E66" s="42" t="inlineStr">
        <is>
          <t>Incomplete dependency discovery</t>
        </is>
      </c>
      <c r="F66" s="42" t="inlineStr">
        <is>
          <t>[Validator]</t>
        </is>
      </c>
    </row>
    <row r="67" ht="29" customHeight="1" s="1">
      <c r="A67" s="42" t="inlineStr">
        <is>
          <t>ASM-002</t>
        </is>
      </c>
      <c r="B67" s="42" t="inlineStr">
        <is>
          <t>Credentials</t>
        </is>
      </c>
      <c r="C67" s="42" t="inlineStr">
        <is>
          <t>Required credentials will be provided within project timeline</t>
        </is>
      </c>
      <c r="D67" s="42" t="inlineStr">
        <is>
          <t>Yes</t>
        </is>
      </c>
      <c r="E67" s="42" t="inlineStr">
        <is>
          <t>Discovery delays</t>
        </is>
      </c>
      <c r="F67" s="42" t="inlineStr">
        <is>
          <t>[Validator]</t>
        </is>
      </c>
    </row>
    <row r="68" ht="29" customHeight="1" s="1">
      <c r="A68" s="42" t="inlineStr">
        <is>
          <t>ASM-003</t>
        </is>
      </c>
      <c r="B68" s="42" t="inlineStr">
        <is>
          <t>Discovery Duration</t>
        </is>
      </c>
      <c r="C68" s="42" t="inlineStr">
        <is>
          <t>4-week discovery period captures all periodic connections</t>
        </is>
      </c>
      <c r="D68" s="42" t="inlineStr">
        <is>
          <t>Yes</t>
        </is>
      </c>
      <c r="E68" s="42" t="inlineStr">
        <is>
          <t>Missing monthly/quarterly batch jobs</t>
        </is>
      </c>
      <c r="F68" s="42" t="inlineStr">
        <is>
          <t>[Validator]</t>
        </is>
      </c>
    </row>
    <row r="69">
      <c r="A69" s="42" t="inlineStr">
        <is>
          <t>ASM-004</t>
        </is>
      </c>
      <c r="B69" s="42" t="inlineStr">
        <is>
          <t>Agent Deployment</t>
        </is>
      </c>
      <c r="C69" s="42" t="inlineStr">
        <is>
          <t>Agents can be deployed on all in-scope servers</t>
        </is>
      </c>
      <c r="D69" s="42" t="inlineStr">
        <is>
          <t>Yes</t>
        </is>
      </c>
      <c r="E69" s="42" t="inlineStr">
        <is>
          <t>Gaps in process-level data</t>
        </is>
      </c>
      <c r="F69" s="42" t="inlineStr">
        <is>
          <t>[Validator]</t>
        </is>
      </c>
    </row>
    <row r="70">
      <c r="A70" s="42" t="inlineStr">
        <is>
          <t>ASM-005</t>
        </is>
      </c>
      <c r="B70" s="42" t="inlineStr">
        <is>
          <t>VMware Environment</t>
        </is>
      </c>
      <c r="C70" s="42" t="inlineStr">
        <is>
          <t>VMware vCenter is available for agentless discovery</t>
        </is>
      </c>
      <c r="D70" s="42" t="inlineStr">
        <is>
          <t>Yes</t>
        </is>
      </c>
      <c r="E70" s="42" t="inlineStr">
        <is>
          <t>Must use agent-based only</t>
        </is>
      </c>
      <c r="F70" s="42" t="inlineStr">
        <is>
          <t>[Validator]</t>
        </is>
      </c>
    </row>
    <row r="71">
      <c r="A71" s="42" t="inlineStr">
        <is>
          <t>ASM-006</t>
        </is>
      </c>
      <c r="B71" s="42" t="inlineStr">
        <is>
          <t>Firewall Rules</t>
        </is>
      </c>
      <c r="C71" s="42" t="inlineStr">
        <is>
          <t>Firewall changes can be implemented for discovery traffic</t>
        </is>
      </c>
      <c r="D71" s="42" t="inlineStr">
        <is>
          <t>Yes</t>
        </is>
      </c>
      <c r="E71" s="42" t="inlineStr">
        <is>
          <t>Limited connectivity data</t>
        </is>
      </c>
      <c r="F71" s="42" t="inlineStr">
        <is>
          <t>[Validator]</t>
        </is>
      </c>
    </row>
    <row r="72">
      <c r="A72" s="42" t="inlineStr">
        <is>
          <t>ASM-007</t>
        </is>
      </c>
      <c r="B72" s="42" t="inlineStr">
        <is>
          <t>Application Knowledge</t>
        </is>
      </c>
      <c r="C72" s="42" t="inlineStr">
        <is>
          <t>Application owners can validate discovered dependencies</t>
        </is>
      </c>
      <c r="D72" s="42" t="inlineStr">
        <is>
          <t>Yes</t>
        </is>
      </c>
      <c r="E72" s="42" t="inlineStr">
        <is>
          <t>Unvalidated dependency data</t>
        </is>
      </c>
      <c r="F72" s="42" t="inlineStr">
        <is>
          <t>[Validator]</t>
        </is>
      </c>
    </row>
    <row r="73">
      <c r="A73" s="42" t="inlineStr">
        <is>
          <t>ASM-008</t>
        </is>
      </c>
      <c r="B73" s="42" t="inlineStr">
        <is>
          <t>Data Accuracy</t>
        </is>
      </c>
      <c r="C73" s="42" t="inlineStr">
        <is>
          <t>Discovery tools capture &gt;90% of active connections</t>
        </is>
      </c>
      <c r="D73" s="42" t="inlineStr">
        <is>
          <t>Yes</t>
        </is>
      </c>
      <c r="E73" s="42" t="inlineStr">
        <is>
          <t>Manual gap analysis required</t>
        </is>
      </c>
      <c r="F73" s="42" t="inlineStr">
        <is>
          <t>[Validator]</t>
        </is>
      </c>
    </row>
    <row r="74">
      <c r="A74" s="42" t="inlineStr">
        <is>
          <t>ASM-009</t>
        </is>
      </c>
      <c r="B74" s="42" t="inlineStr">
        <is>
          <t>Server Inventory</t>
        </is>
      </c>
      <c r="C74" s="42" t="inlineStr">
        <is>
          <t>Initial server inventory is accurate and complete</t>
        </is>
      </c>
      <c r="D74" s="42" t="inlineStr">
        <is>
          <t>Yes</t>
        </is>
      </c>
      <c r="E74" s="42" t="inlineStr">
        <is>
          <t>Missing servers in discovery</t>
        </is>
      </c>
      <c r="F74" s="42" t="inlineStr">
        <is>
          <t>[Validator]</t>
        </is>
      </c>
    </row>
    <row r="75">
      <c r="A75" s="42" t="inlineStr">
        <is>
          <t>ASM-010</t>
        </is>
      </c>
      <c r="B75" s="42" t="inlineStr">
        <is>
          <t>Change Freeze</t>
        </is>
      </c>
      <c r="C75" s="42" t="inlineStr">
        <is>
          <t>No major infrastructure changes during discovery period</t>
        </is>
      </c>
      <c r="D75" s="42" t="inlineStr">
        <is>
          <t>Yes</t>
        </is>
      </c>
      <c r="E75" s="42" t="inlineStr">
        <is>
          <t>Inconsistent baseline data</t>
        </is>
      </c>
      <c r="F75" s="42" t="inlineStr">
        <is>
          <t>[Validator]</t>
        </is>
      </c>
    </row>
    <row r="76" ht="29" customHeight="1" s="1">
      <c r="A76" s="42" t="inlineStr">
        <is>
          <t>ASM-011</t>
        </is>
      </c>
      <c r="B76" s="42" t="inlineStr">
        <is>
          <t>Cloud Account Access</t>
        </is>
      </c>
      <c r="C76" s="42" t="inlineStr">
        <is>
          <t>Cloud accounts (AWS/Azure/GCP) provisioned before kickoff</t>
        </is>
      </c>
      <c r="D76" s="42" t="inlineStr">
        <is>
          <t>Yes</t>
        </is>
      </c>
      <c r="E76" s="42" t="inlineStr">
        <is>
          <t>Project start delays</t>
        </is>
      </c>
      <c r="F76" s="42" t="inlineStr">
        <is>
          <t>[Validator]</t>
        </is>
      </c>
    </row>
    <row r="77">
      <c r="A77" s="42" t="inlineStr">
        <is>
          <t>ASM-012</t>
        </is>
      </c>
      <c r="B77" s="42" t="inlineStr">
        <is>
          <t>Stakeholder Availability</t>
        </is>
      </c>
      <c r="C77" s="42" t="inlineStr">
        <is>
          <t>Key stakeholders available for reviews and validation</t>
        </is>
      </c>
      <c r="D77" s="42" t="inlineStr">
        <is>
          <t>Yes</t>
        </is>
      </c>
      <c r="E77" s="42" t="inlineStr">
        <is>
          <t>Sign-off delays</t>
        </is>
      </c>
      <c r="F77" s="42" t="inlineStr">
        <is>
          <t>[Validator]</t>
        </is>
      </c>
    </row>
    <row r="78">
      <c r="A78" s="42" t="inlineStr">
        <is>
          <t>ASM-013</t>
        </is>
      </c>
      <c r="B78" s="42" t="inlineStr">
        <is>
          <t>Tool Licensing</t>
        </is>
      </c>
      <c r="C78" s="42" t="inlineStr">
        <is>
          <t>Required tool licenses available (if third-party tools)</t>
        </is>
      </c>
      <c r="D78" s="42" t="inlineStr">
        <is>
          <t>Yes</t>
        </is>
      </c>
      <c r="E78" s="42" t="inlineStr">
        <is>
          <t>Alternate tool selection needed</t>
        </is>
      </c>
      <c r="F78" s="42" t="inlineStr">
        <is>
          <t>[Validator]</t>
        </is>
      </c>
    </row>
    <row r="79">
      <c r="A79" s="42" t="inlineStr">
        <is>
          <t>ASM-014</t>
        </is>
      </c>
      <c r="B79" s="42" t="inlineStr">
        <is>
          <t>Data Retention</t>
        </is>
      </c>
      <c r="C79" s="42" t="inlineStr">
        <is>
          <t>Discovery data retained for full assessment duration</t>
        </is>
      </c>
      <c r="D79" s="42" t="inlineStr">
        <is>
          <t>Yes</t>
        </is>
      </c>
      <c r="E79" s="42" t="inlineStr">
        <is>
          <t>Re-discovery may be needed</t>
        </is>
      </c>
      <c r="F79" s="42" t="inlineStr">
        <is>
          <t>[Validator]</t>
        </is>
      </c>
    </row>
    <row r="80" ht="29" customHeight="1" s="1">
      <c r="A80" s="42" t="inlineStr">
        <is>
          <t>ASM-015</t>
        </is>
      </c>
      <c r="B80" s="42" t="inlineStr">
        <is>
          <t>Security Approvals</t>
        </is>
      </c>
      <c r="C80" s="42" t="inlineStr">
        <is>
          <t>Security team approves agent deployment and data collection</t>
        </is>
      </c>
      <c r="D80" s="42" t="inlineStr">
        <is>
          <t>Yes</t>
        </is>
      </c>
      <c r="E80" s="42" t="inlineStr">
        <is>
          <t>Blocked discovery activities</t>
        </is>
      </c>
      <c r="F80" s="42" t="inlineStr">
        <is>
          <t>[Validator]</t>
        </is>
      </c>
    </row>
    <row r="82" ht="43.5" customHeight="1" s="1">
      <c r="A82" s="48" t="inlineStr">
        <is>
          <t>REMEDIATION ACTIONS - WHEN DEPENDENCY DATA CANNOT BE CAPTURED</t>
        </is>
      </c>
    </row>
    <row r="83">
      <c r="A83" s="49" t="inlineStr">
        <is>
          <t>Gap ID</t>
        </is>
      </c>
      <c r="B83" s="49" t="inlineStr">
        <is>
          <t>Data Gap Scenario</t>
        </is>
      </c>
      <c r="C83" s="49" t="inlineStr">
        <is>
          <t>Root Cause</t>
        </is>
      </c>
      <c r="D83" s="49" t="inlineStr">
        <is>
          <t>Remediation Action</t>
        </is>
      </c>
      <c r="E83" s="49" t="inlineStr">
        <is>
          <t>Fallback Approach</t>
        </is>
      </c>
      <c r="F83" s="49" t="inlineStr">
        <is>
          <t>Risk if Unresolved</t>
        </is>
      </c>
    </row>
    <row r="84" ht="29" customHeight="1" s="1">
      <c r="A84" s="42" t="inlineStr">
        <is>
          <t>GAP-001</t>
        </is>
      </c>
      <c r="B84" s="42" t="inlineStr">
        <is>
          <t>Agent cannot be installed on legacy servers</t>
        </is>
      </c>
      <c r="C84" s="42" t="inlineStr">
        <is>
          <t>Unsupported OS (Windows 2003, old Linux)</t>
        </is>
      </c>
      <c r="D84" s="42" t="inlineStr">
        <is>
          <t>Use agentless discovery + manual interviews</t>
        </is>
      </c>
      <c r="E84" s="42" t="inlineStr">
        <is>
          <t>Manual dependency documentation from SMEs</t>
        </is>
      </c>
      <c r="F84" s="42" t="inlineStr">
        <is>
          <t>Incomplete process-level dependencies</t>
        </is>
      </c>
    </row>
    <row r="85" ht="43.5" customHeight="1" s="1">
      <c r="A85" s="42" t="inlineStr">
        <is>
          <t>GAP-002</t>
        </is>
      </c>
      <c r="B85" s="42" t="inlineStr">
        <is>
          <t>Network connections not visible</t>
        </is>
      </c>
      <c r="C85" s="42" t="inlineStr">
        <is>
          <t>Firewall blocking discovery traffic</t>
        </is>
      </c>
      <c r="D85" s="42" t="inlineStr">
        <is>
          <t>Request firewall rule changes for discovery ports</t>
        </is>
      </c>
      <c r="E85" s="42" t="inlineStr">
        <is>
          <t>Network team provides firewall logs for analysis</t>
        </is>
      </c>
      <c r="F85" s="42" t="inlineStr">
        <is>
          <t>Missing inter-zone dependencies</t>
        </is>
      </c>
    </row>
    <row r="86" ht="43.5" customHeight="1" s="1">
      <c r="A86" s="42" t="inlineStr">
        <is>
          <t>GAP-003</t>
        </is>
      </c>
      <c r="B86" s="42" t="inlineStr">
        <is>
          <t>vCenter access not available</t>
        </is>
      </c>
      <c r="C86" s="42" t="inlineStr">
        <is>
          <t>VMware team security restrictions</t>
        </is>
      </c>
      <c r="D86" s="42" t="inlineStr">
        <is>
          <t>Escalate to management, provide security docs</t>
        </is>
      </c>
      <c r="E86" s="42" t="inlineStr">
        <is>
          <t>Deploy agents on individual VMs instead</t>
        </is>
      </c>
      <c r="F86" s="42" t="inlineStr">
        <is>
          <t>No agentless discovery capability</t>
        </is>
      </c>
    </row>
    <row r="87" ht="43.5" customHeight="1" s="1">
      <c r="A87" s="42" t="inlineStr">
        <is>
          <t>GAP-004</t>
        </is>
      </c>
      <c r="B87" s="42" t="inlineStr">
        <is>
          <t>Encrypted traffic not decoded</t>
        </is>
      </c>
      <c r="C87" s="42" t="inlineStr">
        <is>
          <t>TLS/SSL connections hide application data</t>
        </is>
      </c>
      <c r="D87" s="42" t="inlineStr">
        <is>
          <t>Use agent-based discovery for process names</t>
        </is>
      </c>
      <c r="E87" s="42" t="inlineStr">
        <is>
          <t>Application owner interviews to identify endpoints</t>
        </is>
      </c>
      <c r="F87" s="42" t="inlineStr">
        <is>
          <t>Unknown application-level dependencies</t>
        </is>
      </c>
    </row>
    <row r="88" ht="29" customHeight="1" s="1">
      <c r="A88" s="42" t="inlineStr">
        <is>
          <t>GAP-005</t>
        </is>
      </c>
      <c r="B88" s="42" t="inlineStr">
        <is>
          <t>Cloud account not provisioned</t>
        </is>
      </c>
      <c r="C88" s="42" t="inlineStr">
        <is>
          <t>Approval delays for cloud access</t>
        </is>
      </c>
      <c r="D88" s="42" t="inlineStr">
        <is>
          <t>Parallel track: prepare while awaiting access</t>
        </is>
      </c>
      <c r="E88" s="42" t="inlineStr">
        <is>
          <t>Use third-party tools (CAST, Matilda) if licensed</t>
        </is>
      </c>
      <c r="F88" s="42" t="inlineStr">
        <is>
          <t>Delayed project start</t>
        </is>
      </c>
    </row>
    <row r="89" ht="29" customHeight="1" s="1">
      <c r="A89" s="42" t="inlineStr">
        <is>
          <t>GAP-006</t>
        </is>
      </c>
      <c r="B89" s="42" t="inlineStr">
        <is>
          <t>Batch jobs not captured</t>
        </is>
      </c>
      <c r="C89" s="42" t="inlineStr">
        <is>
          <t>Jobs run monthly/quarterly, outside discovery window</t>
        </is>
      </c>
      <c r="D89" s="42" t="inlineStr">
        <is>
          <t>Extend discovery period or schedule job runs</t>
        </is>
      </c>
      <c r="E89" s="42" t="inlineStr">
        <is>
          <t>Review job scheduler configs, interview operators</t>
        </is>
      </c>
      <c r="F89" s="42" t="inlineStr">
        <is>
          <t>Missing periodic dependencies</t>
        </is>
      </c>
    </row>
    <row r="90" ht="29" customHeight="1" s="1">
      <c r="A90" s="42" t="inlineStr">
        <is>
          <t>GAP-007</t>
        </is>
      </c>
      <c r="B90" s="42" t="inlineStr">
        <is>
          <t>DR/Secondary site not discovered</t>
        </is>
      </c>
      <c r="C90" s="42" t="inlineStr">
        <is>
          <t>Agents not deployed in DR environment</t>
        </is>
      </c>
      <c r="D90" s="42" t="inlineStr">
        <is>
          <t>Include DR environment in discovery scope</t>
        </is>
      </c>
      <c r="E90" s="42" t="inlineStr">
        <is>
          <t>Manual documentation of DR dependencies</t>
        </is>
      </c>
      <c r="F90" s="42" t="inlineStr">
        <is>
          <t>Incomplete DR dependency map</t>
        </is>
      </c>
    </row>
    <row r="91" ht="29" customHeight="1" s="1">
      <c r="A91" s="42" t="inlineStr">
        <is>
          <t>GAP-008</t>
        </is>
      </c>
      <c r="B91" s="42" t="inlineStr">
        <is>
          <t>Third-party SaaS dependencies</t>
        </is>
      </c>
      <c r="C91" s="42" t="inlineStr">
        <is>
          <t>External services not in discovery scope</t>
        </is>
      </c>
      <c r="D91" s="42" t="inlineStr">
        <is>
          <t>Manual documentation of SaaS integrations</t>
        </is>
      </c>
      <c r="E91" s="42" t="inlineStr">
        <is>
          <t>Application config review, DNS analysis</t>
        </is>
      </c>
      <c r="F91" s="42" t="inlineStr">
        <is>
          <t>Unknown external dependencies</t>
        </is>
      </c>
    </row>
    <row r="92" ht="29" customHeight="1" s="1">
      <c r="A92" s="42" t="inlineStr">
        <is>
          <t>GAP-009</t>
        </is>
      </c>
      <c r="B92" s="42" t="inlineStr">
        <is>
          <t>Database dependencies unclear</t>
        </is>
      </c>
      <c r="C92" s="42" t="inlineStr">
        <is>
          <t>Connection pooling hides actual sources</t>
        </is>
      </c>
      <c r="D92" s="42" t="inlineStr">
        <is>
          <t>Query database connection logs directly</t>
        </is>
      </c>
      <c r="E92" s="42" t="inlineStr">
        <is>
          <t>DBA interviews, application config review</t>
        </is>
      </c>
      <c r="F92" s="42" t="inlineStr">
        <is>
          <t>Inaccurate DB dependency mapping</t>
        </is>
      </c>
    </row>
    <row r="93" ht="29" customHeight="1" s="1">
      <c r="A93" s="42" t="inlineStr">
        <is>
          <t>GAP-010</t>
        </is>
      </c>
      <c r="B93" s="42" t="inlineStr">
        <is>
          <t>Containerized workloads</t>
        </is>
      </c>
      <c r="C93" s="42" t="inlineStr">
        <is>
          <t>Traditional agents don't work in containers</t>
        </is>
      </c>
      <c r="D93" s="42" t="inlineStr">
        <is>
          <t>Use container-native discovery (if available)</t>
        </is>
      </c>
      <c r="E93" s="42" t="inlineStr">
        <is>
          <t>Review Kubernetes/Docker configs, service mesh</t>
        </is>
      </c>
      <c r="F93" s="42" t="inlineStr">
        <is>
          <t>Missing container dependencies</t>
        </is>
      </c>
    </row>
    <row r="94" ht="43.5" customHeight="1" s="1">
      <c r="A94" s="42" t="inlineStr">
        <is>
          <t>GAP-011</t>
        </is>
      </c>
      <c r="B94" s="42" t="inlineStr">
        <is>
          <t>Load balancer hiding backends</t>
        </is>
      </c>
      <c r="C94" s="42" t="inlineStr">
        <is>
          <t>VIP masks actual server connections</t>
        </is>
      </c>
      <c r="D94" s="42" t="inlineStr">
        <is>
          <t>Discover LB configs, document backend pools</t>
        </is>
      </c>
      <c r="E94" s="42" t="inlineStr">
        <is>
          <t>Network team provides LB configuration export</t>
        </is>
      </c>
      <c r="F94" s="42" t="inlineStr">
        <is>
          <t>Incomplete server-to-server mapping</t>
        </is>
      </c>
    </row>
    <row r="95" ht="29" customHeight="1" s="1">
      <c r="A95" s="42" t="inlineStr">
        <is>
          <t>GAP-012</t>
        </is>
      </c>
      <c r="B95" s="42" t="inlineStr">
        <is>
          <t>Air-gapped networks</t>
        </is>
      </c>
      <c r="C95" s="42" t="inlineStr">
        <is>
          <t>No internet connectivity for cloud tools</t>
        </is>
      </c>
      <c r="D95" s="42" t="inlineStr">
        <is>
          <t>Deploy on-premises data collector</t>
        </is>
      </c>
      <c r="E95" s="42" t="inlineStr">
        <is>
          <t>Manual discovery with network scanning tools</t>
        </is>
      </c>
      <c r="F95" s="42" t="inlineStr">
        <is>
          <t>Limited automation capability</t>
        </is>
      </c>
    </row>
    <row r="96" ht="43.5" customHeight="1" s="1">
      <c r="A96" s="42" t="inlineStr">
        <is>
          <t>GAP-013</t>
        </is>
      </c>
      <c r="B96" s="42" t="inlineStr">
        <is>
          <t>Credentials not provided in time</t>
        </is>
      </c>
      <c r="C96" s="42" t="inlineStr">
        <is>
          <t>Security/compliance approval delays</t>
        </is>
      </c>
      <c r="D96" s="42" t="inlineStr">
        <is>
          <t>Escalate, provide security questionnaire responses</t>
        </is>
      </c>
      <c r="E96" s="42" t="inlineStr">
        <is>
          <t>Start with subset of servers with access</t>
        </is>
      </c>
      <c r="F96" s="42" t="inlineStr">
        <is>
          <t>Delayed discovery completion</t>
        </is>
      </c>
    </row>
    <row r="97" ht="29" customHeight="1" s="1">
      <c r="A97" s="42" t="inlineStr">
        <is>
          <t>GAP-014</t>
        </is>
      </c>
      <c r="B97" s="42" t="inlineStr">
        <is>
          <t>High server count overwhelms tools</t>
        </is>
      </c>
      <c r="C97" s="42" t="inlineStr">
        <is>
          <t>Discovery tool performance limits</t>
        </is>
      </c>
      <c r="D97" s="42" t="inlineStr">
        <is>
          <t>Phased discovery by application group</t>
        </is>
      </c>
      <c r="E97" s="42" t="inlineStr">
        <is>
          <t>Prioritize critical applications first</t>
        </is>
      </c>
      <c r="F97" s="42" t="inlineStr">
        <is>
          <t>Extended discovery timeline</t>
        </is>
      </c>
    </row>
    <row r="98" ht="29" customHeight="1" s="1">
      <c r="A98" s="42" t="inlineStr">
        <is>
          <t>GAP-015</t>
        </is>
      </c>
      <c r="B98" s="42" t="inlineStr">
        <is>
          <t>Dynamic IP addressing</t>
        </is>
      </c>
      <c r="C98" s="42" t="inlineStr">
        <is>
          <t>DHCP causes IP changes during discovery</t>
        </is>
      </c>
      <c r="D98" s="42" t="inlineStr">
        <is>
          <t>Use hostname-based correlation</t>
        </is>
      </c>
      <c r="E98" s="42" t="inlineStr">
        <is>
          <t>Document IP ranges, use DNS resolution</t>
        </is>
      </c>
      <c r="F98" s="42" t="inlineStr">
        <is>
          <t>Inconsistent connection mapping</t>
        </is>
      </c>
    </row>
    <row r="99" ht="29" customHeight="1" s="1">
      <c r="A99" s="42" t="inlineStr">
        <is>
          <t>GAP-016</t>
        </is>
      </c>
      <c r="B99" s="42" t="inlineStr">
        <is>
          <t>Multi-cloud environment gaps</t>
        </is>
      </c>
      <c r="C99" s="42" t="inlineStr">
        <is>
          <t>Different tools needed per cloud</t>
        </is>
      </c>
      <c r="D99" s="42" t="inlineStr">
        <is>
          <t>Use cloud-agnostic tools or multiple native tools</t>
        </is>
      </c>
      <c r="E99" s="42" t="inlineStr">
        <is>
          <t>Consolidate data manually into this template</t>
        </is>
      </c>
      <c r="F99" s="42" t="inlineStr">
        <is>
          <t>Fragmented dependency view</t>
        </is>
      </c>
    </row>
    <row r="100" ht="29" customHeight="1" s="1">
      <c r="A100" s="42" t="inlineStr">
        <is>
          <t>GAP-017</t>
        </is>
      </c>
      <c r="B100" s="42" t="inlineStr">
        <is>
          <t>Application owner unavailable</t>
        </is>
      </c>
      <c r="C100" s="42" t="inlineStr">
        <is>
          <t>SME not available for validation</t>
        </is>
      </c>
      <c r="D100" s="42" t="inlineStr">
        <is>
          <t>Schedule dedicated validation sessions early</t>
        </is>
      </c>
      <c r="E100" s="42" t="inlineStr">
        <is>
          <t>Use technical documentation, code review</t>
        </is>
      </c>
      <c r="F100" s="42" t="inlineStr">
        <is>
          <t>Unvalidated dependency data</t>
        </is>
      </c>
    </row>
    <row r="101" ht="29" customHeight="1" s="1">
      <c r="A101" s="42" t="inlineStr">
        <is>
          <t>GAP-018</t>
        </is>
      </c>
      <c r="B101" s="42" t="inlineStr">
        <is>
          <t>Mainframe/Legacy systems</t>
        </is>
      </c>
      <c r="C101" s="42" t="inlineStr">
        <is>
          <t>No modern discovery agent support</t>
        </is>
      </c>
      <c r="D101" s="42" t="inlineStr">
        <is>
          <t>Use network flow analysis, SNMP data</t>
        </is>
      </c>
      <c r="E101" s="42" t="inlineStr">
        <is>
          <t>Manual documentation from operations team</t>
        </is>
      </c>
      <c r="F101" s="42" t="inlineStr">
        <is>
          <t>No automated legacy discovery</t>
        </is>
      </c>
    </row>
    <row r="102" ht="29" customHeight="1" s="1">
      <c r="A102" s="42" t="inlineStr">
        <is>
          <t>GAP-019</t>
        </is>
      </c>
      <c r="B102" s="42" t="inlineStr">
        <is>
          <t>Ephemeral/Auto-scaled instances</t>
        </is>
      </c>
      <c r="C102" s="42" t="inlineStr">
        <is>
          <t>Instances created/destroyed frequently</t>
        </is>
      </c>
      <c r="D102" s="42" t="inlineStr">
        <is>
          <t>Capture launch configs, not instance-level</t>
        </is>
      </c>
      <c r="E102" s="42" t="inlineStr">
        <is>
          <t>Review auto-scaling group configurations</t>
        </is>
      </c>
      <c r="F102" s="42" t="inlineStr">
        <is>
          <t>Point-in-time snapshot only</t>
        </is>
      </c>
    </row>
    <row r="103" ht="29" customHeight="1" s="1">
      <c r="A103" s="42" t="inlineStr">
        <is>
          <t>GAP-020</t>
        </is>
      </c>
      <c r="B103" s="42" t="inlineStr">
        <is>
          <t>Discovery data export fails</t>
        </is>
      </c>
      <c r="C103" s="42" t="inlineStr">
        <is>
          <t>Tool export functionality issues</t>
        </is>
      </c>
      <c r="D103" s="42" t="inlineStr">
        <is>
          <t>Troubleshoot with cloud support</t>
        </is>
      </c>
      <c r="E103" s="42" t="inlineStr">
        <is>
          <t>Manual data extraction via console/API</t>
        </is>
      </c>
      <c r="F103" s="42" t="inlineStr">
        <is>
          <t>Delayed data population</t>
        </is>
      </c>
    </row>
    <row r="105" ht="29" customHeight="1" s="1">
      <c r="A105" s="50" t="inlineStr">
        <is>
          <t>PROJECT-SPECIFIC PREREQUISITE TRACKING</t>
        </is>
      </c>
    </row>
    <row r="106">
      <c r="A106" s="51" t="inlineStr">
        <is>
          <t>Tracking ID</t>
        </is>
      </c>
      <c r="B106" s="51" t="inlineStr">
        <is>
          <t>Prerequisite/Assumption/Gap</t>
        </is>
      </c>
      <c r="C106" s="51" t="inlineStr">
        <is>
          <t>Current Status</t>
        </is>
      </c>
      <c r="D106" s="51" t="inlineStr">
        <is>
          <t>Target Date</t>
        </is>
      </c>
      <c r="E106" s="51" t="inlineStr">
        <is>
          <t>Owner</t>
        </is>
      </c>
      <c r="F106" s="51" t="inlineStr">
        <is>
          <t>Resolution Notes</t>
        </is>
      </c>
    </row>
    <row r="107" ht="29" customHeight="1" s="1">
      <c r="A107" s="42" t="inlineStr">
        <is>
          <t>TRK-001</t>
        </is>
      </c>
      <c r="B107" s="42" t="inlineStr">
        <is>
          <t>[Enter prerequisite, assumption, or gap reference]</t>
        </is>
      </c>
      <c r="C107" s="42" t="inlineStr">
        <is>
          <t>☐ Not Started</t>
        </is>
      </c>
      <c r="D107" s="42" t="inlineStr">
        <is>
          <t>[YYYY-MM-DD]</t>
        </is>
      </c>
      <c r="E107" s="42" t="inlineStr">
        <is>
          <t>[Assign Owner]</t>
        </is>
      </c>
      <c r="F107" s="42" t="inlineStr">
        <is>
          <t>[Enter resolution notes]</t>
        </is>
      </c>
    </row>
    <row r="108" ht="29" customHeight="1" s="1">
      <c r="A108" s="42" t="inlineStr">
        <is>
          <t>TRK-002</t>
        </is>
      </c>
      <c r="B108" s="42" t="inlineStr">
        <is>
          <t>[Enter prerequisite, assumption, or gap reference]</t>
        </is>
      </c>
      <c r="C108" s="42" t="inlineStr">
        <is>
          <t>☐ Not Started</t>
        </is>
      </c>
      <c r="D108" s="42" t="inlineStr">
        <is>
          <t>[YYYY-MM-DD]</t>
        </is>
      </c>
      <c r="E108" s="42" t="inlineStr">
        <is>
          <t>[Assign Owner]</t>
        </is>
      </c>
      <c r="F108" s="42" t="inlineStr">
        <is>
          <t>[Enter resolution notes]</t>
        </is>
      </c>
    </row>
    <row r="109" ht="29" customHeight="1" s="1">
      <c r="A109" s="42" t="inlineStr">
        <is>
          <t>TRK-003</t>
        </is>
      </c>
      <c r="B109" s="42" t="inlineStr">
        <is>
          <t>[Enter prerequisite, assumption, or gap reference]</t>
        </is>
      </c>
      <c r="C109" s="42" t="inlineStr">
        <is>
          <t>☐ Not Started</t>
        </is>
      </c>
      <c r="D109" s="42" t="inlineStr">
        <is>
          <t>[YYYY-MM-DD]</t>
        </is>
      </c>
      <c r="E109" s="42" t="inlineStr">
        <is>
          <t>[Assign Owner]</t>
        </is>
      </c>
      <c r="F109" s="42" t="inlineStr">
        <is>
          <t>[Enter resolution notes]</t>
        </is>
      </c>
    </row>
    <row r="110" ht="29" customHeight="1" s="1">
      <c r="A110" s="42" t="inlineStr">
        <is>
          <t>TRK-004</t>
        </is>
      </c>
      <c r="B110" s="42" t="inlineStr">
        <is>
          <t>[Enter prerequisite, assumption, or gap reference]</t>
        </is>
      </c>
      <c r="C110" s="42" t="inlineStr">
        <is>
          <t>☐ Not Started</t>
        </is>
      </c>
      <c r="D110" s="42" t="inlineStr">
        <is>
          <t>[YYYY-MM-DD]</t>
        </is>
      </c>
      <c r="E110" s="42" t="inlineStr">
        <is>
          <t>[Assign Owner]</t>
        </is>
      </c>
      <c r="F110" s="42" t="inlineStr">
        <is>
          <t>[Enter resolution notes]</t>
        </is>
      </c>
    </row>
    <row r="111" ht="29" customHeight="1" s="1">
      <c r="A111" s="42" t="inlineStr">
        <is>
          <t>TRK-005</t>
        </is>
      </c>
      <c r="B111" s="42" t="inlineStr">
        <is>
          <t>[Enter prerequisite, assumption, or gap reference]</t>
        </is>
      </c>
      <c r="C111" s="42" t="inlineStr">
        <is>
          <t>☐ Not Started</t>
        </is>
      </c>
      <c r="D111" s="42" t="inlineStr">
        <is>
          <t>[YYYY-MM-DD]</t>
        </is>
      </c>
      <c r="E111" s="42" t="inlineStr">
        <is>
          <t>[Assign Owner]</t>
        </is>
      </c>
      <c r="F111" s="42" t="inlineStr">
        <is>
          <t>[Enter resolution notes]</t>
        </is>
      </c>
    </row>
    <row r="112" ht="29" customHeight="1" s="1">
      <c r="A112" s="42" t="inlineStr">
        <is>
          <t>TRK-006</t>
        </is>
      </c>
      <c r="B112" s="42" t="inlineStr">
        <is>
          <t>[Enter prerequisite, assumption, or gap reference]</t>
        </is>
      </c>
      <c r="C112" s="42" t="inlineStr">
        <is>
          <t>☐ Not Started</t>
        </is>
      </c>
      <c r="D112" s="42" t="inlineStr">
        <is>
          <t>[YYYY-MM-DD]</t>
        </is>
      </c>
      <c r="E112" s="42" t="inlineStr">
        <is>
          <t>[Assign Owner]</t>
        </is>
      </c>
      <c r="F112" s="42" t="inlineStr">
        <is>
          <t>[Enter resolution notes]</t>
        </is>
      </c>
    </row>
    <row r="113" ht="29" customHeight="1" s="1">
      <c r="A113" s="42" t="inlineStr">
        <is>
          <t>TRK-007</t>
        </is>
      </c>
      <c r="B113" s="42" t="inlineStr">
        <is>
          <t>[Enter prerequisite, assumption, or gap reference]</t>
        </is>
      </c>
      <c r="C113" s="42" t="inlineStr">
        <is>
          <t>☐ Not Started</t>
        </is>
      </c>
      <c r="D113" s="42" t="inlineStr">
        <is>
          <t>[YYYY-MM-DD]</t>
        </is>
      </c>
      <c r="E113" s="42" t="inlineStr">
        <is>
          <t>[Assign Owner]</t>
        </is>
      </c>
      <c r="F113" s="42" t="inlineStr">
        <is>
          <t>[Enter resolution notes]</t>
        </is>
      </c>
    </row>
    <row r="114" ht="29" customHeight="1" s="1">
      <c r="A114" s="42" t="inlineStr">
        <is>
          <t>TRK-008</t>
        </is>
      </c>
      <c r="B114" s="42" t="inlineStr">
        <is>
          <t>[Enter prerequisite, assumption, or gap reference]</t>
        </is>
      </c>
      <c r="C114" s="42" t="inlineStr">
        <is>
          <t>☐ Not Started</t>
        </is>
      </c>
      <c r="D114" s="42" t="inlineStr">
        <is>
          <t>[YYYY-MM-DD]</t>
        </is>
      </c>
      <c r="E114" s="42" t="inlineStr">
        <is>
          <t>[Assign Owner]</t>
        </is>
      </c>
      <c r="F114" s="42" t="inlineStr">
        <is>
          <t>[Enter resolution notes]</t>
        </is>
      </c>
    </row>
    <row r="115" ht="29" customHeight="1" s="1">
      <c r="A115" s="42" t="inlineStr">
        <is>
          <t>TRK-009</t>
        </is>
      </c>
      <c r="B115" s="42" t="inlineStr">
        <is>
          <t>[Enter prerequisite, assumption, or gap reference]</t>
        </is>
      </c>
      <c r="C115" s="42" t="inlineStr">
        <is>
          <t>☐ Not Started</t>
        </is>
      </c>
      <c r="D115" s="42" t="inlineStr">
        <is>
          <t>[YYYY-MM-DD]</t>
        </is>
      </c>
      <c r="E115" s="42" t="inlineStr">
        <is>
          <t>[Assign Owner]</t>
        </is>
      </c>
      <c r="F115" s="42" t="inlineStr">
        <is>
          <t>[Enter resolution notes]</t>
        </is>
      </c>
    </row>
    <row r="116" ht="29" customHeight="1" s="1">
      <c r="A116" s="42" t="inlineStr">
        <is>
          <t>TRK-010</t>
        </is>
      </c>
      <c r="B116" s="42" t="inlineStr">
        <is>
          <t>[Enter prerequisite, assumption, or gap reference]</t>
        </is>
      </c>
      <c r="C116" s="42" t="inlineStr">
        <is>
          <t>☐ Not Started</t>
        </is>
      </c>
      <c r="D116" s="42" t="inlineStr">
        <is>
          <t>[YYYY-MM-DD]</t>
        </is>
      </c>
      <c r="E116" s="42" t="inlineStr">
        <is>
          <t>[Assign Owner]</t>
        </is>
      </c>
      <c r="F116" s="42" t="inlineStr">
        <is>
          <t>[Enter resolution notes]</t>
        </is>
      </c>
    </row>
    <row r="118" ht="29" customHeight="1" s="1">
      <c r="A118" s="52" t="inlineStr">
        <is>
          <t>QUICK REFERENCE - STATUS VALUES &amp; USAGE GUIDE</t>
        </is>
      </c>
    </row>
    <row r="120">
      <c r="A120" s="53" t="inlineStr">
        <is>
          <t>Status Values:</t>
        </is>
      </c>
      <c r="D120" s="53" t="inlineStr">
        <is>
          <t>How to Use This Sheet:</t>
        </is>
      </c>
    </row>
    <row r="121" ht="43.5" customHeight="1" s="1">
      <c r="A121" s="55" t="inlineStr">
        <is>
          <t>☐ Not Started - Prerequisite has not been addressed</t>
        </is>
      </c>
      <c r="D121" s="55" t="inlineStr">
        <is>
          <t>1. Review all prerequisites for your target cloud(s)</t>
        </is>
      </c>
    </row>
    <row r="122" ht="43.5" customHeight="1" s="1">
      <c r="A122" s="55" t="inlineStr">
        <is>
          <t>⏳ In Progress - Work is underway to meet prerequisite</t>
        </is>
      </c>
      <c r="D122" s="55" t="inlineStr">
        <is>
          <t>2. Assign owners and update status as work progresses</t>
        </is>
      </c>
    </row>
    <row r="123" ht="43.5" customHeight="1" s="1">
      <c r="A123" s="55" t="inlineStr">
        <is>
          <t>✓ Complete - Prerequisite has been met and validated</t>
        </is>
      </c>
      <c r="D123" s="55" t="inlineStr">
        <is>
          <t>3. Document any assumptions that apply to your project</t>
        </is>
      </c>
    </row>
    <row r="124" ht="43.5" customHeight="1" s="1">
      <c r="A124" s="55" t="inlineStr">
        <is>
          <t>⚠ Blocked - Prerequisite blocked, remediation needed</t>
        </is>
      </c>
      <c r="D124" s="55" t="inlineStr">
        <is>
          <t>4. If gaps occur, reference Remediation section for solutions</t>
        </is>
      </c>
    </row>
    <row r="125" ht="43.5" customHeight="1" s="1">
      <c r="A125" s="55" t="inlineStr">
        <is>
          <t>✗ Not Applicable - Prerequisite not relevant for this project</t>
        </is>
      </c>
      <c r="D125" s="55" t="inlineStr">
        <is>
          <t>5. Track project-specific items in the tracking table</t>
        </is>
      </c>
    </row>
    <row r="127">
      <c r="A127" s="56" t="inlineStr">
        <is>
          <t>SECTION NAVIGATION</t>
        </is>
      </c>
    </row>
    <row r="128">
      <c r="A128" s="2" t="inlineStr">
        <is>
          <t>Section</t>
        </is>
      </c>
      <c r="B128" s="2" t="inlineStr">
        <is>
          <t>Row Range</t>
        </is>
      </c>
      <c r="C128" s="2" t="inlineStr">
        <is>
          <t>Description</t>
        </is>
      </c>
      <c r="D128" s="2" t="inlineStr">
        <is>
          <t>Color Code</t>
        </is>
      </c>
    </row>
    <row r="129">
      <c r="A129" t="inlineStr">
        <is>
          <t>AWS ADS Prerequisites</t>
        </is>
      </c>
      <c r="B129" t="inlineStr">
        <is>
          <t>Rows 5-22</t>
        </is>
      </c>
      <c r="C129" t="inlineStr">
        <is>
          <t>AWS Application Discovery Service requirements</t>
        </is>
      </c>
      <c r="D129" t="inlineStr">
        <is>
          <t>Orange (#FF9900)</t>
        </is>
      </c>
    </row>
    <row r="130">
      <c r="A130" t="inlineStr">
        <is>
          <t>Azure Migrate Prerequisites</t>
        </is>
      </c>
      <c r="B130" t="inlineStr">
        <is>
          <t>Rows 24-43</t>
        </is>
      </c>
      <c r="C130" t="inlineStr">
        <is>
          <t>Azure Migrate Dependency Analysis requirements</t>
        </is>
      </c>
      <c r="D130" t="inlineStr">
        <is>
          <t>Blue (#0078D4)</t>
        </is>
      </c>
    </row>
    <row r="131">
      <c r="A131" t="inlineStr">
        <is>
          <t>GCP Migration Center Prerequisites</t>
        </is>
      </c>
      <c r="B131" t="inlineStr">
        <is>
          <t>Rows 45-62</t>
        </is>
      </c>
      <c r="C131" t="inlineStr">
        <is>
          <t>Google Cloud Migration Center requirements</t>
        </is>
      </c>
      <c r="D131" t="inlineStr">
        <is>
          <t>Google Blue (#4285F4)</t>
        </is>
      </c>
    </row>
    <row r="132">
      <c r="A132" t="inlineStr">
        <is>
          <t>Key Assumptions</t>
        </is>
      </c>
      <c r="B132" t="inlineStr">
        <is>
          <t>Rows 64-80</t>
        </is>
      </c>
      <c r="C132" t="inlineStr">
        <is>
          <t>Assumptions for dependency mapping project</t>
        </is>
      </c>
      <c r="D132" t="inlineStr">
        <is>
          <t>Green (#2E7D32)</t>
        </is>
      </c>
    </row>
    <row r="133">
      <c r="A133" t="inlineStr">
        <is>
          <t>Remediation Actions</t>
        </is>
      </c>
      <c r="B133" t="inlineStr">
        <is>
          <t>Rows 82-103</t>
        </is>
      </c>
      <c r="C133" t="inlineStr">
        <is>
          <t>Actions when data cannot be captured</t>
        </is>
      </c>
      <c r="D133" t="inlineStr">
        <is>
          <t>Red (#C62828)</t>
        </is>
      </c>
    </row>
    <row r="134">
      <c r="A134" t="inlineStr">
        <is>
          <t>Project Tracking</t>
        </is>
      </c>
      <c r="B134" t="inlineStr">
        <is>
          <t>Rows 105-116</t>
        </is>
      </c>
      <c r="C134" t="inlineStr">
        <is>
          <t>Track project-specific items</t>
        </is>
      </c>
      <c r="D134" t="inlineStr">
        <is>
          <t>Purple (#6A1B9A)</t>
        </is>
      </c>
    </row>
  </sheetData>
  <mergeCells count="11">
    <mergeCell ref="A24:F24"/>
    <mergeCell ref="A2:F2"/>
    <mergeCell ref="A82:F82"/>
    <mergeCell ref="A1:F1"/>
    <mergeCell ref="A118:F118"/>
    <mergeCell ref="A5:F5"/>
    <mergeCell ref="A45:F45"/>
    <mergeCell ref="A105:F105"/>
    <mergeCell ref="A127:F127"/>
    <mergeCell ref="A3:F3"/>
    <mergeCell ref="A64:F64"/>
  </mergeCells>
  <dataValidations count="2">
    <dataValidation sqref="C107:C116 D7:D22 D26:D43 D47:D62" showDropDown="0" showInputMessage="1" showErrorMessage="1" allowBlank="1" type="list">
      <formula1>"☐ Not Started,⏳ In Progress,✓ Complete,⚠ Blocked,✗ Not Applicable"</formula1>
    </dataValidation>
    <dataValidation sqref="D66:D80" showDropDown="0" showInputMessage="1" showErrorMessage="1" allowBlank="1" type="list">
      <formula1>"Yes,No,Pending"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2" customWidth="1" style="1" min="1" max="1"/>
    <col width="35" customWidth="1" style="1" min="2" max="2"/>
    <col width="12" customWidth="1" style="1" min="3" max="3"/>
    <col width="22" customWidth="1" style="1" min="4" max="4"/>
    <col width="50" customWidth="1" style="1" min="5" max="5"/>
  </cols>
  <sheetData>
    <row r="1">
      <c r="A1" s="82" t="inlineStr">
        <is>
          <t>Dependency Heat Map — Applications by Cluster and Coupling Level</t>
        </is>
      </c>
    </row>
    <row r="2">
      <c r="A2" s="83" t="inlineStr">
        <is>
          <t>Cluster ID</t>
        </is>
      </c>
      <c r="B2" s="83" t="inlineStr">
        <is>
          <t>Application Name</t>
        </is>
      </c>
      <c r="C2" s="83" t="inlineStr">
        <is>
          <t>App Tier</t>
        </is>
      </c>
      <c r="D2" s="83" t="inlineStr">
        <is>
          <t>Coupling Level</t>
        </is>
      </c>
      <c r="E2" s="83" t="inlineStr">
        <is>
          <t>Notes</t>
        </is>
      </c>
    </row>
    <row r="3">
      <c r="A3" s="84" t="inlineStr">
        <is>
          <t>C001</t>
        </is>
      </c>
      <c r="B3" s="84" t="inlineStr">
        <is>
          <t>[App Name - from inventory]</t>
        </is>
      </c>
      <c r="C3" s="84" t="inlineStr">
        <is>
          <t>Tier 1</t>
        </is>
      </c>
      <c r="D3" s="85" t="inlineStr">
        <is>
          <t>Tightly Coupled</t>
        </is>
      </c>
      <c r="E3" s="84" t="inlineStr">
        <is>
          <t>Cannot migrate independently - shares DB with C001-B</t>
        </is>
      </c>
    </row>
    <row r="4">
      <c r="A4" s="86" t="inlineStr">
        <is>
          <t>C001</t>
        </is>
      </c>
      <c r="B4" s="86" t="inlineStr">
        <is>
          <t>[App Name - from inventory]</t>
        </is>
      </c>
      <c r="C4" s="86" t="inlineStr">
        <is>
          <t>Tier 2</t>
        </is>
      </c>
      <c r="D4" s="85" t="inlineStr">
        <is>
          <t>Tightly Coupled</t>
        </is>
      </c>
      <c r="E4" s="86" t="inlineStr">
        <is>
          <t>C001 cluster must move together in same wave</t>
        </is>
      </c>
    </row>
    <row r="5">
      <c r="A5" s="84" t="inlineStr">
        <is>
          <t>C002</t>
        </is>
      </c>
      <c r="B5" s="84" t="inlineStr">
        <is>
          <t>[App Name - from inventory]</t>
        </is>
      </c>
      <c r="C5" s="84" t="inlineStr">
        <is>
          <t>Tier 3</t>
        </is>
      </c>
      <c r="D5" s="87" t="inlineStr">
        <is>
          <t>Loosely Coupled</t>
        </is>
      </c>
      <c r="E5" s="84" t="inlineStr">
        <is>
          <t>Soft dependency - can migrate in adjacent wave</t>
        </is>
      </c>
    </row>
    <row r="6">
      <c r="A6" s="86" t="inlineStr">
        <is>
          <t>NONE</t>
        </is>
      </c>
      <c r="B6" s="86" t="inlineStr">
        <is>
          <t>[App Name - from inventory]</t>
        </is>
      </c>
      <c r="C6" s="86" t="inlineStr">
        <is>
          <t>Tier 3</t>
        </is>
      </c>
      <c r="D6" s="88" t="inlineStr">
        <is>
          <t>Independent</t>
        </is>
      </c>
      <c r="E6" s="86" t="inlineStr">
        <is>
          <t>No dependencies - Wave 0 PoC candidate</t>
        </is>
      </c>
    </row>
    <row r="7" ht="20" customHeight="1" s="1">
      <c r="A7" s="89" t="inlineStr">
        <is>
          <t>Legend:</t>
        </is>
      </c>
      <c r="B7" s="90" t="inlineStr">
        <is>
          <t>Tightly Coupled = must migrate in same wave</t>
        </is>
      </c>
      <c r="C7" s="91" t="inlineStr">
        <is>
          <t>Loosely Coupled = adjacent wave</t>
        </is>
      </c>
      <c r="D7" s="92" t="inlineStr">
        <is>
          <t>Independent = any wave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2026-04-25T12:28:24Z</dcterms:created>
  <dcterms:modified xmlns:dcterms="http://purl.org/dc/terms/" xmlns:xsi="http://www.w3.org/2001/XMLSchema-instance" xsi:type="dcterms:W3CDTF">2026-06-03T05:46:06Z</dcterms:modified>
  <cp:lastModifiedBy>Upendra Kumar</cp:lastModifiedBy>
  <cp:revision>0</cp:revision>
</cp:coreProperties>
</file>