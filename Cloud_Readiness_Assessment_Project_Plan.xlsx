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axglobal-my.sharepoint.com/personal/upendra_kumar_rackspace_com1/Documents/Projects/DMG/Cloud Readiness acceleartor/"/>
    </mc:Choice>
  </mc:AlternateContent>
  <xr:revisionPtr revIDLastSave="636" documentId="11_92844F071E1830A0AD2C9C2BB43D120677E39E15" xr6:coauthVersionLast="47" xr6:coauthVersionMax="47" xr10:uidLastSave="{7AF4025B-F7D7-4FC9-AA12-25BD8DAA265D}"/>
  <bookViews>
    <workbookView xWindow="28680" yWindow="-120" windowWidth="29040" windowHeight="15720" tabRatio="500" xr2:uid="{00000000-000D-0000-FFFF-FFFF00000000}"/>
  </bookViews>
  <sheets>
    <sheet name="Cover" sheetId="1" r:id="rId1"/>
    <sheet name="Assumptions" sheetId="2" r:id="rId2"/>
    <sheet name="Phase Summary" sheetId="3" r:id="rId3"/>
    <sheet name="WBS &amp; Gantt" sheetId="4" r:id="rId4"/>
    <sheet name="RACI" sheetId="5" r:id="rId5"/>
    <sheet name="Resource Plan" sheetId="6" r:id="rId6"/>
    <sheet name="Risk Register" sheetId="7" r:id="rId7"/>
    <sheet name="Deliverable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3" l="1"/>
  <c r="F12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G51" i="4"/>
  <c r="D9" i="6"/>
</calcChain>
</file>

<file path=xl/sharedStrings.xml><?xml version="1.0" encoding="utf-8"?>
<sst xmlns="http://schemas.openxmlformats.org/spreadsheetml/2006/main" count="730" uniqueCount="384">
  <si>
    <t>Cloud Readiness Assessment — Project Plan</t>
  </si>
  <si>
    <t>Document Title</t>
  </si>
  <si>
    <t>Cloud Readiness Assessment — Project Plan &amp; Timeline</t>
  </si>
  <si>
    <t>Version</t>
  </si>
  <si>
    <t>1.0</t>
  </si>
  <si>
    <t>Status</t>
  </si>
  <si>
    <t>Draft for Review</t>
  </si>
  <si>
    <t>Prepared By</t>
  </si>
  <si>
    <t>Cloud Solutions Architecture Team</t>
  </si>
  <si>
    <t>Prepared For</t>
  </si>
  <si>
    <t>[Customer Name]</t>
  </si>
  <si>
    <t>Date Prepared</t>
  </si>
  <si>
    <t>April 25, 2026</t>
  </si>
  <si>
    <t>Engagement Type</t>
  </si>
  <si>
    <t>Cloud Readiness Assessment (Default Profile)</t>
  </si>
  <si>
    <t>Target Hyperscaler</t>
  </si>
  <si>
    <t>Microsoft Azure (primary), AWS / GCP (comparative)</t>
  </si>
  <si>
    <t>Estate Size (assumed)</t>
  </si>
  <si>
    <t>Primary Discovery Tool</t>
  </si>
  <si>
    <t>Azure Migrate (Server Assessment) + RVTools / native exports</t>
  </si>
  <si>
    <t>Total Elapsed Duration</t>
  </si>
  <si>
    <t>16 weeks (~4 months) with parallelized workstreams</t>
  </si>
  <si>
    <t>Right-Sizing Data Window</t>
  </si>
  <si>
    <t>Minimum 2 weeks; target 4 weeks for weekly seasonality</t>
  </si>
  <si>
    <t>Workbook Contents</t>
  </si>
  <si>
    <t>Cover</t>
  </si>
  <si>
    <t>Document control, engagement profile, and key parameters.</t>
  </si>
  <si>
    <t>Assumptions</t>
  </si>
  <si>
    <t>Engagement assumptions, estate profile, and constraints driving the plan.</t>
  </si>
  <si>
    <t>Phase Summary</t>
  </si>
  <si>
    <t>Phase-level durations, dates, and effort with audit notes from the Sr Director review.</t>
  </si>
  <si>
    <t>WBS &amp; Gantt</t>
  </si>
  <si>
    <t>Detailed Work Breakdown Structure with task-level Gantt visualization across 18 weeks.</t>
  </si>
  <si>
    <t>RACI</t>
  </si>
  <si>
    <t>Roles and responsibilities matrix across all major activities.</t>
  </si>
  <si>
    <t>Resource Plan</t>
  </si>
  <si>
    <t>Roles, allocation %, and effort across the engagement.</t>
  </si>
  <si>
    <t>Risk Register</t>
  </si>
  <si>
    <t>Top risks with likelihood, impact, mitigation, and owner.</t>
  </si>
  <si>
    <t>Deliverables</t>
  </si>
  <si>
    <t>Phase-mapped deliverables with acceptance criteria.</t>
  </si>
  <si>
    <t>Engagement Assumptions &amp; Estate Profile</t>
  </si>
  <si>
    <t>Estate &amp; Scope</t>
  </si>
  <si>
    <t>#</t>
  </si>
  <si>
    <t>Assumption</t>
  </si>
  <si>
    <t>Detail</t>
  </si>
  <si>
    <t>Estate size</t>
  </si>
  <si>
    <t>Datacenters / sites</t>
  </si>
  <si>
    <t>2 – 3 primary datacenters; up to 2 small remote / colocation sites.</t>
  </si>
  <si>
    <t>Workload mix</t>
  </si>
  <si>
    <t>~70% virtualized (VMware vSphere primarily, some Hyper-V); ~20% physical; ~10% PaaS/SaaS already.</t>
  </si>
  <si>
    <t>OS mix</t>
  </si>
  <si>
    <t>~60% Windows Server (2012 R2 → 2022); ~40% Linux (RHEL, Ubuntu, SUSE).</t>
  </si>
  <si>
    <t>Application count</t>
  </si>
  <si>
    <t>150 – 400 distinct business applications, mix of COTS and custom.</t>
  </si>
  <si>
    <t>In-scope domains</t>
  </si>
  <si>
    <t>Compute, storage, networking, identity, data, application portfolio, security &amp; compliance posture, FinOps baseline.</t>
  </si>
  <si>
    <t>Out of scope (default)</t>
  </si>
  <si>
    <t>Detailed migration execution, code refactoring, application modernization PoCs, end-user computing, IoT/OT estate.</t>
  </si>
  <si>
    <t>Hyperscaler &amp; Tooling</t>
  </si>
  <si>
    <t>Primary target</t>
  </si>
  <si>
    <t>Microsoft Azure (Landing Zone aligned to Azure Cloud Adoption Framework).</t>
  </si>
  <si>
    <t>Comparative target</t>
  </si>
  <si>
    <t>AWS and GCP TCO comparison at portfolio level (not workload level) unless customer requests deep dive.</t>
  </si>
  <si>
    <t>Discovery tooling — primary</t>
  </si>
  <si>
    <t>Azure Migrate appliance (Server Assessment + Dependency Analysis) for VMware/Hyper-V/Physical.</t>
  </si>
  <si>
    <t>Discovery tooling — supplemental</t>
  </si>
  <si>
    <t>RVTools (vSphere export), native cloud-side scanners for AWS/GCP if hybrid, SQL Server Assessment, App Service Migration Assistant.</t>
  </si>
  <si>
    <t>Application discovery</t>
  </si>
  <si>
    <t>Azure Migrate Dependency Analysis (agentless preferred; agent-based for deeper insight on critical apps only).</t>
  </si>
  <si>
    <t>Pricing &amp; FinOps</t>
  </si>
  <si>
    <t>Azure Pricing Calculator, Azure TCO Calculator, ACM/Cost Mgmt for current state where Azure already used; AWS Pricing Calculator and GCP Pricing Calculator for comparative view.</t>
  </si>
  <si>
    <t>Discovery Data Quality (Sr Director audit)</t>
  </si>
  <si>
    <t>Right-sizing data window — floor</t>
  </si>
  <si>
    <t>MINIMUM 2 weeks of continuous utilization data before issuing right-sizing recommendations with confidence.</t>
  </si>
  <si>
    <t>Right-sizing data window — target</t>
  </si>
  <si>
    <t>4 weeks recommended to capture weekly seasonality (e.g., month-end batch jobs, weekend reporting cycles).</t>
  </si>
  <si>
    <t>Discovery setup buffer</t>
  </si>
  <si>
    <t>3 weeks budgeted for tooling stand-up — accounts for CAB lead time on firewall changes (typically 5–10 business days), service account provisioning, and appliance certification.</t>
  </si>
  <si>
    <t>Discovery troubleshooting buffer</t>
  </si>
  <si>
    <t>1 week embedded in Phase 1 for known data-capture issues: on-prem firewall egress blocks, WMI/SSH/SNMP failures, OS-level GPO/PowerShell execution policy restrictions, sudoers misconfiguration.</t>
  </si>
  <si>
    <t>Re-discovery contingency</t>
  </si>
  <si>
    <t>Assume 10–15% of in-scope servers will require re-discovery cycles due to credential, network, or agent issues. Built into Phase 2 duration.</t>
  </si>
  <si>
    <t>Inventory completeness target</t>
  </si>
  <si>
    <t>&gt;= 95% of in-scope servers with utilization data; &gt;= 90% with dependency data. Below this, Phase 4 right-sizing is flagged as low-confidence.</t>
  </si>
  <si>
    <t>Customer &amp; Governance</t>
  </si>
  <si>
    <t>Change management</t>
  </si>
  <si>
    <t>Customer follows a formal CAB process. Firewall/network change requests require 5–10 business day lead time; built into Phase 1.</t>
  </si>
  <si>
    <t>Stakeholder availability</t>
  </si>
  <si>
    <t>Application owners assumed available 2–3 hours/week per app for interviews. Limited availability is the #1 critical-path risk.</t>
  </si>
  <si>
    <t>Decision cadence</t>
  </si>
  <si>
    <t>Weekly Steering Committee, bi-weekly executive readout, daily stand-up within delivery team.</t>
  </si>
  <si>
    <t>Travel / on-site</t>
  </si>
  <si>
    <t>Discovery setup and final readouts on-site; majority of work delivered remotely.</t>
  </si>
  <si>
    <t>Languages / regions</t>
  </si>
  <si>
    <t>Single primary geography assumed. Multi-region adds 2–3 weeks (data residency, latency studies).</t>
  </si>
  <si>
    <t>Commercial &amp; Delivery</t>
  </si>
  <si>
    <t>Engagement model</t>
  </si>
  <si>
    <t>Time &amp; Materials with not-to-exceed cap, milestone-based invoicing.</t>
  </si>
  <si>
    <t>Team mix</t>
  </si>
  <si>
    <t>Working calendar</t>
  </si>
  <si>
    <t>5-day work week, US holidays observed. Plan does NOT compress for hero schedules.</t>
  </si>
  <si>
    <t>Quality gate</t>
  </si>
  <si>
    <t>Each phase has a formal exit gate with stakeholder sign-off before next phase commences.</t>
  </si>
  <si>
    <t>Phase Summary — Durations &amp; Audit Notes</t>
  </si>
  <si>
    <t>Phase</t>
  </si>
  <si>
    <t>Duration (wks)</t>
  </si>
  <si>
    <t>Start</t>
  </si>
  <si>
    <t>End</t>
  </si>
  <si>
    <t>Effort (PD)</t>
  </si>
  <si>
    <t>0</t>
  </si>
  <si>
    <t>Initiate &amp; Mobilize</t>
  </si>
  <si>
    <t>Tight but realistic. Assumes contracts already signed and team identified. If MSA negotiation is open, add 2 weeks.</t>
  </si>
  <si>
    <t>1</t>
  </si>
  <si>
    <t>Discovery — Tooling Setup</t>
  </si>
  <si>
    <t>Includes 5–10 business day CAB buffer for firewall changes plus 1-week troubleshooting reserve for OS-level access issues. Compressing this is the #1 cause of unreliable data downstream.</t>
  </si>
  <si>
    <t>2</t>
  </si>
  <si>
    <t>Discovery — Data Collection</t>
  </si>
  <si>
    <t>Hard floor: 2 weeks utilization data for confident right-sizing; targeting 4 weeks to capture weekly seasonality (month-end, payroll, reporting cycles). Includes 1-week buffer for re-discovery on ~10–15% of estate.</t>
  </si>
  <si>
    <t>3</t>
  </si>
  <si>
    <t>Analysis — Application &amp; Infra Profiling</t>
  </si>
  <si>
    <t>Runs in parallel with the back half of Phase 2. Critical-path risk is application-owner availability (2–3 hrs/wk per app). Do NOT shorten.</t>
  </si>
  <si>
    <t>4</t>
  </si>
  <si>
    <t>Evaluation — Right-Sizing &amp; TCO</t>
  </si>
  <si>
    <t>Cannot start until Phase 2 has 2+ weeks of clean utilization data. Pricing modeling, RI/Savings Plan strategy, license optimization (Azure Hybrid Benefit), and 6Rs disposition.</t>
  </si>
  <si>
    <t>5</t>
  </si>
  <si>
    <t>Planning — Migration Waves &amp; Roadmap</t>
  </si>
  <si>
    <t>Wave grouping driven by dependency analysis output. Tighter window acceptable because heavy lifting was done in Phase 3–4.</t>
  </si>
  <si>
    <t>6</t>
  </si>
  <si>
    <t>Readiness Report &amp; Recommendations</t>
  </si>
  <si>
    <t>7</t>
  </si>
  <si>
    <t>Stakeholder Review &amp; Sign-off</t>
  </si>
  <si>
    <t>TOTAL ELAPSED (parallelized)</t>
  </si>
  <si>
    <t>Sequential total would be 22 weeks; parallelization of Phase 2/3 saves ~6 weeks without compromising data quality.</t>
  </si>
  <si>
    <t>WBS</t>
  </si>
  <si>
    <t>Task</t>
  </si>
  <si>
    <t>Owner</t>
  </si>
  <si>
    <t>Start Wk</t>
  </si>
  <si>
    <t>Dur (wks)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</si>
  <si>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</si>
  <si>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</si>
  <si>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</si>
  <si>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</si>
  <si>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</si>
  <si>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</si>
  <si>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</si>
  <si>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</si>
  <si>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</si>
  <si>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</si>
  <si>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</si>
  <si>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</si>
  <si>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</si>
  <si>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</si>
  <si>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</si>
  <si>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</si>
  <si>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Project kickoff, charter, and communication plan</t>
  </si>
  <si>
    <t>0. Initiate</t>
  </si>
  <si>
    <t>PM</t>
  </si>
  <si>
    <t>Stakeholder identification and RACI sign-off</t>
  </si>
  <si>
    <t>Tooling licensing and environment access requests</t>
  </si>
  <si>
    <t>Steering committee and governance cadence established</t>
  </si>
  <si>
    <t>Detailed plan baseline and risk register v1</t>
  </si>
  <si>
    <t>Phase 0 exit gate review</t>
  </si>
  <si>
    <t>PM / Steering</t>
  </si>
  <si>
    <t>Discovery architecture and tooling design</t>
  </si>
  <si>
    <t>1. Discovery Setup</t>
  </si>
  <si>
    <t>CAB submission for firewall/network changes</t>
  </si>
  <si>
    <t>Service accounts, credentials, vault setup</t>
  </si>
  <si>
    <t>Azure Migrate appliance deployment (per site)</t>
  </si>
  <si>
    <t>Initial discovery test — connectivity &amp; data flow</t>
  </si>
  <si>
    <t>Troubleshoot data-capture gaps (firewall/OS/credentials)</t>
  </si>
  <si>
    <t>Phase 1 exit gate — discovery operational</t>
  </si>
  <si>
    <t>Continuous infrastructure inventory collection</t>
  </si>
  <si>
    <t>2. Discovery Data</t>
  </si>
  <si>
    <t>Utilization data collection (min 2 wks, target 4 wks)</t>
  </si>
  <si>
    <t>Daily appliance health checks and re-sync</t>
  </si>
  <si>
    <t>Re-discovery cycles for ~10–15% of estate</t>
  </si>
  <si>
    <t>Application dependency mapping (agentless)</t>
  </si>
  <si>
    <t>Inventory completeness validation (&gt;=95%)</t>
  </si>
  <si>
    <t>Phase 2 exit gate — data sufficient for analysis</t>
  </si>
  <si>
    <t>Application owner interviews and questionnaires</t>
  </si>
  <si>
    <t>3. Analysis</t>
  </si>
  <si>
    <t>Business criticality and tier classification</t>
  </si>
  <si>
    <t>Compliance, regulatory, and data residency review</t>
  </si>
  <si>
    <t>Infrastructure profiling and pattern analysis</t>
  </si>
  <si>
    <t>Integration and external dependency mapping</t>
  </si>
  <si>
    <t>6Rs disposition draft (Rehost / Replatform / etc.)</t>
  </si>
  <si>
    <t>Phase 3 exit gate — analysis package validated</t>
  </si>
  <si>
    <t>Right-sizing recommendations (req 2+ wks data)</t>
  </si>
  <si>
    <t>4. Evaluation</t>
  </si>
  <si>
    <t>Azure landing zone target architecture (CAF aligned)</t>
  </si>
  <si>
    <t>TCO model — Azure (5-yr, with RI/SP, AHB)</t>
  </si>
  <si>
    <t>Comparative TCO — AWS and GCP (portfolio level)</t>
  </si>
  <si>
    <t>License optimization analysis (AHB, BYOL, RHEL)</t>
  </si>
  <si>
    <t>Security &amp; compliance gap analysis</t>
  </si>
  <si>
    <t>Phase 4 exit gate — evaluation reviewed</t>
  </si>
  <si>
    <t>Migration wave grouping (dependency-driven)</t>
  </si>
  <si>
    <t>5. Planning</t>
  </si>
  <si>
    <t>Wave-level migration approach and effort estimates</t>
  </si>
  <si>
    <t>Risk assessment and rollback strategy</t>
  </si>
  <si>
    <t>High-level migration roadmap and Gantt</t>
  </si>
  <si>
    <t>Phase 5 exit gate — wave plan approved</t>
  </si>
  <si>
    <t>Executive summary and business case authoring</t>
  </si>
  <si>
    <t>6. Report</t>
  </si>
  <si>
    <t>Technical findings and recommendations doc</t>
  </si>
  <si>
    <t>Internal QA and peer review</t>
  </si>
  <si>
    <t>Customer-ready deliverable package</t>
  </si>
  <si>
    <t>Technical workshop walkthrough with customer</t>
  </si>
  <si>
    <t>7. Sign-off</t>
  </si>
  <si>
    <t>Revisions based on technical feedback</t>
  </si>
  <si>
    <t>Executive readout and Q&amp;A</t>
  </si>
  <si>
    <t>Final sign-off and engagement closeout</t>
  </si>
  <si>
    <t>TOTAL EFFORT (person-days)</t>
  </si>
  <si>
    <t>RACI — Roles &amp; Responsibilities</t>
  </si>
  <si>
    <t>Activity</t>
  </si>
  <si>
    <t>Exec Sponsor</t>
  </si>
  <si>
    <t>Steering Committee</t>
  </si>
  <si>
    <t>Customer App Owners</t>
  </si>
  <si>
    <t>Engagement governance &amp; escalation</t>
  </si>
  <si>
    <t>A</t>
  </si>
  <si>
    <t>C</t>
  </si>
  <si>
    <t>R</t>
  </si>
  <si>
    <t>I</t>
  </si>
  <si>
    <t>Stakeholder management</t>
  </si>
  <si>
    <t>Discovery tooling design</t>
  </si>
  <si>
    <t>Firewall / network change requests</t>
  </si>
  <si>
    <t>Appliance deployment</t>
  </si>
  <si>
    <t>Discovery troubleshooting</t>
  </si>
  <si>
    <t>Utilization data collection</t>
  </si>
  <si>
    <t>Application dependency mapping</t>
  </si>
  <si>
    <t>Application owner interviews</t>
  </si>
  <si>
    <t>Business criticality &amp; tiering</t>
  </si>
  <si>
    <t>Compliance &amp; data residency review</t>
  </si>
  <si>
    <t>Right-sizing recommendations</t>
  </si>
  <si>
    <t>Landing zone target architecture</t>
  </si>
  <si>
    <t>TCO modeling — Azure / AWS / GCP</t>
  </si>
  <si>
    <t>License optimization (AHB, BYOL)</t>
  </si>
  <si>
    <t>Migration wave planning</t>
  </si>
  <si>
    <t>Risk register maintenance</t>
  </si>
  <si>
    <t>Readiness report authoring</t>
  </si>
  <si>
    <t>Executive readout</t>
  </si>
  <si>
    <t>Final acceptance &amp; sign-off</t>
  </si>
  <si>
    <t>Legend</t>
  </si>
  <si>
    <t>Responsible — does the work</t>
  </si>
  <si>
    <t>Accountable — single point of approval</t>
  </si>
  <si>
    <t>Consulted — provides input</t>
  </si>
  <si>
    <t>Informed — kept up to date</t>
  </si>
  <si>
    <t>Resource Plan — Allocation &amp; Effort</t>
  </si>
  <si>
    <t>Role</t>
  </si>
  <si>
    <t>Allocation %</t>
  </si>
  <si>
    <t>Weeks Active</t>
  </si>
  <si>
    <t>Total PD</t>
  </si>
  <si>
    <t>Notes</t>
  </si>
  <si>
    <t>Engagement / Project Manager</t>
  </si>
  <si>
    <t>Drives plan, governance, status, risk register. Active across all phases.</t>
  </si>
  <si>
    <t>Lead Cloud Solutions Architect</t>
  </si>
  <si>
    <t>TOTAL</t>
  </si>
  <si>
    <t>Note: Rates shown are illustrative blended day rates. Replace with negotiated rates per the customer MSA / SOW.</t>
  </si>
  <si>
    <t>ID</t>
  </si>
  <si>
    <t>Risk</t>
  </si>
  <si>
    <t>Category</t>
  </si>
  <si>
    <t>Likelihood (1-5)</t>
  </si>
  <si>
    <t>Impact (1-5)</t>
  </si>
  <si>
    <t>Score</t>
  </si>
  <si>
    <t>Mitigation</t>
  </si>
  <si>
    <t>R01</t>
  </si>
  <si>
    <t>Firewall / network change requests delayed beyond 10-day CAB lead time, blocking discovery appliance.</t>
  </si>
  <si>
    <t>Discovery</t>
  </si>
  <si>
    <t>Submit CAB requests on Day 1 of Phase 0 (not Phase 1). Pre-stage all required ports/IPs in writing. Escalation path defined with customer Network Director.</t>
  </si>
  <si>
    <t>R02</t>
  </si>
  <si>
    <t>OS-level restrictions (PowerShell ExecutionPolicy, sudoers, GPO lockdown) prevent agent or WMI/SSH discovery on subset of hosts.</t>
  </si>
  <si>
    <t>Embed 1-week troubleshooting buffer in Phase 1. Pre-validate access on a 10-host pilot before full rollout. Have agent-based fallback ready for problem hosts.</t>
  </si>
  <si>
    <t>R03</t>
  </si>
  <si>
    <t>Less than 2 weeks of clean utilization data captured before Phase 4 right-sizing kickoff, undermining recommendation confidence.</t>
  </si>
  <si>
    <t>Data Quality</t>
  </si>
  <si>
    <t>HARD GATE: Phase 4 cannot start until 2-week data threshold met. PM tracks daily on the dashboard. Escalate to Steering if slipping.</t>
  </si>
  <si>
    <t>R04</t>
  </si>
  <si>
    <t>Application owners unavailable for interview windows, slowing Phase 3 dependency and criticality work.</t>
  </si>
  <si>
    <t>Stakeholder</t>
  </si>
  <si>
    <t>Customer-side scheduling commitment built into Phase 0. Steering committee escalation if owner participation drops below 80% in any week.</t>
  </si>
  <si>
    <t>R05</t>
  </si>
  <si>
    <t>CMDB data is stale or incomplete, requiring extensive manual reconciliation.</t>
  </si>
  <si>
    <t>Pre-engagement CMDB sample review during Phase 0. Discovery output treated as authoritative; CMDB used for reconciliation only.</t>
  </si>
  <si>
    <t>R06</t>
  </si>
  <si>
    <t>Scope expansion mid-engagement (new sites, new apps, new compliance requirements).</t>
  </si>
  <si>
    <t>Scope</t>
  </si>
  <si>
    <t>Formal change control via SOW change order. Steering must approve any scope additions; impact on timeline and cost is transparently modeled.</t>
  </si>
  <si>
    <t>R07</t>
  </si>
  <si>
    <t>Customer security team withholds credentials needed for deeper application discovery.</t>
  </si>
  <si>
    <t>Service account requirements documented and approved in Phase 0. Privileged Access Workstation (PAW) approach offered. Vault-based credentials used.</t>
  </si>
  <si>
    <t>R08</t>
  </si>
  <si>
    <t>Right-sizing recommendations conflict with application owner sizing assumptions, eroding trust.</t>
  </si>
  <si>
    <t>Always present P95 utilization plus headroom; show methodology transparently. Frame as starting point, with right-of-refusal per workload owner.</t>
  </si>
  <si>
    <t>R09</t>
  </si>
  <si>
    <t>Comparative AWS/GCP TCO becomes the focus and dilutes the Azure-primary recommendation.</t>
  </si>
  <si>
    <t>Commercial</t>
  </si>
  <si>
    <t>Frame comparative TCO at portfolio level only. Detailed workload-level multi-cloud requires separate engagement scope.</t>
  </si>
  <si>
    <t>R10</t>
  </si>
  <si>
    <t>Holiday / freeze periods reduce effective working weeks during Phase 2 data collection.</t>
  </si>
  <si>
    <t>Schedule</t>
  </si>
  <si>
    <t>Calendar reviewed in Phase 0. If freeze overlaps Phase 2, either extend window or start data collection earlier (with appliance live first).</t>
  </si>
  <si>
    <t>R11</t>
  </si>
  <si>
    <t>Network or storage subsystem in Phase 4 right-sizing is materially undersized due to lack of peak-event capture (e.g., no month-end captured).</t>
  </si>
  <si>
    <t>Target 4-week data window (covers month-end). Where 2-week window only, recommendations explicitly flagged 'medium confidence' with sensitivity range.</t>
  </si>
  <si>
    <t>R12</t>
  </si>
  <si>
    <t>Customer change in executive sponsorship mid-engagement.</t>
  </si>
  <si>
    <t>Governance</t>
  </si>
  <si>
    <t>Steering committee includes deputy sponsor. Knowledge transfer plan triggered on any leadership change.</t>
  </si>
  <si>
    <t>Deliverables — Phase Mapped</t>
  </si>
  <si>
    <t>Deliverable</t>
  </si>
  <si>
    <t>Format</t>
  </si>
  <si>
    <t>Acceptance Criteria</t>
  </si>
  <si>
    <t>Project Charter</t>
  </si>
  <si>
    <t>DOCX</t>
  </si>
  <si>
    <t>Sponsor signature on charter; objectives and success criteria agreed.</t>
  </si>
  <si>
    <t>Detailed Project Plan &amp; RACI</t>
  </si>
  <si>
    <t>XLSX</t>
  </si>
  <si>
    <t>Steering approval of timeline, resources, and gates.</t>
  </si>
  <si>
    <t>Communication Plan</t>
  </si>
  <si>
    <t>Cadence and audiences agreed by stakeholders.</t>
  </si>
  <si>
    <t>Discovery Architecture Design</t>
  </si>
  <si>
    <t>Lead Architect approval; tooling, ports, accounts documented.</t>
  </si>
  <si>
    <t>Tooling Operational Confirmation</t>
  </si>
  <si>
    <t>Memo</t>
  </si>
  <si>
    <t>Successful test discovery on &gt;= 95% of pilot scope.</t>
  </si>
  <si>
    <t>2. Discovery</t>
  </si>
  <si>
    <t>Inventory Dataset</t>
  </si>
  <si>
    <t>XLSX / CSV</t>
  </si>
  <si>
    <t>Coverage &gt;= 95% of in-scope servers; reconciled with CMDB.</t>
  </si>
  <si>
    <t>Utilization Dataset</t>
  </si>
  <si>
    <t>Min 2 weeks (target 4 weeks) of CPU/Mem/Disk/Net per server.</t>
  </si>
  <si>
    <t>Dependency Map</t>
  </si>
  <si>
    <t>Visio / XLSX</t>
  </si>
  <si>
    <t>Coverage &gt;= 90% of in-scope servers; dependency direction validated.</t>
  </si>
  <si>
    <t>Application Portfolio Profile</t>
  </si>
  <si>
    <t>All in-scope apps tiered, criticality assigned, owners confirmed.</t>
  </si>
  <si>
    <t>Compliance &amp; Data Residency Findings</t>
  </si>
  <si>
    <t>Customer Security Officer review and concurrence.</t>
  </si>
  <si>
    <t>6Rs Disposition Draft</t>
  </si>
  <si>
    <t>Disposition rationale documented per app; reviewed by Lead Arch.</t>
  </si>
  <si>
    <t>Right-Sizing Recommendations</t>
  </si>
  <si>
    <t>Per-server target SKU with confidence level (high/med/low).</t>
  </si>
  <si>
    <t>Azure Landing Zone Target Architecture</t>
  </si>
  <si>
    <t>DOCX + Visio</t>
  </si>
  <si>
    <t>CAF-aligned, customer Cloud Architect concurrence.</t>
  </si>
  <si>
    <t>TCO Model — Azure</t>
  </si>
  <si>
    <t>5-yr TCO with RI/SP scenarios, Azure Hybrid Benefit applied.</t>
  </si>
  <si>
    <t>Comparative TCO — AWS / GCP</t>
  </si>
  <si>
    <t>Portfolio-level comparison with explicit assumptions documented.</t>
  </si>
  <si>
    <t>Migration Wave Plan</t>
  </si>
  <si>
    <t>Waves grouped by dependency; effort estimates per wave.</t>
  </si>
  <si>
    <t>Risk &amp; Rollback Strategy</t>
  </si>
  <si>
    <t>Mitigations and rollback approach per wave.</t>
  </si>
  <si>
    <t>Executive Summary</t>
  </si>
  <si>
    <t>DOCX / PPTX</t>
  </si>
  <si>
    <t>Sponsor-ready; business case included.</t>
  </si>
  <si>
    <t>Technical Findings &amp; Recommendations</t>
  </si>
  <si>
    <t>Lead Architect peer review complete.</t>
  </si>
  <si>
    <t>Migration Roadmap</t>
  </si>
  <si>
    <t>PPTX / XLSX</t>
  </si>
  <si>
    <t>Aligned with wave plan; phased timeline visible.</t>
  </si>
  <si>
    <t>Final Deliverable Package</t>
  </si>
  <si>
    <t>All formats</t>
  </si>
  <si>
    <t>Customer formal acceptance signature.</t>
  </si>
  <si>
    <t>Technical Consultant</t>
  </si>
  <si>
    <t>Cloud Engineer</t>
  </si>
  <si>
    <t>Phase 3–4 lead — application interviews, criticality, 6Rs, right-sizing, TCO, RI/SP, license optimization.</t>
  </si>
  <si>
    <t>Owns Phase 1–2 (discovery tooling setup, data collection, troubleshooting, dependency mapping).</t>
  </si>
  <si>
    <t>Network Firewall SME</t>
  </si>
  <si>
    <t>Firewall rule changes, CAB submissions, network change requests, and firewall troubleshooting support for discovery.</t>
  </si>
  <si>
    <t>Cloud Engineer + Network Firewall SME</t>
  </si>
  <si>
    <t>Solution authority, target architecture, exit gate sign-off, customer-facing lead. Also covers security/compliance review, gap analysis, network discovery validation, and hybrid connectivity review.</t>
  </si>
  <si>
    <t>PM / Lead Cloud Solutions Architect</t>
  </si>
  <si>
    <t>Technical Consultant + Lead Cloud Solutions Architect</t>
  </si>
  <si>
    <t>Work Breakdown Structure &amp; Gantt — 16 Weeks</t>
  </si>
  <si>
    <t>Compressed to 1 week — requires tight coordination on QA and deliverable finalization. No room for rework.</t>
  </si>
  <si>
    <t>Compressed to 1 week — single combined technical + executive session. Customer must pre-commit to decision-ready attendees.</t>
  </si>
  <si>
    <t>1 PM (50%, 16 weeks), 1 Lead Cloud Solutions Architect (75%, 16 weeks), 1 Cloud Engineer (100%, 12 weeks), 1 Technical Consultant (75%, 12 weeks), 1 Network Firewall SME (25%, 5 weeks).</t>
  </si>
  <si>
    <t>R13</t>
  </si>
  <si>
    <t>Compressed Phase 6-7 timeline (2 weeks reduced to 1 week each) leaves no buffer for deliverable rework or stakeholder rescheduling.</t>
  </si>
  <si>
    <t>Pre-schedule all review sessions in Phase 0. Deliverable templates pre-approved. Customer commits to decision-ready attendees. Parallel QA track during Phase 5.</t>
  </si>
  <si>
    <t>Remarks</t>
  </si>
  <si>
    <t>Large enterprise — 3,800 servers</t>
  </si>
  <si>
    <t>3,800 servers (large enterprise). Plan scales for this band; smaller = compress, larger = extend Phase 1–2.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</si>
</sst>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d\,\ mmm\ d\,\ yyyy"/>
  </numFmts>
  <fonts count="17" x14ac:knownFonts="1">
    <font>
      <sz val="11"/>
      <color theme="1"/>
      <name val="Calibri"/>
      <family val="2"/>
      <charset val="1"/>
    </font>
    <font>
      <b/>
      <sz val="18"/>
      <color rgb="FFFFFFFF"/>
      <name val="Calibri"/>
    </font>
    <font>
      <sz val="11"/>
      <color theme="1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4"/>
      <color rgb="FF232F3E"/>
      <name val="Calibri"/>
    </font>
    <font>
      <b/>
      <sz val="16"/>
      <color rgb="FFFFFFFF"/>
      <name val="Calibri"/>
    </font>
    <font>
      <b/>
      <sz val="12"/>
      <color rgb="FF232F3E"/>
      <name val="Calibri"/>
    </font>
    <font>
      <b/>
      <sz val="11"/>
      <color rgb="FFFFFFFF"/>
      <name val="Calibri"/>
    </font>
    <font>
      <b/>
      <sz val="10"/>
      <color rgb="FF232F3E"/>
      <name val="Calibri"/>
    </font>
    <font>
      <sz val="10"/>
      <color theme="1"/>
      <name val="Calibri"/>
    </font>
    <font>
      <b/>
      <sz val="10"/>
      <color rgb="FF1E8449"/>
      <name val="Calibri"/>
    </font>
    <font>
      <b/>
      <sz val="10"/>
      <color rgb="FFB03A2E"/>
      <name val="Calibri"/>
    </font>
    <font>
      <b/>
      <sz val="10"/>
      <color rgb="FF2874A6"/>
      <name val="Calibri"/>
    </font>
    <font>
      <b/>
      <sz val="10"/>
      <color rgb="FF7D7D7D"/>
      <name val="Calibri"/>
    </font>
    <font>
      <i/>
      <sz val="10"/>
      <color rgb="FF595959"/>
      <name val="Calibri"/>
    </font>
    <font>
      <b/>
      <sz val="11"/>
      <color theme="1"/>
      <name val="Calibri"/>
    </font>
  </fonts>
  <fills count="29">
    <fill>
      <patternFill patternType="none"/>
    </fill>
    <fill>
      <patternFill patternType="gray125"/>
    </fill>
    <fill>
      <patternFill patternType="solid">
        <fgColor rgb="FFFFD966"/>
        <bgColor rgb="FFFFE699"/>
      </patternFill>
    </fill>
    <fill>
      <patternFill patternType="solid">
        <fgColor rgb="FFF4B084"/>
        <bgColor rgb="FFF8CBAD"/>
      </patternFill>
    </fill>
    <fill>
      <patternFill patternType="solid">
        <fgColor rgb="FF9DC3E6"/>
        <bgColor rgb="FF8FAADC"/>
      </patternFill>
    </fill>
    <fill>
      <patternFill patternType="solid">
        <fgColor rgb="FFA9D08E"/>
        <bgColor rgb="FFC6E0B4"/>
      </patternFill>
    </fill>
    <fill>
      <patternFill patternType="solid">
        <fgColor rgb="FFB4A7D6"/>
        <bgColor rgb="FF8FAADC"/>
      </patternFill>
    </fill>
    <fill>
      <patternFill patternType="solid">
        <fgColor rgb="FFF8CBAD"/>
        <bgColor rgb="FFFFE699"/>
      </patternFill>
    </fill>
    <fill>
      <patternFill patternType="solid">
        <fgColor rgb="FF8FAADC"/>
        <bgColor rgb="FFB4A7D6"/>
      </patternFill>
    </fill>
    <fill>
      <patternFill patternType="solid">
        <fgColor rgb="FFC6E0B4"/>
        <bgColor rgb="FFD9E2F3"/>
      </patternFill>
    </fill>
    <fill>
      <patternFill patternType="solid">
        <fgColor rgb="FFFFE699"/>
        <bgColor rgb="FFFFD966"/>
      </patternFill>
    </fill>
    <fill>
      <patternFill patternType="solid">
        <fgColor rgb="FFF2F2F2"/>
        <bgColor rgb="FFFFFFFF"/>
      </patternFill>
    </fill>
    <fill>
      <patternFill patternType="solid">
        <fgColor rgb="FF232F3E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37475A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D5DBDB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A9DFBF"/>
        <bgColor indexed="64"/>
      </patternFill>
    </fill>
    <fill>
      <patternFill patternType="solid">
        <fgColor rgb="FFF9E79F"/>
        <bgColor indexed="64"/>
      </patternFill>
    </fill>
    <fill>
      <patternFill patternType="solid">
        <fgColor rgb="FFF5CBA7"/>
        <bgColor indexed="64"/>
      </patternFill>
    </fill>
    <fill>
      <patternFill patternType="solid">
        <fgColor rgb="FFD7BDE2"/>
        <bgColor indexed="64"/>
      </patternFill>
    </fill>
    <fill>
      <patternFill patternType="solid">
        <fgColor rgb="FFF5B7B1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F6B6B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12" borderId="0" xfId="0" applyFont="1" applyFill="1" applyAlignment="1">
      <alignment horizontal="left" vertical="center"/>
    </xf>
    <xf numFmtId="0" fontId="2" fillId="0" borderId="0" xfId="0" applyFont="1"/>
    <xf numFmtId="0" fontId="3" fillId="14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5" fillId="13" borderId="0" xfId="0" applyFont="1" applyFill="1" applyAlignment="1">
      <alignment horizontal="left" vertical="center"/>
    </xf>
    <xf numFmtId="0" fontId="3" fillId="16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12" borderId="0" xfId="0" applyFont="1" applyFill="1" applyAlignment="1">
      <alignment horizontal="left" vertical="center"/>
    </xf>
    <xf numFmtId="0" fontId="7" fillId="13" borderId="0" xfId="0" applyFont="1" applyFill="1" applyAlignment="1">
      <alignment horizontal="left" vertical="center"/>
    </xf>
    <xf numFmtId="0" fontId="8" fillId="17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8" fillId="17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21" borderId="1" xfId="0" applyFont="1" applyFill="1" applyBorder="1" applyAlignment="1">
      <alignment horizontal="left" vertical="center" wrapText="1"/>
    </xf>
    <xf numFmtId="0" fontId="3" fillId="22" borderId="1" xfId="0" applyFont="1" applyFill="1" applyBorder="1" applyAlignment="1">
      <alignment horizontal="left" vertical="center" wrapText="1"/>
    </xf>
    <xf numFmtId="0" fontId="3" fillId="23" borderId="1" xfId="0" applyFont="1" applyFill="1" applyBorder="1" applyAlignment="1">
      <alignment horizontal="left" vertical="center" wrapText="1"/>
    </xf>
    <xf numFmtId="0" fontId="3" fillId="24" borderId="1" xfId="0" applyFont="1" applyFill="1" applyBorder="1" applyAlignment="1">
      <alignment horizontal="left" vertical="center" wrapText="1"/>
    </xf>
    <xf numFmtId="0" fontId="3" fillId="25" borderId="1" xfId="0" applyFont="1" applyFill="1" applyBorder="1" applyAlignment="1">
      <alignment horizontal="left" vertical="center" wrapText="1"/>
    </xf>
    <xf numFmtId="0" fontId="3" fillId="26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7" fillId="13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9" fontId="4" fillId="18" borderId="1" xfId="0" applyNumberFormat="1" applyFont="1" applyFill="1" applyBorder="1" applyAlignment="1">
      <alignment horizontal="center" vertical="center" wrapText="1"/>
    </xf>
    <xf numFmtId="9" fontId="4" fillId="15" borderId="1" xfId="0" applyNumberFormat="1" applyFont="1" applyFill="1" applyBorder="1" applyAlignment="1">
      <alignment horizontal="center" vertical="center" wrapText="1"/>
    </xf>
    <xf numFmtId="0" fontId="15" fillId="27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16" fillId="28" borderId="0" xfId="0" applyFont="1" applyFill="1" applyAlignment="1">
      <alignment horizontal="center"/>
    </xf>
    <xf numFmtId="166" fontId="4" fillId="18" borderId="1" xfId="0" applyNumberFormat="1" applyFont="1" applyFill="1" applyBorder="1" applyAlignment="1">
      <alignment horizontal="center" vertical="center" wrapText="1"/>
    </xf>
    <xf numFmtId="166" fontId="4" fillId="15" borderId="1" xfId="0" applyNumberFormat="1" applyFont="1" applyFill="1" applyBorder="1" applyAlignment="1">
      <alignment horizontal="center" vertical="center" wrapText="1"/>
    </xf>
    <xf numFmtId="166" fontId="9" fillId="1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B08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DC3E6"/>
      <rgbColor rgb="FFF4B084"/>
      <rgbColor rgb="FFB4A7D6"/>
      <rgbColor rgb="FFF8CBAD"/>
      <rgbColor rgb="FF2E75B6"/>
      <rgbColor rgb="FF33CCCC"/>
      <rgbColor rgb="FF99CC00"/>
      <rgbColor rgb="FFFFD966"/>
      <rgbColor rgb="FFFF9900"/>
      <rgbColor rgb="FFFF6600"/>
      <rgbColor rgb="FF595959"/>
      <rgbColor rgb="FFA9D08E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2F3E"/>
  </sheetPr>
  <dimension ref="A1:B24"/>
  <sheetViews>
    <sheetView tabSelected="1" zoomScaleNormal="100" workbookViewId="0">
      <selection activeCell="A11" sqref="A11"/>
    </sheetView>
  </sheetViews>
  <sheetFormatPr defaultColWidth="8.6328125" defaultRowHeight="14.5" x14ac:dyDescent="0.35"/>
  <cols>
    <col min="1" max="1" width="32.7265625" customWidth="1"/>
    <col min="2" max="2" width="81.81640625" customWidth="1"/>
  </cols>
  <sheetData>
    <row r="1" spans="1:2" ht="40" customHeight="1" x14ac:dyDescent="0.35">
      <c r="A1" s="1" t="s">
        <v>0</v>
      </c>
      <c r="B1" s="1"/>
    </row>
    <row r="2" spans="1:2" x14ac:dyDescent="0.35">
      <c r="A2" s="2"/>
      <c r="B2" s="2"/>
    </row>
    <row r="3" spans="1:2" ht="19.5" customHeight="1" x14ac:dyDescent="0.35">
      <c r="A3" s="3" t="s">
        <v>1</v>
      </c>
      <c r="B3" s="4" t="s">
        <v>2</v>
      </c>
    </row>
    <row r="4" spans="1:2" ht="19.5" customHeight="1" x14ac:dyDescent="0.35">
      <c r="A4" s="3" t="s">
        <v>3</v>
      </c>
      <c r="B4" s="4" t="s">
        <v>4</v>
      </c>
    </row>
    <row r="5" spans="1:2" ht="19.5" customHeight="1" x14ac:dyDescent="0.35">
      <c r="A5" s="3" t="s">
        <v>5</v>
      </c>
      <c r="B5" s="4" t="s">
        <v>6</v>
      </c>
    </row>
    <row r="6" spans="1:2" ht="19.5" customHeight="1" x14ac:dyDescent="0.35">
      <c r="A6" s="3" t="s">
        <v>7</v>
      </c>
      <c r="B6" s="4" t="s">
        <v>8</v>
      </c>
    </row>
    <row r="7" spans="1:2" ht="19.5" customHeight="1" x14ac:dyDescent="0.35">
      <c r="A7" s="3" t="s">
        <v>9</v>
      </c>
      <c r="B7" s="4" t="s">
        <v>10</v>
      </c>
    </row>
    <row r="8" spans="1:2" ht="19.5" customHeight="1" x14ac:dyDescent="0.35">
      <c r="A8" s="3" t="s">
        <v>11</v>
      </c>
      <c r="B8" s="4" t="s">
        <v>12</v>
      </c>
    </row>
    <row r="9" spans="1:2" ht="19.5" customHeight="1" x14ac:dyDescent="0.35">
      <c r="A9" s="3" t="s">
        <v>13</v>
      </c>
      <c r="B9" s="4" t="s">
        <v>14</v>
      </c>
    </row>
    <row r="10" spans="1:2" ht="19.5" customHeight="1" x14ac:dyDescent="0.35">
      <c r="A10" s="3" t="s">
        <v>15</v>
      </c>
      <c r="B10" s="4" t="s">
        <v>16</v>
      </c>
    </row>
    <row r="11" spans="1:2" ht="19.5" customHeight="1" x14ac:dyDescent="0.35">
      <c r="A11" s="3" t="s">
        <v>17</v>
      </c>
      <c r="B11" s="4" t="s">
        <v>382</v>
      </c>
    </row>
    <row r="12" spans="1:2" ht="19.5" customHeight="1" x14ac:dyDescent="0.35">
      <c r="A12" s="3" t="s">
        <v>18</v>
      </c>
      <c r="B12" s="4" t="s">
        <v>19</v>
      </c>
    </row>
    <row r="13" spans="1:2" ht="19.5" customHeight="1" x14ac:dyDescent="0.35">
      <c r="A13" s="3" t="s">
        <v>20</v>
      </c>
      <c r="B13" s="4" t="s">
        <v>21</v>
      </c>
    </row>
    <row r="14" spans="1:2" ht="19.5" customHeight="1" x14ac:dyDescent="0.35">
      <c r="A14" s="3" t="s">
        <v>22</v>
      </c>
      <c r="B14" s="4" t="s">
        <v>23</v>
      </c>
    </row>
    <row r="15" spans="1:2" x14ac:dyDescent="0.35">
      <c r="A15" s="2"/>
      <c r="B15" s="2"/>
    </row>
    <row r="16" spans="1:2" ht="30" customHeight="1" x14ac:dyDescent="0.35">
      <c r="A16" s="5" t="s">
        <v>24</v>
      </c>
      <c r="B16" s="5"/>
    </row>
    <row r="17" spans="1:2" ht="21.75" customHeight="1" x14ac:dyDescent="0.35">
      <c r="A17" s="6" t="s">
        <v>25</v>
      </c>
      <c r="B17" s="7" t="s">
        <v>26</v>
      </c>
    </row>
    <row r="18" spans="1:2" ht="21.75" customHeight="1" x14ac:dyDescent="0.35">
      <c r="A18" s="6" t="s">
        <v>27</v>
      </c>
      <c r="B18" s="7" t="s">
        <v>28</v>
      </c>
    </row>
    <row r="19" spans="1:2" ht="21.75" customHeight="1" x14ac:dyDescent="0.35">
      <c r="A19" s="6" t="s">
        <v>29</v>
      </c>
      <c r="B19" s="7" t="s">
        <v>30</v>
      </c>
    </row>
    <row r="20" spans="1:2" ht="21.75" customHeight="1" x14ac:dyDescent="0.35">
      <c r="A20" s="6" t="s">
        <v>31</v>
      </c>
      <c r="B20" s="7" t="s">
        <v>32</v>
      </c>
    </row>
    <row r="21" spans="1:2" ht="21.75" customHeight="1" x14ac:dyDescent="0.35">
      <c r="A21" s="6" t="s">
        <v>33</v>
      </c>
      <c r="B21" s="7" t="s">
        <v>34</v>
      </c>
    </row>
    <row r="22" spans="1:2" ht="21.75" customHeight="1" x14ac:dyDescent="0.35">
      <c r="A22" s="6" t="s">
        <v>35</v>
      </c>
      <c r="B22" s="7" t="s">
        <v>36</v>
      </c>
    </row>
    <row r="23" spans="1:2" ht="21.75" customHeight="1" x14ac:dyDescent="0.35">
      <c r="A23" s="6" t="s">
        <v>37</v>
      </c>
      <c r="B23" s="7" t="s">
        <v>38</v>
      </c>
    </row>
    <row r="24" spans="1:2" ht="21.75" customHeight="1" x14ac:dyDescent="0.35">
      <c r="A24" s="6" t="s">
        <v>39</v>
      </c>
      <c r="B24" s="7" t="s">
        <v>40</v>
      </c>
    </row>
  </sheetData>
  <mergeCells count="2">
    <mergeCell ref="A1:B1"/>
    <mergeCell ref="A16:B16"/>
  </mergeCells>
  <printOptions horizontalCentered="1"/>
  <pageMargins left="0.75" right="0.75" top="1" bottom="1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</sheetPr>
  <dimension ref="A1:C44"/>
  <sheetViews>
    <sheetView zoomScaleNormal="100" workbookViewId="0">
      <selection sqref="A1:C1"/>
    </sheetView>
  </sheetViews>
  <sheetFormatPr defaultColWidth="8.6328125" defaultRowHeight="14.5" x14ac:dyDescent="0.35"/>
  <cols>
    <col min="1" max="1" width="7.26953125" customWidth="1"/>
    <col min="2" max="2" width="36.36328125" customWidth="1"/>
    <col min="3" max="3" width="90.90625" style="20" customWidth="1"/>
  </cols>
  <sheetData>
    <row r="1" spans="1:3" ht="35" customHeight="1" x14ac:dyDescent="0.35">
      <c r="A1" s="8" t="s">
        <v>41</v>
      </c>
      <c r="B1" s="8"/>
      <c r="C1" s="8"/>
    </row>
    <row r="2" spans="1:3" x14ac:dyDescent="0.35">
      <c r="A2" s="18"/>
      <c r="B2" s="18"/>
      <c r="C2" s="19"/>
    </row>
    <row r="3" spans="1:3" ht="28" customHeight="1" x14ac:dyDescent="0.35">
      <c r="A3" s="9" t="s">
        <v>42</v>
      </c>
      <c r="B3" s="9"/>
      <c r="C3" s="9"/>
    </row>
    <row r="4" spans="1:3" ht="22" customHeight="1" x14ac:dyDescent="0.35">
      <c r="A4" s="10" t="s">
        <v>43</v>
      </c>
      <c r="B4" s="10" t="s">
        <v>44</v>
      </c>
      <c r="C4" s="10" t="s">
        <v>45</v>
      </c>
    </row>
    <row r="5" spans="1:3" ht="31.5" customHeight="1" x14ac:dyDescent="0.35">
      <c r="A5" s="11">
        <v>1</v>
      </c>
      <c r="B5" s="12" t="s">
        <v>46</v>
      </c>
      <c r="C5" s="4" t="s">
        <v>383</v>
      </c>
    </row>
    <row r="6" spans="1:3" ht="31.5" customHeight="1" x14ac:dyDescent="0.35">
      <c r="A6" s="13">
        <v>2</v>
      </c>
      <c r="B6" s="14" t="s">
        <v>47</v>
      </c>
      <c r="C6" s="15" t="s">
        <v>48</v>
      </c>
    </row>
    <row r="7" spans="1:3" ht="31.5" customHeight="1" x14ac:dyDescent="0.35">
      <c r="A7" s="11">
        <v>3</v>
      </c>
      <c r="B7" s="12" t="s">
        <v>49</v>
      </c>
      <c r="C7" s="4" t="s">
        <v>50</v>
      </c>
    </row>
    <row r="8" spans="1:3" ht="31.5" customHeight="1" x14ac:dyDescent="0.35">
      <c r="A8" s="13">
        <v>4</v>
      </c>
      <c r="B8" s="14" t="s">
        <v>51</v>
      </c>
      <c r="C8" s="15" t="s">
        <v>52</v>
      </c>
    </row>
    <row r="9" spans="1:3" ht="31.5" customHeight="1" x14ac:dyDescent="0.35">
      <c r="A9" s="11">
        <v>5</v>
      </c>
      <c r="B9" s="12" t="s">
        <v>53</v>
      </c>
      <c r="C9" s="4" t="s">
        <v>54</v>
      </c>
    </row>
    <row r="10" spans="1:3" ht="31.5" customHeight="1" x14ac:dyDescent="0.35">
      <c r="A10" s="13">
        <v>6</v>
      </c>
      <c r="B10" s="14" t="s">
        <v>55</v>
      </c>
      <c r="C10" s="15" t="s">
        <v>56</v>
      </c>
    </row>
    <row r="11" spans="1:3" ht="31.5" customHeight="1" x14ac:dyDescent="0.35">
      <c r="A11" s="11">
        <v>7</v>
      </c>
      <c r="B11" s="12" t="s">
        <v>57</v>
      </c>
      <c r="C11" s="4" t="s">
        <v>58</v>
      </c>
    </row>
    <row r="12" spans="1:3" x14ac:dyDescent="0.35">
      <c r="A12" s="18"/>
      <c r="B12" s="18"/>
      <c r="C12" s="19"/>
    </row>
    <row r="13" spans="1:3" ht="28" customHeight="1" x14ac:dyDescent="0.35">
      <c r="A13" s="9" t="s">
        <v>59</v>
      </c>
      <c r="B13" s="9"/>
      <c r="C13" s="9"/>
    </row>
    <row r="14" spans="1:3" ht="22" customHeight="1" x14ac:dyDescent="0.35">
      <c r="A14" s="10" t="s">
        <v>43</v>
      </c>
      <c r="B14" s="10" t="s">
        <v>44</v>
      </c>
      <c r="C14" s="10" t="s">
        <v>45</v>
      </c>
    </row>
    <row r="15" spans="1:3" ht="31.5" customHeight="1" x14ac:dyDescent="0.35">
      <c r="A15" s="13">
        <v>1</v>
      </c>
      <c r="B15" s="14" t="s">
        <v>60</v>
      </c>
      <c r="C15" s="15" t="s">
        <v>61</v>
      </c>
    </row>
    <row r="16" spans="1:3" ht="31.5" customHeight="1" x14ac:dyDescent="0.35">
      <c r="A16" s="11">
        <v>2</v>
      </c>
      <c r="B16" s="12" t="s">
        <v>62</v>
      </c>
      <c r="C16" s="4" t="s">
        <v>63</v>
      </c>
    </row>
    <row r="17" spans="1:3" ht="31.5" customHeight="1" x14ac:dyDescent="0.35">
      <c r="A17" s="13">
        <v>3</v>
      </c>
      <c r="B17" s="14" t="s">
        <v>64</v>
      </c>
      <c r="C17" s="15" t="s">
        <v>65</v>
      </c>
    </row>
    <row r="18" spans="1:3" ht="31.5" customHeight="1" x14ac:dyDescent="0.35">
      <c r="A18" s="11">
        <v>4</v>
      </c>
      <c r="B18" s="12" t="s">
        <v>66</v>
      </c>
      <c r="C18" s="4" t="s">
        <v>67</v>
      </c>
    </row>
    <row r="19" spans="1:3" ht="31.5" customHeight="1" x14ac:dyDescent="0.35">
      <c r="A19" s="13">
        <v>5</v>
      </c>
      <c r="B19" s="14" t="s">
        <v>68</v>
      </c>
      <c r="C19" s="15" t="s">
        <v>69</v>
      </c>
    </row>
    <row r="20" spans="1:3" ht="31.5" customHeight="1" x14ac:dyDescent="0.35">
      <c r="A20" s="11">
        <v>6</v>
      </c>
      <c r="B20" s="12" t="s">
        <v>70</v>
      </c>
      <c r="C20" s="4" t="s">
        <v>71</v>
      </c>
    </row>
    <row r="21" spans="1:3" x14ac:dyDescent="0.35">
      <c r="A21" s="18"/>
      <c r="B21" s="18"/>
      <c r="C21" s="19"/>
    </row>
    <row r="22" spans="1:3" ht="28" customHeight="1" x14ac:dyDescent="0.35">
      <c r="A22" s="9" t="s">
        <v>72</v>
      </c>
      <c r="B22" s="9"/>
      <c r="C22" s="9"/>
    </row>
    <row r="23" spans="1:3" ht="22" customHeight="1" x14ac:dyDescent="0.35">
      <c r="A23" s="10" t="s">
        <v>43</v>
      </c>
      <c r="B23" s="10" t="s">
        <v>44</v>
      </c>
      <c r="C23" s="10" t="s">
        <v>45</v>
      </c>
    </row>
    <row r="24" spans="1:3" ht="31.5" customHeight="1" x14ac:dyDescent="0.35">
      <c r="A24" s="13">
        <v>1</v>
      </c>
      <c r="B24" s="14" t="s">
        <v>73</v>
      </c>
      <c r="C24" s="15" t="s">
        <v>74</v>
      </c>
    </row>
    <row r="25" spans="1:3" ht="31.5" customHeight="1" x14ac:dyDescent="0.35">
      <c r="A25" s="11">
        <v>2</v>
      </c>
      <c r="B25" s="12" t="s">
        <v>75</v>
      </c>
      <c r="C25" s="4" t="s">
        <v>76</v>
      </c>
    </row>
    <row r="26" spans="1:3" ht="31.5" customHeight="1" x14ac:dyDescent="0.35">
      <c r="A26" s="13">
        <v>3</v>
      </c>
      <c r="B26" s="14" t="s">
        <v>77</v>
      </c>
      <c r="C26" s="15" t="s">
        <v>78</v>
      </c>
    </row>
    <row r="27" spans="1:3" ht="31.5" customHeight="1" x14ac:dyDescent="0.35">
      <c r="A27" s="11">
        <v>4</v>
      </c>
      <c r="B27" s="12" t="s">
        <v>79</v>
      </c>
      <c r="C27" s="4" t="s">
        <v>80</v>
      </c>
    </row>
    <row r="28" spans="1:3" ht="31.5" customHeight="1" x14ac:dyDescent="0.35">
      <c r="A28" s="13">
        <v>5</v>
      </c>
      <c r="B28" s="14" t="s">
        <v>81</v>
      </c>
      <c r="C28" s="15" t="s">
        <v>82</v>
      </c>
    </row>
    <row r="29" spans="1:3" ht="31.5" customHeight="1" x14ac:dyDescent="0.35">
      <c r="A29" s="11">
        <v>6</v>
      </c>
      <c r="B29" s="12" t="s">
        <v>83</v>
      </c>
      <c r="C29" s="4" t="s">
        <v>84</v>
      </c>
    </row>
    <row r="30" spans="1:3" x14ac:dyDescent="0.35">
      <c r="A30" s="18"/>
      <c r="B30" s="18"/>
      <c r="C30" s="19"/>
    </row>
    <row r="31" spans="1:3" ht="28" customHeight="1" x14ac:dyDescent="0.35">
      <c r="A31" s="9" t="s">
        <v>85</v>
      </c>
      <c r="B31" s="9"/>
      <c r="C31" s="9"/>
    </row>
    <row r="32" spans="1:3" ht="22" customHeight="1" x14ac:dyDescent="0.35">
      <c r="A32" s="10" t="s">
        <v>43</v>
      </c>
      <c r="B32" s="10" t="s">
        <v>44</v>
      </c>
      <c r="C32" s="10" t="s">
        <v>45</v>
      </c>
    </row>
    <row r="33" spans="1:3" ht="31.5" customHeight="1" x14ac:dyDescent="0.35">
      <c r="A33" s="13">
        <v>1</v>
      </c>
      <c r="B33" s="14" t="s">
        <v>86</v>
      </c>
      <c r="C33" s="15" t="s">
        <v>87</v>
      </c>
    </row>
    <row r="34" spans="1:3" ht="31.5" customHeight="1" x14ac:dyDescent="0.35">
      <c r="A34" s="11">
        <v>2</v>
      </c>
      <c r="B34" s="12" t="s">
        <v>88</v>
      </c>
      <c r="C34" s="4" t="s">
        <v>89</v>
      </c>
    </row>
    <row r="35" spans="1:3" ht="31.5" customHeight="1" x14ac:dyDescent="0.35">
      <c r="A35" s="13">
        <v>3</v>
      </c>
      <c r="B35" s="14" t="s">
        <v>90</v>
      </c>
      <c r="C35" s="15" t="s">
        <v>91</v>
      </c>
    </row>
    <row r="36" spans="1:3" ht="31.5" customHeight="1" x14ac:dyDescent="0.35">
      <c r="A36" s="11">
        <v>4</v>
      </c>
      <c r="B36" s="12" t="s">
        <v>92</v>
      </c>
      <c r="C36" s="4" t="s">
        <v>93</v>
      </c>
    </row>
    <row r="37" spans="1:3" ht="31.5" customHeight="1" x14ac:dyDescent="0.35">
      <c r="A37" s="13">
        <v>5</v>
      </c>
      <c r="B37" s="14" t="s">
        <v>94</v>
      </c>
      <c r="C37" s="15" t="s">
        <v>95</v>
      </c>
    </row>
    <row r="38" spans="1:3" x14ac:dyDescent="0.35">
      <c r="A38" s="18"/>
      <c r="B38" s="18"/>
      <c r="C38" s="19"/>
    </row>
    <row r="39" spans="1:3" ht="28" customHeight="1" x14ac:dyDescent="0.35">
      <c r="A39" s="9" t="s">
        <v>96</v>
      </c>
      <c r="B39" s="9"/>
      <c r="C39" s="9"/>
    </row>
    <row r="40" spans="1:3" ht="22" customHeight="1" x14ac:dyDescent="0.35">
      <c r="A40" s="10" t="s">
        <v>43</v>
      </c>
      <c r="B40" s="10" t="s">
        <v>44</v>
      </c>
      <c r="C40" s="10" t="s">
        <v>45</v>
      </c>
    </row>
    <row r="41" spans="1:3" ht="31.5" customHeight="1" x14ac:dyDescent="0.35">
      <c r="A41" s="13">
        <v>1</v>
      </c>
      <c r="B41" s="14" t="s">
        <v>97</v>
      </c>
      <c r="C41" s="15" t="s">
        <v>98</v>
      </c>
    </row>
    <row r="42" spans="1:3" ht="31.5" customHeight="1" x14ac:dyDescent="0.35">
      <c r="A42" s="11">
        <v>2</v>
      </c>
      <c r="B42" s="12" t="s">
        <v>99</v>
      </c>
      <c r="C42" s="4" t="s">
        <v>377</v>
      </c>
    </row>
    <row r="43" spans="1:3" ht="31.5" customHeight="1" x14ac:dyDescent="0.35">
      <c r="A43" s="13">
        <v>3</v>
      </c>
      <c r="B43" s="14" t="s">
        <v>100</v>
      </c>
      <c r="C43" s="15" t="s">
        <v>101</v>
      </c>
    </row>
    <row r="44" spans="1:3" ht="31.5" customHeight="1" x14ac:dyDescent="0.35">
      <c r="A44" s="16">
        <v>4</v>
      </c>
      <c r="B44" s="17" t="s">
        <v>102</v>
      </c>
      <c r="C44" s="7" t="s">
        <v>103</v>
      </c>
    </row>
  </sheetData>
  <mergeCells count="6">
    <mergeCell ref="A39:C39"/>
    <mergeCell ref="A1:C1"/>
    <mergeCell ref="A3:C3"/>
    <mergeCell ref="A13:C13"/>
    <mergeCell ref="A22:C22"/>
    <mergeCell ref="A31:C31"/>
  </mergeCells>
  <printOptions horizontalCentered="1"/>
  <pageMargins left="0.75" right="0.75" top="1" bottom="1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86C1"/>
  </sheetPr>
  <dimension ref="A1:G12"/>
  <sheetViews>
    <sheetView zoomScaleNormal="100" workbookViewId="0">
      <selection activeCell="G9" sqref="G9"/>
    </sheetView>
  </sheetViews>
  <sheetFormatPr defaultColWidth="6.36328125" defaultRowHeight="14.5" x14ac:dyDescent="0.35"/>
  <cols>
    <col min="1" max="1" width="5.453125" customWidth="1"/>
    <col min="2" max="2" width="50.90625" style="20" customWidth="1"/>
    <col min="3" max="3" width="18.1796875" customWidth="1"/>
    <col min="4" max="5" width="21.81640625" customWidth="1"/>
    <col min="6" max="6" width="14.54296875" customWidth="1"/>
    <col min="7" max="7" width="81.81640625" style="20" customWidth="1"/>
  </cols>
  <sheetData>
    <row r="1" spans="1:7" ht="35" customHeight="1" x14ac:dyDescent="0.35">
      <c r="A1" s="8" t="s">
        <v>104</v>
      </c>
      <c r="B1" s="8"/>
      <c r="C1" s="8"/>
      <c r="D1" s="8"/>
      <c r="E1" s="8"/>
      <c r="F1" s="8"/>
      <c r="G1" s="8"/>
    </row>
    <row r="2" spans="1:7" x14ac:dyDescent="0.35">
      <c r="A2" s="18"/>
      <c r="B2" s="19"/>
      <c r="C2" s="18"/>
      <c r="D2" s="18"/>
      <c r="E2" s="18"/>
      <c r="F2" s="18"/>
      <c r="G2" s="19"/>
    </row>
    <row r="3" spans="1:7" ht="25" customHeight="1" x14ac:dyDescent="0.35">
      <c r="A3" s="22" t="s">
        <v>43</v>
      </c>
      <c r="B3" s="22" t="s">
        <v>105</v>
      </c>
      <c r="C3" s="22" t="s">
        <v>106</v>
      </c>
      <c r="D3" s="22" t="s">
        <v>107</v>
      </c>
      <c r="E3" s="22" t="s">
        <v>108</v>
      </c>
      <c r="F3" s="22" t="s">
        <v>109</v>
      </c>
      <c r="G3" s="22" t="s">
        <v>381</v>
      </c>
    </row>
    <row r="4" spans="1:7" ht="50" customHeight="1" x14ac:dyDescent="0.35">
      <c r="A4" s="23" t="s">
        <v>110</v>
      </c>
      <c r="B4" s="14" t="s">
        <v>111</v>
      </c>
      <c r="C4" s="13">
        <v>2</v>
      </c>
      <c r="D4" s="55">
        <v>46139</v>
      </c>
      <c r="E4" s="55">
        <f>D4+(C4*7)-1</f>
        <v>46152</v>
      </c>
      <c r="F4" s="13">
        <v>18</v>
      </c>
      <c r="G4" s="15" t="s">
        <v>112</v>
      </c>
    </row>
    <row r="5" spans="1:7" ht="50" customHeight="1" x14ac:dyDescent="0.35">
      <c r="A5" s="24" t="s">
        <v>113</v>
      </c>
      <c r="B5" s="12" t="s">
        <v>114</v>
      </c>
      <c r="C5" s="11">
        <v>3</v>
      </c>
      <c r="D5" s="56">
        <f>E4+1</f>
        <v>46153</v>
      </c>
      <c r="E5" s="56">
        <f>D5+(C5*7)-1</f>
        <v>46173</v>
      </c>
      <c r="F5" s="11">
        <v>42</v>
      </c>
      <c r="G5" s="4" t="s">
        <v>115</v>
      </c>
    </row>
    <row r="6" spans="1:7" ht="50" customHeight="1" x14ac:dyDescent="0.35">
      <c r="A6" s="23" t="s">
        <v>116</v>
      </c>
      <c r="B6" s="14" t="s">
        <v>117</v>
      </c>
      <c r="C6" s="13">
        <v>4</v>
      </c>
      <c r="D6" s="55">
        <f>E5+1</f>
        <v>46174</v>
      </c>
      <c r="E6" s="55">
        <f>D6+(C6*7)-1</f>
        <v>46201</v>
      </c>
      <c r="F6" s="13">
        <v>40</v>
      </c>
      <c r="G6" s="15" t="s">
        <v>118</v>
      </c>
    </row>
    <row r="7" spans="1:7" ht="50" customHeight="1" x14ac:dyDescent="0.35">
      <c r="A7" s="24" t="s">
        <v>119</v>
      </c>
      <c r="B7" s="12" t="s">
        <v>120</v>
      </c>
      <c r="C7" s="11">
        <v>4</v>
      </c>
      <c r="D7" s="56">
        <f>D6+14</f>
        <v>46188</v>
      </c>
      <c r="E7" s="56">
        <f>D7+(C7*7)-1</f>
        <v>46215</v>
      </c>
      <c r="F7" s="11">
        <v>38</v>
      </c>
      <c r="G7" s="4" t="s">
        <v>121</v>
      </c>
    </row>
    <row r="8" spans="1:7" ht="50" customHeight="1" x14ac:dyDescent="0.35">
      <c r="A8" s="23" t="s">
        <v>122</v>
      </c>
      <c r="B8" s="14" t="s">
        <v>123</v>
      </c>
      <c r="C8" s="13">
        <v>3</v>
      </c>
      <c r="D8" s="55">
        <f>E6+1</f>
        <v>46202</v>
      </c>
      <c r="E8" s="55">
        <f>D8+(C8*7)-1</f>
        <v>46222</v>
      </c>
      <c r="F8" s="13">
        <v>32</v>
      </c>
      <c r="G8" s="15" t="s">
        <v>124</v>
      </c>
    </row>
    <row r="9" spans="1:7" ht="50" customHeight="1" x14ac:dyDescent="0.35">
      <c r="A9" s="24" t="s">
        <v>125</v>
      </c>
      <c r="B9" s="12" t="s">
        <v>126</v>
      </c>
      <c r="C9" s="11">
        <v>2</v>
      </c>
      <c r="D9" s="56">
        <f>E8+1</f>
        <v>46223</v>
      </c>
      <c r="E9" s="56">
        <f>D9+(C9*7)-1</f>
        <v>46236</v>
      </c>
      <c r="F9" s="11">
        <v>22</v>
      </c>
      <c r="G9" s="4" t="s">
        <v>127</v>
      </c>
    </row>
    <row r="10" spans="1:7" ht="50" customHeight="1" x14ac:dyDescent="0.35">
      <c r="A10" s="23" t="s">
        <v>128</v>
      </c>
      <c r="B10" s="14" t="s">
        <v>129</v>
      </c>
      <c r="C10" s="13">
        <v>1</v>
      </c>
      <c r="D10" s="55">
        <f>E9+1</f>
        <v>46237</v>
      </c>
      <c r="E10" s="55">
        <f>D10+(C10*7)-1</f>
        <v>46243</v>
      </c>
      <c r="F10" s="13">
        <v>12</v>
      </c>
      <c r="G10" s="15" t="s">
        <v>375</v>
      </c>
    </row>
    <row r="11" spans="1:7" ht="50" customHeight="1" x14ac:dyDescent="0.35">
      <c r="A11" s="24" t="s">
        <v>130</v>
      </c>
      <c r="B11" s="12" t="s">
        <v>131</v>
      </c>
      <c r="C11" s="11">
        <v>1</v>
      </c>
      <c r="D11" s="56">
        <f>E10+1</f>
        <v>46244</v>
      </c>
      <c r="E11" s="56">
        <f>D11+(C11*7)-1</f>
        <v>46250</v>
      </c>
      <c r="F11" s="11">
        <v>7</v>
      </c>
      <c r="G11" s="4" t="s">
        <v>376</v>
      </c>
    </row>
    <row r="12" spans="1:7" ht="30" customHeight="1" x14ac:dyDescent="0.35">
      <c r="A12" s="25"/>
      <c r="B12" s="26" t="s">
        <v>132</v>
      </c>
      <c r="C12" s="25">
        <f>ROUND((E12-D12+1)/7,0)</f>
        <v>16</v>
      </c>
      <c r="D12" s="57">
        <f>D4</f>
        <v>46139</v>
      </c>
      <c r="E12" s="57">
        <f>E11</f>
        <v>46250</v>
      </c>
      <c r="F12" s="25">
        <f>SUM(F4:F11)</f>
        <v>211</v>
      </c>
      <c r="G12" s="26" t="s">
        <v>133</v>
      </c>
    </row>
  </sheetData>
  <mergeCells count="1">
    <mergeCell ref="A1:G1"/>
  </mergeCells>
  <printOptions horizontalCentered="1"/>
  <pageMargins left="0.75" right="0.75" top="1" bottom="1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7AE60"/>
  </sheetPr>
  <dimension ref="A1:W51"/>
  <sheetViews>
    <sheetView zoomScaleNormal="10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A39" sqref="A39:XFD39"/>
    </sheetView>
  </sheetViews>
  <sheetFormatPr defaultColWidth="8.6328125" defaultRowHeight="14.5" x14ac:dyDescent="0.35"/>
  <cols>
    <col min="1" max="1" width="8.1796875" customWidth="1"/>
    <col min="2" max="2" width="58.1796875" style="20" customWidth="1"/>
    <col min="3" max="3" width="21.81640625" customWidth="1"/>
    <col min="4" max="4" width="36.36328125" style="20" customWidth="1"/>
    <col min="5" max="5" width="11.81640625" customWidth="1"/>
    <col min="6" max="7" width="12.7265625" customWidth="1"/>
    <col min="8" max="16" width="6.36328125" customWidth="1"/>
    <col min="17" max="17" width="4.7265625" bestFit="1" customWidth="1"/>
    <col min="18" max="18" width="4.7265625" customWidth="1"/>
    <col min="19" max="23" width="6.36328125" customWidth="1"/>
  </cols>
  <sheetData>
    <row r="1" spans="1:23" ht="35" customHeight="1" x14ac:dyDescent="0.35">
      <c r="A1" s="8" t="s">
        <v>374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x14ac:dyDescent="0.35">
      <c r="A2" s="2"/>
      <c r="B2" s="21"/>
      <c r="C2" s="2"/>
      <c r="D2" s="2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25" customHeight="1" x14ac:dyDescent="0.35">
      <c r="A3" s="22" t="s">
        <v>134</v>
      </c>
      <c r="B3" s="22" t="s">
        <v>135</v>
      </c>
      <c r="C3" s="22" t="s">
        <v>105</v>
      </c>
      <c r="D3" s="22" t="s">
        <v>136</v>
      </c>
      <c r="E3" s="22" t="s">
        <v>137</v>
      </c>
      <c r="F3" s="22" t="s">
        <v>138</v>
      </c>
      <c r="G3" s="22" t="s">
        <v>109</v>
      </c>
      <c r="H3" s="22" t="s">
        <v>139</v>
      </c>
      <c r="I3" s="22" t="s">
        <v>140</v>
      </c>
      <c r="J3" s="22" t="s">
        <v>141</v>
      </c>
      <c r="K3" s="22" t="s">
        <v>142</v>
      </c>
      <c r="L3" s="22" t="s">
        <v>143</v>
      </c>
      <c r="M3" s="22" t="s">
        <v>144</v>
      </c>
      <c r="N3" s="22" t="s">
        <v>145</v>
      </c>
      <c r="O3" s="22" t="s">
        <v>146</v>
      </c>
      <c r="P3" s="22" t="s">
        <v>147</v>
      </c>
      <c r="Q3" s="22" t="s">
        <v>148</v>
      </c>
      <c r="R3" s="22" t="s">
        <v>149</v>
      </c>
      <c r="S3" s="22" t="s">
        <v>150</v>
      </c>
      <c r="T3" s="22" t="s">
        <v>151</v>
      </c>
      <c r="U3" s="22" t="s">
        <v>152</v>
      </c>
      <c r="V3" s="22" t="s">
        <v>153</v>
      </c>
      <c r="W3" s="22" t="s">
        <v>154</v>
      </c>
    </row>
    <row r="4" spans="1:23" ht="21.75" customHeight="1" x14ac:dyDescent="0.35">
      <c r="A4" s="27">
        <v>0.1</v>
      </c>
      <c r="B4" s="7" t="s">
        <v>155</v>
      </c>
      <c r="C4" s="28" t="s">
        <v>156</v>
      </c>
      <c r="D4" s="7" t="s">
        <v>157</v>
      </c>
      <c r="E4" s="16">
        <v>1</v>
      </c>
      <c r="F4" s="16">
        <v>1</v>
      </c>
      <c r="G4" s="16">
        <v>4</v>
      </c>
      <c r="H4" s="36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</row>
    <row r="5" spans="1:23" ht="21.75" customHeight="1" x14ac:dyDescent="0.35">
      <c r="A5" s="27">
        <v>0.2</v>
      </c>
      <c r="B5" s="7" t="s">
        <v>158</v>
      </c>
      <c r="C5" s="28" t="s">
        <v>156</v>
      </c>
      <c r="D5" s="7" t="s">
        <v>372</v>
      </c>
      <c r="E5" s="16">
        <v>1</v>
      </c>
      <c r="F5" s="16">
        <v>2</v>
      </c>
      <c r="G5" s="16">
        <v>5</v>
      </c>
      <c r="H5" s="36"/>
      <c r="I5" s="36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</row>
    <row r="6" spans="1:23" ht="21.75" customHeight="1" x14ac:dyDescent="0.35">
      <c r="A6" s="27">
        <v>0.3</v>
      </c>
      <c r="B6" s="7" t="s">
        <v>159</v>
      </c>
      <c r="C6" s="28" t="s">
        <v>156</v>
      </c>
      <c r="D6" s="7" t="s">
        <v>255</v>
      </c>
      <c r="E6" s="16">
        <v>1</v>
      </c>
      <c r="F6" s="16">
        <v>2</v>
      </c>
      <c r="G6" s="16">
        <v>4</v>
      </c>
      <c r="H6" s="36"/>
      <c r="I6" s="36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</row>
    <row r="7" spans="1:23" ht="21.75" customHeight="1" x14ac:dyDescent="0.35">
      <c r="A7" s="27">
        <v>0.4</v>
      </c>
      <c r="B7" s="7" t="s">
        <v>160</v>
      </c>
      <c r="C7" s="28" t="s">
        <v>156</v>
      </c>
      <c r="D7" s="7" t="s">
        <v>157</v>
      </c>
      <c r="E7" s="16">
        <v>2</v>
      </c>
      <c r="F7" s="16">
        <v>1</v>
      </c>
      <c r="G7" s="16">
        <v>3</v>
      </c>
      <c r="H7" s="37"/>
      <c r="I7" s="36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</row>
    <row r="8" spans="1:23" ht="21.75" customHeight="1" x14ac:dyDescent="0.35">
      <c r="A8" s="27">
        <v>0.5</v>
      </c>
      <c r="B8" s="7" t="s">
        <v>161</v>
      </c>
      <c r="C8" s="28" t="s">
        <v>156</v>
      </c>
      <c r="D8" s="7" t="s">
        <v>157</v>
      </c>
      <c r="E8" s="16">
        <v>2</v>
      </c>
      <c r="F8" s="16">
        <v>1</v>
      </c>
      <c r="G8" s="16">
        <v>4</v>
      </c>
      <c r="H8" s="37"/>
      <c r="I8" s="36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</row>
    <row r="9" spans="1:23" ht="21.75" customHeight="1" x14ac:dyDescent="0.35">
      <c r="A9" s="27">
        <v>0.6</v>
      </c>
      <c r="B9" s="7" t="s">
        <v>162</v>
      </c>
      <c r="C9" s="28" t="s">
        <v>156</v>
      </c>
      <c r="D9" s="7" t="s">
        <v>163</v>
      </c>
      <c r="E9" s="16">
        <v>2</v>
      </c>
      <c r="F9" s="16">
        <v>1</v>
      </c>
      <c r="G9" s="16">
        <v>2</v>
      </c>
      <c r="H9" s="37"/>
      <c r="I9" s="36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</row>
    <row r="10" spans="1:23" ht="21.75" customHeight="1" x14ac:dyDescent="0.35">
      <c r="A10" s="27">
        <v>1.1000000000000001</v>
      </c>
      <c r="B10" s="7" t="s">
        <v>164</v>
      </c>
      <c r="C10" s="29" t="s">
        <v>165</v>
      </c>
      <c r="D10" s="7" t="s">
        <v>365</v>
      </c>
      <c r="E10" s="16">
        <v>3</v>
      </c>
      <c r="F10" s="16">
        <v>1</v>
      </c>
      <c r="G10" s="16">
        <v>6</v>
      </c>
      <c r="H10" s="37"/>
      <c r="I10" s="37"/>
      <c r="J10" s="38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</row>
    <row r="11" spans="1:23" ht="21.75" customHeight="1" x14ac:dyDescent="0.35">
      <c r="A11" s="27">
        <v>1.2</v>
      </c>
      <c r="B11" s="7" t="s">
        <v>166</v>
      </c>
      <c r="C11" s="29" t="s">
        <v>165</v>
      </c>
      <c r="D11" s="7" t="s">
        <v>368</v>
      </c>
      <c r="E11" s="16">
        <v>3</v>
      </c>
      <c r="F11" s="16">
        <v>2</v>
      </c>
      <c r="G11" s="16">
        <v>4</v>
      </c>
      <c r="H11" s="37"/>
      <c r="I11" s="37"/>
      <c r="J11" s="38"/>
      <c r="K11" s="38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</row>
    <row r="12" spans="1:23" ht="21.75" customHeight="1" x14ac:dyDescent="0.35">
      <c r="A12" s="27">
        <v>1.3</v>
      </c>
      <c r="B12" s="7" t="s">
        <v>167</v>
      </c>
      <c r="C12" s="29" t="s">
        <v>165</v>
      </c>
      <c r="D12" s="7" t="s">
        <v>365</v>
      </c>
      <c r="E12" s="16">
        <v>3</v>
      </c>
      <c r="F12" s="16">
        <v>2</v>
      </c>
      <c r="G12" s="16">
        <v>5</v>
      </c>
      <c r="H12" s="37"/>
      <c r="I12" s="37"/>
      <c r="J12" s="38"/>
      <c r="K12" s="38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</row>
    <row r="13" spans="1:23" ht="21.75" customHeight="1" x14ac:dyDescent="0.35">
      <c r="A13" s="27">
        <v>1.4</v>
      </c>
      <c r="B13" s="7" t="s">
        <v>168</v>
      </c>
      <c r="C13" s="29" t="s">
        <v>165</v>
      </c>
      <c r="D13" s="7" t="s">
        <v>365</v>
      </c>
      <c r="E13" s="16">
        <v>4</v>
      </c>
      <c r="F13" s="16">
        <v>2</v>
      </c>
      <c r="G13" s="16">
        <v>12</v>
      </c>
      <c r="H13" s="37"/>
      <c r="I13" s="37"/>
      <c r="J13" s="37"/>
      <c r="K13" s="38"/>
      <c r="L13" s="38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</row>
    <row r="14" spans="1:23" ht="21.75" customHeight="1" x14ac:dyDescent="0.35">
      <c r="A14" s="27">
        <v>1.5</v>
      </c>
      <c r="B14" s="7" t="s">
        <v>169</v>
      </c>
      <c r="C14" s="29" t="s">
        <v>165</v>
      </c>
      <c r="D14" s="7" t="s">
        <v>365</v>
      </c>
      <c r="E14" s="16">
        <v>4</v>
      </c>
      <c r="F14" s="16">
        <v>2</v>
      </c>
      <c r="G14" s="16">
        <v>8</v>
      </c>
      <c r="H14" s="37"/>
      <c r="I14" s="37"/>
      <c r="J14" s="37"/>
      <c r="K14" s="38"/>
      <c r="L14" s="38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</row>
    <row r="15" spans="1:23" ht="21.75" customHeight="1" x14ac:dyDescent="0.35">
      <c r="A15" s="27">
        <v>1.6</v>
      </c>
      <c r="B15" s="7" t="s">
        <v>170</v>
      </c>
      <c r="C15" s="29" t="s">
        <v>165</v>
      </c>
      <c r="D15" s="7" t="s">
        <v>370</v>
      </c>
      <c r="E15" s="16">
        <v>5</v>
      </c>
      <c r="F15" s="16">
        <v>1</v>
      </c>
      <c r="G15" s="16">
        <v>10</v>
      </c>
      <c r="H15" s="37"/>
      <c r="I15" s="37"/>
      <c r="J15" s="37"/>
      <c r="K15" s="37"/>
      <c r="L15" s="38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</row>
    <row r="16" spans="1:23" ht="21.75" customHeight="1" x14ac:dyDescent="0.35">
      <c r="A16" s="27">
        <v>1.7</v>
      </c>
      <c r="B16" s="7" t="s">
        <v>171</v>
      </c>
      <c r="C16" s="29" t="s">
        <v>165</v>
      </c>
      <c r="D16" s="7" t="s">
        <v>255</v>
      </c>
      <c r="E16" s="16">
        <v>5</v>
      </c>
      <c r="F16" s="16">
        <v>1</v>
      </c>
      <c r="G16" s="16">
        <v>2</v>
      </c>
      <c r="H16" s="37"/>
      <c r="I16" s="37"/>
      <c r="J16" s="37"/>
      <c r="K16" s="37"/>
      <c r="L16" s="38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</row>
    <row r="17" spans="1:23" ht="21.75" customHeight="1" x14ac:dyDescent="0.35">
      <c r="A17" s="27">
        <v>2.1</v>
      </c>
      <c r="B17" s="7" t="s">
        <v>172</v>
      </c>
      <c r="C17" s="30" t="s">
        <v>173</v>
      </c>
      <c r="D17" s="7" t="s">
        <v>365</v>
      </c>
      <c r="E17" s="16">
        <v>6</v>
      </c>
      <c r="F17" s="16">
        <v>4</v>
      </c>
      <c r="G17" s="16">
        <v>16</v>
      </c>
      <c r="H17" s="37"/>
      <c r="I17" s="37"/>
      <c r="J17" s="37"/>
      <c r="K17" s="37"/>
      <c r="L17" s="37"/>
      <c r="M17" s="39"/>
      <c r="N17" s="39"/>
      <c r="O17" s="39"/>
      <c r="P17" s="39"/>
      <c r="Q17" s="37"/>
      <c r="R17" s="37"/>
      <c r="S17" s="37"/>
      <c r="T17" s="37"/>
      <c r="U17" s="37"/>
      <c r="V17" s="37"/>
      <c r="W17" s="37"/>
    </row>
    <row r="18" spans="1:23" ht="21.75" customHeight="1" x14ac:dyDescent="0.35">
      <c r="A18" s="27">
        <v>2.2000000000000002</v>
      </c>
      <c r="B18" s="7" t="s">
        <v>174</v>
      </c>
      <c r="C18" s="30" t="s">
        <v>173</v>
      </c>
      <c r="D18" s="7" t="s">
        <v>365</v>
      </c>
      <c r="E18" s="16">
        <v>6</v>
      </c>
      <c r="F18" s="16">
        <v>4</v>
      </c>
      <c r="G18" s="16">
        <v>12</v>
      </c>
      <c r="H18" s="37"/>
      <c r="I18" s="37"/>
      <c r="J18" s="37"/>
      <c r="K18" s="37"/>
      <c r="L18" s="37"/>
      <c r="M18" s="39"/>
      <c r="N18" s="39"/>
      <c r="O18" s="39"/>
      <c r="P18" s="39"/>
      <c r="Q18" s="37"/>
      <c r="R18" s="37"/>
      <c r="S18" s="37"/>
      <c r="T18" s="37"/>
      <c r="U18" s="37"/>
      <c r="V18" s="37"/>
      <c r="W18" s="37"/>
    </row>
    <row r="19" spans="1:23" ht="21.75" customHeight="1" x14ac:dyDescent="0.35">
      <c r="A19" s="27">
        <v>2.2999999999999998</v>
      </c>
      <c r="B19" s="7" t="s">
        <v>175</v>
      </c>
      <c r="C19" s="30" t="s">
        <v>173</v>
      </c>
      <c r="D19" s="7" t="s">
        <v>365</v>
      </c>
      <c r="E19" s="16">
        <v>6</v>
      </c>
      <c r="F19" s="16">
        <v>4</v>
      </c>
      <c r="G19" s="16">
        <v>8</v>
      </c>
      <c r="H19" s="37"/>
      <c r="I19" s="37"/>
      <c r="J19" s="37"/>
      <c r="K19" s="37"/>
      <c r="L19" s="37"/>
      <c r="M19" s="39"/>
      <c r="N19" s="39"/>
      <c r="O19" s="39"/>
      <c r="P19" s="39"/>
      <c r="Q19" s="37"/>
      <c r="R19" s="37"/>
      <c r="S19" s="37"/>
      <c r="T19" s="37"/>
      <c r="U19" s="37"/>
      <c r="V19" s="37"/>
      <c r="W19" s="37"/>
    </row>
    <row r="20" spans="1:23" ht="21.75" customHeight="1" x14ac:dyDescent="0.35">
      <c r="A20" s="27">
        <v>2.4</v>
      </c>
      <c r="B20" s="7" t="s">
        <v>176</v>
      </c>
      <c r="C20" s="30" t="s">
        <v>173</v>
      </c>
      <c r="D20" s="7" t="s">
        <v>365</v>
      </c>
      <c r="E20" s="16">
        <v>7</v>
      </c>
      <c r="F20" s="16">
        <v>2</v>
      </c>
      <c r="G20" s="16">
        <v>8</v>
      </c>
      <c r="H20" s="37"/>
      <c r="I20" s="37"/>
      <c r="J20" s="37"/>
      <c r="K20" s="37"/>
      <c r="L20" s="37"/>
      <c r="M20" s="37"/>
      <c r="N20" s="39"/>
      <c r="O20" s="39"/>
      <c r="P20" s="37"/>
      <c r="Q20" s="37"/>
      <c r="R20" s="37"/>
      <c r="S20" s="37"/>
      <c r="T20" s="37"/>
      <c r="U20" s="37"/>
      <c r="V20" s="37"/>
      <c r="W20" s="37"/>
    </row>
    <row r="21" spans="1:23" ht="21.75" customHeight="1" x14ac:dyDescent="0.35">
      <c r="A21" s="27">
        <v>2.5</v>
      </c>
      <c r="B21" s="7" t="s">
        <v>177</v>
      </c>
      <c r="C21" s="30" t="s">
        <v>173</v>
      </c>
      <c r="D21" s="7" t="s">
        <v>365</v>
      </c>
      <c r="E21" s="16">
        <v>7</v>
      </c>
      <c r="F21" s="16">
        <v>3</v>
      </c>
      <c r="G21" s="16">
        <v>12</v>
      </c>
      <c r="H21" s="37"/>
      <c r="I21" s="37"/>
      <c r="J21" s="37"/>
      <c r="K21" s="37"/>
      <c r="L21" s="37"/>
      <c r="M21" s="37"/>
      <c r="N21" s="39"/>
      <c r="O21" s="39"/>
      <c r="P21" s="39"/>
      <c r="Q21" s="37"/>
      <c r="R21" s="37"/>
      <c r="S21" s="37"/>
      <c r="T21" s="37"/>
      <c r="U21" s="37"/>
      <c r="V21" s="37"/>
      <c r="W21" s="37"/>
    </row>
    <row r="22" spans="1:23" ht="21.75" customHeight="1" x14ac:dyDescent="0.35">
      <c r="A22" s="27">
        <v>2.6</v>
      </c>
      <c r="B22" s="7" t="s">
        <v>178</v>
      </c>
      <c r="C22" s="30" t="s">
        <v>173</v>
      </c>
      <c r="D22" s="7" t="s">
        <v>255</v>
      </c>
      <c r="E22" s="16">
        <v>9</v>
      </c>
      <c r="F22" s="16">
        <v>1</v>
      </c>
      <c r="G22" s="16">
        <v>4</v>
      </c>
      <c r="H22" s="37"/>
      <c r="I22" s="37"/>
      <c r="J22" s="37"/>
      <c r="K22" s="37"/>
      <c r="L22" s="37"/>
      <c r="M22" s="37"/>
      <c r="N22" s="37"/>
      <c r="O22" s="37"/>
      <c r="P22" s="39"/>
      <c r="Q22" s="37"/>
      <c r="R22" s="37"/>
      <c r="S22" s="37"/>
      <c r="T22" s="37"/>
      <c r="U22" s="37"/>
      <c r="V22" s="37"/>
      <c r="W22" s="37"/>
    </row>
    <row r="23" spans="1:23" ht="21.75" customHeight="1" x14ac:dyDescent="0.35">
      <c r="A23" s="27">
        <v>2.7</v>
      </c>
      <c r="B23" s="7" t="s">
        <v>179</v>
      </c>
      <c r="C23" s="30" t="s">
        <v>173</v>
      </c>
      <c r="D23" s="7" t="s">
        <v>255</v>
      </c>
      <c r="E23" s="16">
        <v>9</v>
      </c>
      <c r="F23" s="16">
        <v>1</v>
      </c>
      <c r="G23" s="16">
        <v>2</v>
      </c>
      <c r="H23" s="37"/>
      <c r="I23" s="37"/>
      <c r="J23" s="37"/>
      <c r="K23" s="37"/>
      <c r="L23" s="37"/>
      <c r="M23" s="37"/>
      <c r="N23" s="37"/>
      <c r="O23" s="37"/>
      <c r="P23" s="39"/>
      <c r="Q23" s="37"/>
      <c r="R23" s="37"/>
      <c r="S23" s="37"/>
      <c r="T23" s="37"/>
      <c r="U23" s="37"/>
      <c r="V23" s="37"/>
      <c r="W23" s="37"/>
    </row>
    <row r="24" spans="1:23" ht="21.75" customHeight="1" x14ac:dyDescent="0.35">
      <c r="A24" s="27">
        <v>3.1</v>
      </c>
      <c r="B24" s="7" t="s">
        <v>180</v>
      </c>
      <c r="C24" s="31" t="s">
        <v>181</v>
      </c>
      <c r="D24" s="7" t="s">
        <v>364</v>
      </c>
      <c r="E24" s="16">
        <v>8</v>
      </c>
      <c r="F24" s="16">
        <v>4</v>
      </c>
      <c r="G24" s="16">
        <v>24</v>
      </c>
      <c r="H24" s="37"/>
      <c r="I24" s="37"/>
      <c r="J24" s="37"/>
      <c r="K24" s="37"/>
      <c r="L24" s="37"/>
      <c r="M24" s="37"/>
      <c r="N24" s="37"/>
      <c r="O24" s="40"/>
      <c r="P24" s="40"/>
      <c r="Q24" s="40"/>
      <c r="R24" s="40"/>
      <c r="S24" s="37"/>
      <c r="T24" s="37"/>
      <c r="U24" s="37"/>
      <c r="V24" s="37"/>
      <c r="W24" s="37"/>
    </row>
    <row r="25" spans="1:23" ht="21.75" customHeight="1" x14ac:dyDescent="0.35">
      <c r="A25" s="27">
        <v>3.2</v>
      </c>
      <c r="B25" s="7" t="s">
        <v>182</v>
      </c>
      <c r="C25" s="31" t="s">
        <v>181</v>
      </c>
      <c r="D25" s="7" t="s">
        <v>364</v>
      </c>
      <c r="E25" s="16">
        <v>8</v>
      </c>
      <c r="F25" s="16">
        <v>3</v>
      </c>
      <c r="G25" s="16">
        <v>8</v>
      </c>
      <c r="H25" s="37"/>
      <c r="I25" s="37"/>
      <c r="J25" s="37"/>
      <c r="K25" s="37"/>
      <c r="L25" s="37"/>
      <c r="M25" s="37"/>
      <c r="N25" s="37"/>
      <c r="O25" s="40"/>
      <c r="P25" s="40"/>
      <c r="Q25" s="40"/>
      <c r="R25" s="37"/>
      <c r="S25" s="37"/>
      <c r="T25" s="37"/>
      <c r="U25" s="37"/>
      <c r="V25" s="37"/>
      <c r="W25" s="37"/>
    </row>
    <row r="26" spans="1:23" ht="21.5" customHeight="1" x14ac:dyDescent="0.35">
      <c r="A26" s="27">
        <v>3.3</v>
      </c>
      <c r="B26" s="7" t="s">
        <v>183</v>
      </c>
      <c r="C26" s="31" t="s">
        <v>181</v>
      </c>
      <c r="D26" s="7" t="s">
        <v>255</v>
      </c>
      <c r="E26" s="16">
        <v>9</v>
      </c>
      <c r="F26" s="16">
        <v>2</v>
      </c>
      <c r="G26" s="16">
        <v>6</v>
      </c>
      <c r="H26" s="37"/>
      <c r="I26" s="37"/>
      <c r="J26" s="37"/>
      <c r="K26" s="37"/>
      <c r="L26" s="37"/>
      <c r="M26" s="37"/>
      <c r="N26" s="37"/>
      <c r="O26" s="37"/>
      <c r="P26" s="40"/>
      <c r="Q26" s="40"/>
      <c r="R26" s="37"/>
      <c r="S26" s="37"/>
      <c r="T26" s="37"/>
      <c r="U26" s="37"/>
      <c r="V26" s="37"/>
      <c r="W26" s="37"/>
    </row>
    <row r="27" spans="1:23" ht="21.5" customHeight="1" x14ac:dyDescent="0.35">
      <c r="A27" s="27">
        <v>3.4</v>
      </c>
      <c r="B27" s="7" t="s">
        <v>184</v>
      </c>
      <c r="C27" s="31" t="s">
        <v>181</v>
      </c>
      <c r="D27" s="7" t="s">
        <v>255</v>
      </c>
      <c r="E27" s="16">
        <v>8</v>
      </c>
      <c r="F27" s="16">
        <v>3</v>
      </c>
      <c r="G27" s="16">
        <v>10</v>
      </c>
      <c r="H27" s="37"/>
      <c r="I27" s="37"/>
      <c r="J27" s="37"/>
      <c r="K27" s="37"/>
      <c r="L27" s="37"/>
      <c r="M27" s="37"/>
      <c r="N27" s="37"/>
      <c r="O27" s="40"/>
      <c r="P27" s="40"/>
      <c r="Q27" s="40"/>
      <c r="R27" s="37"/>
      <c r="S27" s="37"/>
      <c r="T27" s="37"/>
      <c r="U27" s="37"/>
      <c r="V27" s="37"/>
      <c r="W27" s="37"/>
    </row>
    <row r="28" spans="1:23" ht="21.5" customHeight="1" x14ac:dyDescent="0.35">
      <c r="A28" s="27">
        <v>3.5</v>
      </c>
      <c r="B28" s="7" t="s">
        <v>185</v>
      </c>
      <c r="C28" s="31" t="s">
        <v>181</v>
      </c>
      <c r="D28" s="7" t="s">
        <v>364</v>
      </c>
      <c r="E28" s="16">
        <v>9</v>
      </c>
      <c r="F28" s="16">
        <v>3</v>
      </c>
      <c r="G28" s="16">
        <v>10</v>
      </c>
      <c r="H28" s="37"/>
      <c r="I28" s="37"/>
      <c r="J28" s="37"/>
      <c r="K28" s="37"/>
      <c r="L28" s="37"/>
      <c r="M28" s="37"/>
      <c r="N28" s="37"/>
      <c r="O28" s="37"/>
      <c r="P28" s="40"/>
      <c r="Q28" s="40"/>
      <c r="R28" s="40"/>
      <c r="S28" s="37"/>
      <c r="T28" s="37"/>
      <c r="U28" s="37"/>
      <c r="V28" s="37"/>
      <c r="W28" s="37"/>
    </row>
    <row r="29" spans="1:23" ht="21.75" customHeight="1" x14ac:dyDescent="0.35">
      <c r="A29" s="27">
        <v>3.6</v>
      </c>
      <c r="B29" s="7" t="s">
        <v>186</v>
      </c>
      <c r="C29" s="31" t="s">
        <v>181</v>
      </c>
      <c r="D29" s="7" t="s">
        <v>255</v>
      </c>
      <c r="E29" s="16">
        <v>10</v>
      </c>
      <c r="F29" s="16">
        <v>2</v>
      </c>
      <c r="G29" s="16">
        <v>10</v>
      </c>
      <c r="H29" s="37"/>
      <c r="I29" s="37"/>
      <c r="J29" s="37"/>
      <c r="K29" s="37"/>
      <c r="L29" s="37"/>
      <c r="M29" s="37"/>
      <c r="N29" s="37"/>
      <c r="O29" s="37"/>
      <c r="P29" s="37"/>
      <c r="Q29" s="40"/>
      <c r="R29" s="40"/>
      <c r="S29" s="37"/>
      <c r="T29" s="37"/>
      <c r="U29" s="37"/>
      <c r="V29" s="37"/>
      <c r="W29" s="37"/>
    </row>
    <row r="30" spans="1:23" ht="21.75" customHeight="1" x14ac:dyDescent="0.35">
      <c r="A30" s="27">
        <v>3.7</v>
      </c>
      <c r="B30" s="7" t="s">
        <v>187</v>
      </c>
      <c r="C30" s="31" t="s">
        <v>181</v>
      </c>
      <c r="D30" s="7" t="s">
        <v>255</v>
      </c>
      <c r="E30" s="16">
        <v>11</v>
      </c>
      <c r="F30" s="16">
        <v>1</v>
      </c>
      <c r="G30" s="16">
        <v>2</v>
      </c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40"/>
      <c r="S30" s="37"/>
      <c r="T30" s="37"/>
      <c r="U30" s="37"/>
      <c r="V30" s="37"/>
      <c r="W30" s="37"/>
    </row>
    <row r="31" spans="1:23" ht="21.75" customHeight="1" x14ac:dyDescent="0.35">
      <c r="A31" s="27">
        <v>4.0999999999999996</v>
      </c>
      <c r="B31" s="7" t="s">
        <v>188</v>
      </c>
      <c r="C31" s="32" t="s">
        <v>189</v>
      </c>
      <c r="D31" s="7" t="s">
        <v>373</v>
      </c>
      <c r="E31" s="16">
        <v>10</v>
      </c>
      <c r="F31" s="16">
        <v>2</v>
      </c>
      <c r="G31" s="16">
        <v>14</v>
      </c>
      <c r="H31" s="37"/>
      <c r="I31" s="37"/>
      <c r="J31" s="37"/>
      <c r="K31" s="37"/>
      <c r="L31" s="37"/>
      <c r="M31" s="37"/>
      <c r="N31" s="37"/>
      <c r="O31" s="37"/>
      <c r="P31" s="37"/>
      <c r="Q31" s="41"/>
      <c r="R31" s="41"/>
      <c r="S31" s="37"/>
      <c r="T31" s="37"/>
      <c r="U31" s="37"/>
      <c r="V31" s="37"/>
      <c r="W31" s="37"/>
    </row>
    <row r="32" spans="1:23" ht="21.5" customHeight="1" x14ac:dyDescent="0.35">
      <c r="A32" s="27">
        <v>4.2</v>
      </c>
      <c r="B32" s="7" t="s">
        <v>190</v>
      </c>
      <c r="C32" s="32" t="s">
        <v>189</v>
      </c>
      <c r="D32" s="7" t="s">
        <v>255</v>
      </c>
      <c r="E32" s="16">
        <v>10</v>
      </c>
      <c r="F32" s="16">
        <v>3</v>
      </c>
      <c r="G32" s="16">
        <v>14</v>
      </c>
      <c r="H32" s="37"/>
      <c r="I32" s="37"/>
      <c r="J32" s="37"/>
      <c r="K32" s="37"/>
      <c r="L32" s="37"/>
      <c r="M32" s="37"/>
      <c r="N32" s="37"/>
      <c r="O32" s="37"/>
      <c r="P32" s="37"/>
      <c r="Q32" s="41"/>
      <c r="R32" s="41"/>
      <c r="S32" s="41"/>
      <c r="T32" s="37"/>
      <c r="U32" s="37"/>
      <c r="V32" s="37"/>
      <c r="W32" s="37"/>
    </row>
    <row r="33" spans="1:23" ht="21.75" customHeight="1" x14ac:dyDescent="0.35">
      <c r="A33" s="27">
        <v>4.3</v>
      </c>
      <c r="B33" s="7" t="s">
        <v>191</v>
      </c>
      <c r="C33" s="32" t="s">
        <v>189</v>
      </c>
      <c r="D33" s="7" t="s">
        <v>364</v>
      </c>
      <c r="E33" s="16">
        <v>11</v>
      </c>
      <c r="F33" s="16">
        <v>2</v>
      </c>
      <c r="G33" s="16">
        <v>10</v>
      </c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41"/>
      <c r="S33" s="41"/>
      <c r="T33" s="37"/>
      <c r="U33" s="37"/>
      <c r="V33" s="37"/>
      <c r="W33" s="37"/>
    </row>
    <row r="34" spans="1:23" ht="21.75" customHeight="1" x14ac:dyDescent="0.35">
      <c r="A34" s="27">
        <v>4.4000000000000004</v>
      </c>
      <c r="B34" s="7" t="s">
        <v>192</v>
      </c>
      <c r="C34" s="32" t="s">
        <v>189</v>
      </c>
      <c r="D34" s="7" t="s">
        <v>364</v>
      </c>
      <c r="E34" s="16">
        <v>11</v>
      </c>
      <c r="F34" s="16">
        <v>2</v>
      </c>
      <c r="G34" s="16">
        <v>8</v>
      </c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41"/>
      <c r="S34" s="41"/>
      <c r="T34" s="37"/>
      <c r="U34" s="37"/>
      <c r="V34" s="37"/>
      <c r="W34" s="37"/>
    </row>
    <row r="35" spans="1:23" ht="21.75" customHeight="1" x14ac:dyDescent="0.35">
      <c r="A35" s="27">
        <v>4.5</v>
      </c>
      <c r="B35" s="7" t="s">
        <v>193</v>
      </c>
      <c r="C35" s="32" t="s">
        <v>189</v>
      </c>
      <c r="D35" s="7" t="s">
        <v>364</v>
      </c>
      <c r="E35" s="16">
        <v>11</v>
      </c>
      <c r="F35" s="16">
        <v>2</v>
      </c>
      <c r="G35" s="16">
        <v>6</v>
      </c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41"/>
      <c r="S35" s="41"/>
      <c r="T35" s="37"/>
      <c r="U35" s="37"/>
      <c r="V35" s="37"/>
      <c r="W35" s="37"/>
    </row>
    <row r="36" spans="1:23" ht="21.75" customHeight="1" x14ac:dyDescent="0.35">
      <c r="A36" s="27">
        <v>4.5999999999999996</v>
      </c>
      <c r="B36" s="7" t="s">
        <v>194</v>
      </c>
      <c r="C36" s="32" t="s">
        <v>189</v>
      </c>
      <c r="D36" s="7" t="s">
        <v>255</v>
      </c>
      <c r="E36" s="16">
        <v>11</v>
      </c>
      <c r="F36" s="16">
        <v>2</v>
      </c>
      <c r="G36" s="16">
        <v>6</v>
      </c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41"/>
      <c r="S36" s="41"/>
      <c r="T36" s="37"/>
      <c r="U36" s="37"/>
      <c r="V36" s="37"/>
      <c r="W36" s="37"/>
    </row>
    <row r="37" spans="1:23" ht="21.75" customHeight="1" x14ac:dyDescent="0.35">
      <c r="A37" s="27">
        <v>4.7</v>
      </c>
      <c r="B37" s="7" t="s">
        <v>195</v>
      </c>
      <c r="C37" s="32" t="s">
        <v>189</v>
      </c>
      <c r="D37" s="7" t="s">
        <v>255</v>
      </c>
      <c r="E37" s="16">
        <v>12</v>
      </c>
      <c r="F37" s="16">
        <v>1</v>
      </c>
      <c r="G37" s="16">
        <v>2</v>
      </c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41"/>
      <c r="T37" s="37"/>
      <c r="U37" s="37"/>
      <c r="V37" s="37"/>
      <c r="W37" s="37"/>
    </row>
    <row r="38" spans="1:23" ht="21.75" customHeight="1" x14ac:dyDescent="0.35">
      <c r="A38" s="27">
        <v>5.0999999999999996</v>
      </c>
      <c r="B38" s="7" t="s">
        <v>196</v>
      </c>
      <c r="C38" s="33" t="s">
        <v>197</v>
      </c>
      <c r="D38" s="7" t="s">
        <v>255</v>
      </c>
      <c r="E38" s="16">
        <v>13</v>
      </c>
      <c r="F38" s="16">
        <v>2</v>
      </c>
      <c r="G38" s="16">
        <v>10</v>
      </c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42"/>
      <c r="U38" s="42"/>
      <c r="V38" s="37"/>
      <c r="W38" s="37"/>
    </row>
    <row r="39" spans="1:23" ht="21.75" customHeight="1" x14ac:dyDescent="0.35">
      <c r="A39" s="27">
        <v>5.2</v>
      </c>
      <c r="B39" s="7" t="s">
        <v>198</v>
      </c>
      <c r="C39" s="33" t="s">
        <v>197</v>
      </c>
      <c r="D39" s="7" t="s">
        <v>255</v>
      </c>
      <c r="E39" s="16">
        <v>13</v>
      </c>
      <c r="F39" s="16">
        <v>2</v>
      </c>
      <c r="G39" s="16">
        <v>10</v>
      </c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42"/>
      <c r="U39" s="42"/>
      <c r="V39" s="37"/>
      <c r="W39" s="37"/>
    </row>
    <row r="40" spans="1:23" ht="21.75" customHeight="1" x14ac:dyDescent="0.35">
      <c r="A40" s="27">
        <v>5.3</v>
      </c>
      <c r="B40" s="7" t="s">
        <v>199</v>
      </c>
      <c r="C40" s="33" t="s">
        <v>197</v>
      </c>
      <c r="D40" s="7" t="s">
        <v>372</v>
      </c>
      <c r="E40" s="16">
        <v>13</v>
      </c>
      <c r="F40" s="16">
        <v>2</v>
      </c>
      <c r="G40" s="16">
        <v>6</v>
      </c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42"/>
      <c r="U40" s="42"/>
      <c r="V40" s="37"/>
      <c r="W40" s="37"/>
    </row>
    <row r="41" spans="1:23" ht="21.75" customHeight="1" x14ac:dyDescent="0.35">
      <c r="A41" s="27">
        <v>5.4</v>
      </c>
      <c r="B41" s="7" t="s">
        <v>200</v>
      </c>
      <c r="C41" s="33" t="s">
        <v>197</v>
      </c>
      <c r="D41" s="7" t="s">
        <v>157</v>
      </c>
      <c r="E41" s="16">
        <v>14</v>
      </c>
      <c r="F41" s="16">
        <v>1</v>
      </c>
      <c r="G41" s="16">
        <v>6</v>
      </c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42"/>
      <c r="V41" s="37"/>
      <c r="W41" s="37"/>
    </row>
    <row r="42" spans="1:23" ht="21.75" customHeight="1" x14ac:dyDescent="0.35">
      <c r="A42" s="27">
        <v>5.5</v>
      </c>
      <c r="B42" s="7" t="s">
        <v>201</v>
      </c>
      <c r="C42" s="33" t="s">
        <v>197</v>
      </c>
      <c r="D42" s="7" t="s">
        <v>255</v>
      </c>
      <c r="E42" s="16">
        <v>14</v>
      </c>
      <c r="F42" s="16">
        <v>1</v>
      </c>
      <c r="G42" s="16">
        <v>2</v>
      </c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42"/>
      <c r="V42" s="37"/>
      <c r="W42" s="37"/>
    </row>
    <row r="43" spans="1:23" ht="21.75" customHeight="1" x14ac:dyDescent="0.35">
      <c r="A43" s="27">
        <v>6.1</v>
      </c>
      <c r="B43" s="7" t="s">
        <v>202</v>
      </c>
      <c r="C43" s="34" t="s">
        <v>203</v>
      </c>
      <c r="D43" s="7" t="s">
        <v>372</v>
      </c>
      <c r="E43" s="16">
        <v>15</v>
      </c>
      <c r="F43" s="16">
        <v>2</v>
      </c>
      <c r="G43" s="16">
        <v>8</v>
      </c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43"/>
      <c r="W43" s="43"/>
    </row>
    <row r="44" spans="1:23" ht="21.75" customHeight="1" x14ac:dyDescent="0.35">
      <c r="A44" s="27">
        <v>6.2</v>
      </c>
      <c r="B44" s="7" t="s">
        <v>204</v>
      </c>
      <c r="C44" s="34" t="s">
        <v>203</v>
      </c>
      <c r="D44" s="7" t="s">
        <v>255</v>
      </c>
      <c r="E44" s="16">
        <v>15</v>
      </c>
      <c r="F44" s="16">
        <v>2</v>
      </c>
      <c r="G44" s="16">
        <v>10</v>
      </c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43"/>
      <c r="W44" s="43"/>
    </row>
    <row r="45" spans="1:23" ht="21.75" customHeight="1" x14ac:dyDescent="0.35">
      <c r="A45" s="27">
        <v>6.3</v>
      </c>
      <c r="B45" s="7" t="s">
        <v>205</v>
      </c>
      <c r="C45" s="34" t="s">
        <v>203</v>
      </c>
      <c r="D45" s="7" t="s">
        <v>255</v>
      </c>
      <c r="E45" s="16">
        <v>15</v>
      </c>
      <c r="F45" s="16">
        <v>1</v>
      </c>
      <c r="G45" s="16">
        <v>4</v>
      </c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43"/>
    </row>
    <row r="46" spans="1:23" ht="21.75" customHeight="1" x14ac:dyDescent="0.35">
      <c r="A46" s="27">
        <v>6.4</v>
      </c>
      <c r="B46" s="7" t="s">
        <v>206</v>
      </c>
      <c r="C46" s="34" t="s">
        <v>203</v>
      </c>
      <c r="D46" s="7" t="s">
        <v>157</v>
      </c>
      <c r="E46" s="16">
        <v>15</v>
      </c>
      <c r="F46" s="16">
        <v>1</v>
      </c>
      <c r="G46" s="16">
        <v>4</v>
      </c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43"/>
    </row>
    <row r="47" spans="1:23" ht="21.75" customHeight="1" x14ac:dyDescent="0.35">
      <c r="A47" s="27">
        <v>7.1</v>
      </c>
      <c r="B47" s="7" t="s">
        <v>207</v>
      </c>
      <c r="C47" s="35" t="s">
        <v>208</v>
      </c>
      <c r="D47" s="7" t="s">
        <v>255</v>
      </c>
      <c r="E47" s="16">
        <v>15</v>
      </c>
      <c r="F47" s="16">
        <v>1</v>
      </c>
      <c r="G47" s="16">
        <v>3</v>
      </c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</row>
    <row r="48" spans="1:23" ht="21.75" customHeight="1" x14ac:dyDescent="0.35">
      <c r="A48" s="27">
        <v>7.2</v>
      </c>
      <c r="B48" s="7" t="s">
        <v>209</v>
      </c>
      <c r="C48" s="35" t="s">
        <v>208</v>
      </c>
      <c r="D48" s="7" t="s">
        <v>255</v>
      </c>
      <c r="E48" s="16">
        <v>15</v>
      </c>
      <c r="F48" s="16">
        <v>1</v>
      </c>
      <c r="G48" s="16">
        <v>4</v>
      </c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</row>
    <row r="49" spans="1:23" ht="21.75" customHeight="1" x14ac:dyDescent="0.35">
      <c r="A49" s="27">
        <v>7.3</v>
      </c>
      <c r="B49" s="7" t="s">
        <v>210</v>
      </c>
      <c r="C49" s="35" t="s">
        <v>208</v>
      </c>
      <c r="D49" s="7" t="s">
        <v>372</v>
      </c>
      <c r="E49" s="16">
        <v>16</v>
      </c>
      <c r="F49" s="16">
        <v>1</v>
      </c>
      <c r="G49" s="16">
        <v>3</v>
      </c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</row>
    <row r="50" spans="1:23" ht="21.75" customHeight="1" x14ac:dyDescent="0.35">
      <c r="A50" s="27">
        <v>7.4</v>
      </c>
      <c r="B50" s="7" t="s">
        <v>211</v>
      </c>
      <c r="C50" s="35" t="s">
        <v>208</v>
      </c>
      <c r="D50" s="7" t="s">
        <v>157</v>
      </c>
      <c r="E50" s="16">
        <v>16</v>
      </c>
      <c r="F50" s="16">
        <v>1</v>
      </c>
      <c r="G50" s="16">
        <v>3</v>
      </c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</row>
    <row r="51" spans="1:23" x14ac:dyDescent="0.35">
      <c r="A51" s="25"/>
      <c r="B51" s="26" t="s">
        <v>212</v>
      </c>
      <c r="C51" s="26"/>
      <c r="D51" s="26"/>
      <c r="E51" s="25"/>
      <c r="F51" s="25"/>
      <c r="G51" s="25">
        <f>SUM(G4:G50)</f>
        <v>334</v>
      </c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</row>
  </sheetData>
  <mergeCells count="1">
    <mergeCell ref="A1:W1"/>
  </mergeCells>
  <printOptions horizontalCentered="1"/>
  <pageMargins left="0.75" right="0.75" top="1" bottom="1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44AD"/>
  </sheetPr>
  <dimension ref="A1:I30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K1"/>
    </sheetView>
  </sheetViews>
  <sheetFormatPr defaultColWidth="8.6328125" defaultRowHeight="14.5" x14ac:dyDescent="0.35"/>
  <cols>
    <col min="1" max="1" width="45.453125" customWidth="1"/>
    <col min="2" max="2" width="16.36328125" customWidth="1"/>
    <col min="3" max="3" width="20" customWidth="1"/>
    <col min="4" max="4" width="10.90625" customWidth="1"/>
    <col min="5" max="5" width="29.08984375" customWidth="1"/>
    <col min="6" max="6" width="20" customWidth="1"/>
    <col min="7" max="7" width="18.1796875" customWidth="1"/>
    <col min="8" max="9" width="21.81640625" customWidth="1"/>
  </cols>
  <sheetData>
    <row r="1" spans="1:9" ht="35" customHeight="1" x14ac:dyDescent="0.35">
      <c r="A1" s="8" t="s">
        <v>213</v>
      </c>
      <c r="B1" s="8"/>
      <c r="C1" s="8"/>
      <c r="D1" s="8"/>
      <c r="E1" s="8"/>
      <c r="F1" s="8"/>
      <c r="G1" s="8"/>
      <c r="H1" s="8"/>
      <c r="I1" s="8"/>
    </row>
    <row r="2" spans="1:9" x14ac:dyDescent="0.35">
      <c r="A2" s="2"/>
      <c r="B2" s="2"/>
      <c r="C2" s="2"/>
      <c r="D2" s="2"/>
      <c r="E2" s="2"/>
      <c r="F2" s="2"/>
      <c r="G2" s="2"/>
      <c r="H2" s="2"/>
      <c r="I2" s="2"/>
    </row>
    <row r="3" spans="1:9" ht="40" customHeight="1" x14ac:dyDescent="0.35">
      <c r="A3" s="22" t="s">
        <v>214</v>
      </c>
      <c r="B3" s="22" t="s">
        <v>215</v>
      </c>
      <c r="C3" s="22" t="s">
        <v>216</v>
      </c>
      <c r="D3" s="22" t="s">
        <v>157</v>
      </c>
      <c r="E3" s="22" t="s">
        <v>255</v>
      </c>
      <c r="F3" s="22" t="s">
        <v>368</v>
      </c>
      <c r="G3" s="22" t="s">
        <v>365</v>
      </c>
      <c r="H3" s="22" t="s">
        <v>364</v>
      </c>
      <c r="I3" s="22" t="s">
        <v>217</v>
      </c>
    </row>
    <row r="4" spans="1:9" ht="21.75" customHeight="1" x14ac:dyDescent="0.35">
      <c r="A4" s="14" t="s">
        <v>218</v>
      </c>
      <c r="B4" s="23" t="s">
        <v>219</v>
      </c>
      <c r="C4" s="23" t="s">
        <v>220</v>
      </c>
      <c r="D4" s="23" t="s">
        <v>221</v>
      </c>
      <c r="E4" s="23" t="s">
        <v>220</v>
      </c>
      <c r="F4" s="23" t="s">
        <v>222</v>
      </c>
      <c r="G4" s="23" t="s">
        <v>222</v>
      </c>
      <c r="H4" s="23" t="s">
        <v>222</v>
      </c>
      <c r="I4" s="23" t="s">
        <v>222</v>
      </c>
    </row>
    <row r="5" spans="1:9" ht="21.75" customHeight="1" x14ac:dyDescent="0.35">
      <c r="A5" s="12" t="s">
        <v>223</v>
      </c>
      <c r="B5" s="24" t="s">
        <v>222</v>
      </c>
      <c r="C5" s="24" t="s">
        <v>220</v>
      </c>
      <c r="D5" s="24" t="s">
        <v>221</v>
      </c>
      <c r="E5" s="24" t="s">
        <v>220</v>
      </c>
      <c r="F5" s="24" t="s">
        <v>222</v>
      </c>
      <c r="G5" s="24" t="s">
        <v>222</v>
      </c>
      <c r="H5" s="24" t="s">
        <v>222</v>
      </c>
      <c r="I5" s="24" t="s">
        <v>220</v>
      </c>
    </row>
    <row r="6" spans="1:9" ht="21.75" customHeight="1" x14ac:dyDescent="0.35">
      <c r="A6" s="14" t="s">
        <v>224</v>
      </c>
      <c r="B6" s="23" t="s">
        <v>222</v>
      </c>
      <c r="C6" s="23" t="s">
        <v>222</v>
      </c>
      <c r="D6" s="23" t="s">
        <v>222</v>
      </c>
      <c r="E6" s="23" t="s">
        <v>219</v>
      </c>
      <c r="F6" s="23" t="s">
        <v>220</v>
      </c>
      <c r="G6" s="23" t="s">
        <v>221</v>
      </c>
      <c r="H6" s="23" t="s">
        <v>220</v>
      </c>
      <c r="I6" s="23" t="s">
        <v>222</v>
      </c>
    </row>
    <row r="7" spans="1:9" ht="21.75" customHeight="1" x14ac:dyDescent="0.35">
      <c r="A7" s="12" t="s">
        <v>225</v>
      </c>
      <c r="B7" s="24" t="s">
        <v>222</v>
      </c>
      <c r="C7" s="24" t="s">
        <v>222</v>
      </c>
      <c r="D7" s="24" t="s">
        <v>222</v>
      </c>
      <c r="E7" s="24" t="s">
        <v>221</v>
      </c>
      <c r="F7" s="24" t="s">
        <v>221</v>
      </c>
      <c r="G7" s="24" t="s">
        <v>221</v>
      </c>
      <c r="H7" s="24" t="s">
        <v>222</v>
      </c>
      <c r="I7" s="24" t="s">
        <v>222</v>
      </c>
    </row>
    <row r="8" spans="1:9" ht="21.75" customHeight="1" x14ac:dyDescent="0.35">
      <c r="A8" s="14" t="s">
        <v>226</v>
      </c>
      <c r="B8" s="23" t="s">
        <v>222</v>
      </c>
      <c r="C8" s="23" t="s">
        <v>222</v>
      </c>
      <c r="D8" s="23" t="s">
        <v>222</v>
      </c>
      <c r="E8" s="23" t="s">
        <v>219</v>
      </c>
      <c r="F8" s="23" t="s">
        <v>222</v>
      </c>
      <c r="G8" s="23" t="s">
        <v>221</v>
      </c>
      <c r="H8" s="23" t="s">
        <v>222</v>
      </c>
      <c r="I8" s="23" t="s">
        <v>222</v>
      </c>
    </row>
    <row r="9" spans="1:9" ht="21.75" customHeight="1" x14ac:dyDescent="0.35">
      <c r="A9" s="12" t="s">
        <v>227</v>
      </c>
      <c r="B9" s="24" t="s">
        <v>222</v>
      </c>
      <c r="C9" s="24" t="s">
        <v>222</v>
      </c>
      <c r="D9" s="24" t="s">
        <v>222</v>
      </c>
      <c r="E9" s="24" t="s">
        <v>219</v>
      </c>
      <c r="F9" s="24" t="s">
        <v>220</v>
      </c>
      <c r="G9" s="24" t="s">
        <v>221</v>
      </c>
      <c r="H9" s="24" t="s">
        <v>220</v>
      </c>
      <c r="I9" s="24" t="s">
        <v>220</v>
      </c>
    </row>
    <row r="10" spans="1:9" ht="21.75" customHeight="1" x14ac:dyDescent="0.35">
      <c r="A10" s="14" t="s">
        <v>228</v>
      </c>
      <c r="B10" s="23" t="s">
        <v>222</v>
      </c>
      <c r="C10" s="23" t="s">
        <v>222</v>
      </c>
      <c r="D10" s="23" t="s">
        <v>222</v>
      </c>
      <c r="E10" s="23" t="s">
        <v>219</v>
      </c>
      <c r="F10" s="23" t="s">
        <v>222</v>
      </c>
      <c r="G10" s="23" t="s">
        <v>221</v>
      </c>
      <c r="H10" s="23" t="s">
        <v>220</v>
      </c>
      <c r="I10" s="23" t="s">
        <v>222</v>
      </c>
    </row>
    <row r="11" spans="1:9" ht="21.75" customHeight="1" x14ac:dyDescent="0.35">
      <c r="A11" s="12" t="s">
        <v>229</v>
      </c>
      <c r="B11" s="24" t="s">
        <v>222</v>
      </c>
      <c r="C11" s="24" t="s">
        <v>222</v>
      </c>
      <c r="D11" s="24" t="s">
        <v>222</v>
      </c>
      <c r="E11" s="24" t="s">
        <v>219</v>
      </c>
      <c r="F11" s="24" t="s">
        <v>222</v>
      </c>
      <c r="G11" s="24" t="s">
        <v>221</v>
      </c>
      <c r="H11" s="24" t="s">
        <v>220</v>
      </c>
      <c r="I11" s="24" t="s">
        <v>220</v>
      </c>
    </row>
    <row r="12" spans="1:9" ht="21.75" customHeight="1" x14ac:dyDescent="0.35">
      <c r="A12" s="14" t="s">
        <v>230</v>
      </c>
      <c r="B12" s="23" t="s">
        <v>222</v>
      </c>
      <c r="C12" s="23" t="s">
        <v>222</v>
      </c>
      <c r="D12" s="23" t="s">
        <v>220</v>
      </c>
      <c r="E12" s="23" t="s">
        <v>219</v>
      </c>
      <c r="F12" s="23" t="s">
        <v>222</v>
      </c>
      <c r="G12" s="23" t="s">
        <v>222</v>
      </c>
      <c r="H12" s="23" t="s">
        <v>221</v>
      </c>
      <c r="I12" s="23" t="s">
        <v>220</v>
      </c>
    </row>
    <row r="13" spans="1:9" ht="21.75" customHeight="1" x14ac:dyDescent="0.35">
      <c r="A13" s="12" t="s">
        <v>231</v>
      </c>
      <c r="B13" s="24" t="s">
        <v>222</v>
      </c>
      <c r="C13" s="24" t="s">
        <v>220</v>
      </c>
      <c r="D13" s="24" t="s">
        <v>222</v>
      </c>
      <c r="E13" s="24" t="s">
        <v>219</v>
      </c>
      <c r="F13" s="24" t="s">
        <v>222</v>
      </c>
      <c r="G13" s="24" t="s">
        <v>222</v>
      </c>
      <c r="H13" s="24" t="s">
        <v>221</v>
      </c>
      <c r="I13" s="24" t="s">
        <v>220</v>
      </c>
    </row>
    <row r="14" spans="1:9" ht="21.75" customHeight="1" x14ac:dyDescent="0.35">
      <c r="A14" s="14" t="s">
        <v>232</v>
      </c>
      <c r="B14" s="23" t="s">
        <v>222</v>
      </c>
      <c r="C14" s="23" t="s">
        <v>220</v>
      </c>
      <c r="D14" s="23" t="s">
        <v>222</v>
      </c>
      <c r="E14" s="23" t="s">
        <v>221</v>
      </c>
      <c r="F14" s="23" t="s">
        <v>222</v>
      </c>
      <c r="G14" s="23" t="s">
        <v>222</v>
      </c>
      <c r="H14" s="23" t="s">
        <v>220</v>
      </c>
      <c r="I14" s="23" t="s">
        <v>220</v>
      </c>
    </row>
    <row r="15" spans="1:9" ht="21.75" customHeight="1" x14ac:dyDescent="0.35">
      <c r="A15" s="12" t="s">
        <v>233</v>
      </c>
      <c r="B15" s="24" t="s">
        <v>222</v>
      </c>
      <c r="C15" s="24" t="s">
        <v>222</v>
      </c>
      <c r="D15" s="24" t="s">
        <v>222</v>
      </c>
      <c r="E15" s="24" t="s">
        <v>219</v>
      </c>
      <c r="F15" s="24" t="s">
        <v>222</v>
      </c>
      <c r="G15" s="24" t="s">
        <v>220</v>
      </c>
      <c r="H15" s="24" t="s">
        <v>221</v>
      </c>
      <c r="I15" s="24" t="s">
        <v>222</v>
      </c>
    </row>
    <row r="16" spans="1:9" ht="21.75" customHeight="1" x14ac:dyDescent="0.35">
      <c r="A16" s="14" t="s">
        <v>234</v>
      </c>
      <c r="B16" s="23" t="s">
        <v>222</v>
      </c>
      <c r="C16" s="23" t="s">
        <v>220</v>
      </c>
      <c r="D16" s="23" t="s">
        <v>222</v>
      </c>
      <c r="E16" s="23" t="s">
        <v>221</v>
      </c>
      <c r="F16" s="23" t="s">
        <v>222</v>
      </c>
      <c r="G16" s="23" t="s">
        <v>220</v>
      </c>
      <c r="H16" s="23" t="s">
        <v>220</v>
      </c>
      <c r="I16" s="23" t="s">
        <v>222</v>
      </c>
    </row>
    <row r="17" spans="1:9" ht="21.75" customHeight="1" x14ac:dyDescent="0.35">
      <c r="A17" s="12" t="s">
        <v>235</v>
      </c>
      <c r="B17" s="24" t="s">
        <v>222</v>
      </c>
      <c r="C17" s="24" t="s">
        <v>220</v>
      </c>
      <c r="D17" s="24" t="s">
        <v>222</v>
      </c>
      <c r="E17" s="24" t="s">
        <v>219</v>
      </c>
      <c r="F17" s="24" t="s">
        <v>222</v>
      </c>
      <c r="G17" s="24" t="s">
        <v>222</v>
      </c>
      <c r="H17" s="24" t="s">
        <v>221</v>
      </c>
      <c r="I17" s="24" t="s">
        <v>222</v>
      </c>
    </row>
    <row r="18" spans="1:9" ht="21.75" customHeight="1" x14ac:dyDescent="0.35">
      <c r="A18" s="14" t="s">
        <v>236</v>
      </c>
      <c r="B18" s="23" t="s">
        <v>222</v>
      </c>
      <c r="C18" s="23" t="s">
        <v>222</v>
      </c>
      <c r="D18" s="23" t="s">
        <v>222</v>
      </c>
      <c r="E18" s="23" t="s">
        <v>219</v>
      </c>
      <c r="F18" s="23" t="s">
        <v>222</v>
      </c>
      <c r="G18" s="23" t="s">
        <v>222</v>
      </c>
      <c r="H18" s="23" t="s">
        <v>221</v>
      </c>
      <c r="I18" s="23" t="s">
        <v>222</v>
      </c>
    </row>
    <row r="19" spans="1:9" ht="21.75" customHeight="1" x14ac:dyDescent="0.35">
      <c r="A19" s="12" t="s">
        <v>194</v>
      </c>
      <c r="B19" s="24" t="s">
        <v>222</v>
      </c>
      <c r="C19" s="24" t="s">
        <v>220</v>
      </c>
      <c r="D19" s="24" t="s">
        <v>222</v>
      </c>
      <c r="E19" s="24" t="s">
        <v>221</v>
      </c>
      <c r="F19" s="24" t="s">
        <v>222</v>
      </c>
      <c r="G19" s="24" t="s">
        <v>222</v>
      </c>
      <c r="H19" s="24" t="s">
        <v>220</v>
      </c>
      <c r="I19" s="24" t="s">
        <v>222</v>
      </c>
    </row>
    <row r="20" spans="1:9" ht="21.75" customHeight="1" x14ac:dyDescent="0.35">
      <c r="A20" s="14" t="s">
        <v>237</v>
      </c>
      <c r="B20" s="23" t="s">
        <v>222</v>
      </c>
      <c r="C20" s="23" t="s">
        <v>220</v>
      </c>
      <c r="D20" s="23" t="s">
        <v>220</v>
      </c>
      <c r="E20" s="23" t="s">
        <v>221</v>
      </c>
      <c r="F20" s="23" t="s">
        <v>222</v>
      </c>
      <c r="G20" s="23" t="s">
        <v>220</v>
      </c>
      <c r="H20" s="23" t="s">
        <v>220</v>
      </c>
      <c r="I20" s="23" t="s">
        <v>220</v>
      </c>
    </row>
    <row r="21" spans="1:9" ht="21.75" customHeight="1" x14ac:dyDescent="0.35">
      <c r="A21" s="12" t="s">
        <v>238</v>
      </c>
      <c r="B21" s="24" t="s">
        <v>222</v>
      </c>
      <c r="C21" s="24" t="s">
        <v>220</v>
      </c>
      <c r="D21" s="24" t="s">
        <v>221</v>
      </c>
      <c r="E21" s="24" t="s">
        <v>220</v>
      </c>
      <c r="F21" s="24" t="s">
        <v>222</v>
      </c>
      <c r="G21" s="24" t="s">
        <v>220</v>
      </c>
      <c r="H21" s="24" t="s">
        <v>220</v>
      </c>
      <c r="I21" s="24" t="s">
        <v>222</v>
      </c>
    </row>
    <row r="22" spans="1:9" ht="21.75" customHeight="1" x14ac:dyDescent="0.35">
      <c r="A22" s="14" t="s">
        <v>239</v>
      </c>
      <c r="B22" s="23" t="s">
        <v>222</v>
      </c>
      <c r="C22" s="23" t="s">
        <v>220</v>
      </c>
      <c r="D22" s="23" t="s">
        <v>221</v>
      </c>
      <c r="E22" s="23" t="s">
        <v>221</v>
      </c>
      <c r="F22" s="23" t="s">
        <v>222</v>
      </c>
      <c r="G22" s="23" t="s">
        <v>220</v>
      </c>
      <c r="H22" s="23" t="s">
        <v>220</v>
      </c>
      <c r="I22" s="23" t="s">
        <v>222</v>
      </c>
    </row>
    <row r="23" spans="1:9" ht="21.75" customHeight="1" x14ac:dyDescent="0.35">
      <c r="A23" s="12" t="s">
        <v>240</v>
      </c>
      <c r="B23" s="24" t="s">
        <v>219</v>
      </c>
      <c r="C23" s="24" t="s">
        <v>220</v>
      </c>
      <c r="D23" s="24" t="s">
        <v>221</v>
      </c>
      <c r="E23" s="24" t="s">
        <v>221</v>
      </c>
      <c r="F23" s="24" t="s">
        <v>222</v>
      </c>
      <c r="G23" s="24" t="s">
        <v>222</v>
      </c>
      <c r="H23" s="24" t="s">
        <v>222</v>
      </c>
      <c r="I23" s="24" t="s">
        <v>220</v>
      </c>
    </row>
    <row r="24" spans="1:9" ht="21.75" customHeight="1" x14ac:dyDescent="0.35">
      <c r="A24" s="14" t="s">
        <v>241</v>
      </c>
      <c r="B24" s="23" t="s">
        <v>219</v>
      </c>
      <c r="C24" s="23" t="s">
        <v>221</v>
      </c>
      <c r="D24" s="23" t="s">
        <v>220</v>
      </c>
      <c r="E24" s="23" t="s">
        <v>220</v>
      </c>
      <c r="F24" s="23" t="s">
        <v>222</v>
      </c>
      <c r="G24" s="23" t="s">
        <v>222</v>
      </c>
      <c r="H24" s="23" t="s">
        <v>222</v>
      </c>
      <c r="I24" s="23" t="s">
        <v>222</v>
      </c>
    </row>
    <row r="25" spans="1:9" x14ac:dyDescent="0.35">
      <c r="A25" s="2"/>
      <c r="B25" s="2"/>
      <c r="C25" s="2"/>
      <c r="D25" s="2"/>
      <c r="E25" s="2"/>
      <c r="F25" s="2"/>
      <c r="G25" s="2"/>
      <c r="H25" s="2"/>
      <c r="I25" s="2"/>
    </row>
    <row r="26" spans="1:9" ht="15.5" x14ac:dyDescent="0.35">
      <c r="A26" s="45" t="s">
        <v>242</v>
      </c>
      <c r="B26" s="2"/>
      <c r="C26" s="2"/>
      <c r="D26" s="2"/>
      <c r="E26" s="2"/>
      <c r="F26" s="2"/>
      <c r="G26" s="2"/>
      <c r="H26" s="2"/>
      <c r="I26" s="2"/>
    </row>
    <row r="27" spans="1:9" ht="26" x14ac:dyDescent="0.35">
      <c r="A27" s="46" t="s">
        <v>221</v>
      </c>
      <c r="B27" s="7" t="s">
        <v>243</v>
      </c>
      <c r="C27" s="2"/>
      <c r="D27" s="2"/>
      <c r="E27" s="2"/>
      <c r="F27" s="2"/>
      <c r="G27" s="2"/>
      <c r="H27" s="2"/>
      <c r="I27" s="2"/>
    </row>
    <row r="28" spans="1:9" ht="39" x14ac:dyDescent="0.35">
      <c r="A28" s="47" t="s">
        <v>219</v>
      </c>
      <c r="B28" s="7" t="s">
        <v>244</v>
      </c>
      <c r="C28" s="2"/>
      <c r="D28" s="2"/>
      <c r="E28" s="2"/>
      <c r="F28" s="2"/>
      <c r="G28" s="2"/>
      <c r="H28" s="2"/>
      <c r="I28" s="2"/>
    </row>
    <row r="29" spans="1:9" ht="26" x14ac:dyDescent="0.35">
      <c r="A29" s="48" t="s">
        <v>220</v>
      </c>
      <c r="B29" s="7" t="s">
        <v>245</v>
      </c>
      <c r="C29" s="2"/>
      <c r="D29" s="2"/>
      <c r="E29" s="2"/>
      <c r="F29" s="2"/>
      <c r="G29" s="2"/>
      <c r="H29" s="2"/>
      <c r="I29" s="2"/>
    </row>
    <row r="30" spans="1:9" ht="26" x14ac:dyDescent="0.35">
      <c r="A30" s="49" t="s">
        <v>222</v>
      </c>
      <c r="B30" s="7" t="s">
        <v>246</v>
      </c>
      <c r="C30" s="2"/>
      <c r="D30" s="2"/>
      <c r="E30" s="2"/>
      <c r="F30" s="2"/>
      <c r="G30" s="2"/>
      <c r="H30" s="2"/>
      <c r="I30" s="2"/>
    </row>
  </sheetData>
  <mergeCells count="1">
    <mergeCell ref="A1:I1"/>
  </mergeCells>
  <printOptions horizontalCentered="1"/>
  <pageMargins left="0.75" right="0.75" top="1" bottom="1" header="0.511811023622047" footer="0.511811023622047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7A589"/>
  </sheetPr>
  <dimension ref="A1:E13"/>
  <sheetViews>
    <sheetView zoomScaleNormal="100" workbookViewId="0">
      <selection activeCell="E17" sqref="E17"/>
    </sheetView>
  </sheetViews>
  <sheetFormatPr defaultColWidth="8.6328125" defaultRowHeight="14.5" x14ac:dyDescent="0.35"/>
  <cols>
    <col min="1" max="1" width="40" style="20" customWidth="1"/>
    <col min="2" max="2" width="16.36328125" customWidth="1"/>
    <col min="3" max="3" width="18.1796875" customWidth="1"/>
    <col min="4" max="4" width="14.54296875" customWidth="1"/>
    <col min="5" max="5" width="81.81640625" style="20" customWidth="1"/>
  </cols>
  <sheetData>
    <row r="1" spans="1:5" ht="35" customHeight="1" x14ac:dyDescent="0.35">
      <c r="A1" s="8" t="s">
        <v>247</v>
      </c>
      <c r="B1" s="8"/>
      <c r="C1" s="8"/>
      <c r="D1" s="8"/>
      <c r="E1" s="8"/>
    </row>
    <row r="2" spans="1:5" x14ac:dyDescent="0.35">
      <c r="A2" s="21"/>
      <c r="B2" s="2"/>
      <c r="C2" s="2"/>
      <c r="D2" s="2"/>
      <c r="E2" s="21"/>
    </row>
    <row r="3" spans="1:5" ht="28" customHeight="1" x14ac:dyDescent="0.35">
      <c r="A3" s="22" t="s">
        <v>248</v>
      </c>
      <c r="B3" s="22" t="s">
        <v>249</v>
      </c>
      <c r="C3" s="22" t="s">
        <v>250</v>
      </c>
      <c r="D3" s="22" t="s">
        <v>251</v>
      </c>
      <c r="E3" s="22" t="s">
        <v>252</v>
      </c>
    </row>
    <row r="4" spans="1:5" ht="45" customHeight="1" x14ac:dyDescent="0.35">
      <c r="A4" s="14" t="s">
        <v>253</v>
      </c>
      <c r="B4" s="50">
        <v>0.5</v>
      </c>
      <c r="C4" s="13">
        <v>16</v>
      </c>
      <c r="D4" s="13">
        <v>40</v>
      </c>
      <c r="E4" s="15" t="s">
        <v>254</v>
      </c>
    </row>
    <row r="5" spans="1:5" ht="45" customHeight="1" x14ac:dyDescent="0.35">
      <c r="A5" s="12" t="s">
        <v>255</v>
      </c>
      <c r="B5" s="51">
        <v>0.75</v>
      </c>
      <c r="C5" s="11">
        <v>16</v>
      </c>
      <c r="D5" s="11">
        <v>60</v>
      </c>
      <c r="E5" s="4" t="s">
        <v>371</v>
      </c>
    </row>
    <row r="6" spans="1:5" ht="45" customHeight="1" x14ac:dyDescent="0.35">
      <c r="A6" s="14" t="s">
        <v>365</v>
      </c>
      <c r="B6" s="50">
        <v>1</v>
      </c>
      <c r="C6" s="13">
        <v>12</v>
      </c>
      <c r="D6" s="13">
        <v>60</v>
      </c>
      <c r="E6" s="15" t="s">
        <v>367</v>
      </c>
    </row>
    <row r="7" spans="1:5" ht="45" customHeight="1" x14ac:dyDescent="0.35">
      <c r="A7" s="12" t="s">
        <v>364</v>
      </c>
      <c r="B7" s="51">
        <v>0.75</v>
      </c>
      <c r="C7" s="11">
        <v>12</v>
      </c>
      <c r="D7" s="11">
        <v>45</v>
      </c>
      <c r="E7" s="4" t="s">
        <v>366</v>
      </c>
    </row>
    <row r="8" spans="1:5" ht="45" customHeight="1" x14ac:dyDescent="0.35">
      <c r="A8" s="14" t="s">
        <v>368</v>
      </c>
      <c r="B8" s="50">
        <v>0.25</v>
      </c>
      <c r="C8" s="13">
        <v>5</v>
      </c>
      <c r="D8" s="13">
        <v>6</v>
      </c>
      <c r="E8" s="15" t="s">
        <v>369</v>
      </c>
    </row>
    <row r="9" spans="1:5" ht="28" customHeight="1" x14ac:dyDescent="0.35">
      <c r="A9" s="26" t="s">
        <v>256</v>
      </c>
      <c r="B9" s="25"/>
      <c r="C9" s="25"/>
      <c r="D9" s="25">
        <f>SUM(D4:D8)</f>
        <v>211</v>
      </c>
      <c r="E9" s="26"/>
    </row>
    <row r="10" spans="1:5" ht="31.5" customHeight="1" x14ac:dyDescent="0.35">
      <c r="A10" s="21"/>
      <c r="B10" s="2"/>
      <c r="C10" s="2"/>
      <c r="D10" s="2"/>
      <c r="E10" s="21"/>
    </row>
    <row r="11" spans="1:5" x14ac:dyDescent="0.35">
      <c r="A11" s="52" t="s">
        <v>257</v>
      </c>
      <c r="B11" s="52"/>
      <c r="C11" s="52"/>
      <c r="D11" s="52"/>
      <c r="E11" s="52"/>
    </row>
    <row r="13" spans="1:5" ht="15" customHeight="1" x14ac:dyDescent="0.35"/>
  </sheetData>
  <mergeCells count="2">
    <mergeCell ref="A1:E1"/>
    <mergeCell ref="A11:E11"/>
  </mergeCells>
  <printOptions horizontalCentered="1"/>
  <pageMargins left="0.75" right="0.75" top="1" bottom="1" header="0.511811023622047" footer="0.511811023622047"/>
  <pageSetup paperSize="9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74C3C"/>
  </sheetPr>
  <dimension ref="A1:H16"/>
  <sheetViews>
    <sheetView zoomScaleNormal="100" workbookViewId="0">
      <selection sqref="A1:H1"/>
    </sheetView>
  </sheetViews>
  <sheetFormatPr defaultColWidth="8.6328125" defaultRowHeight="14.5" x14ac:dyDescent="0.35"/>
  <cols>
    <col min="1" max="1" width="8.1796875" customWidth="1"/>
    <col min="2" max="2" width="63.6328125" style="20" customWidth="1"/>
    <col min="3" max="4" width="18.1796875" customWidth="1"/>
    <col min="5" max="5" width="16.36328125" customWidth="1"/>
    <col min="6" max="6" width="10.90625" customWidth="1"/>
    <col min="7" max="7" width="72.7265625" style="20" customWidth="1"/>
    <col min="8" max="8" width="32.7265625" style="20" customWidth="1"/>
  </cols>
  <sheetData>
    <row r="1" spans="1:8" ht="35" customHeight="1" x14ac:dyDescent="0.35">
      <c r="A1" s="8" t="s">
        <v>37</v>
      </c>
      <c r="B1" s="8"/>
      <c r="C1" s="8"/>
      <c r="D1" s="8"/>
      <c r="E1" s="8"/>
      <c r="F1" s="8"/>
      <c r="G1" s="8"/>
      <c r="H1" s="8"/>
    </row>
    <row r="2" spans="1:8" x14ac:dyDescent="0.35">
      <c r="A2" s="2"/>
      <c r="B2" s="21"/>
      <c r="C2" s="2"/>
      <c r="D2" s="2"/>
      <c r="E2" s="2"/>
      <c r="F2" s="2"/>
      <c r="G2" s="21"/>
      <c r="H2" s="21"/>
    </row>
    <row r="3" spans="1:8" ht="28" customHeight="1" x14ac:dyDescent="0.35">
      <c r="A3" s="22" t="s">
        <v>258</v>
      </c>
      <c r="B3" s="22" t="s">
        <v>259</v>
      </c>
      <c r="C3" s="22" t="s">
        <v>260</v>
      </c>
      <c r="D3" s="22" t="s">
        <v>261</v>
      </c>
      <c r="E3" s="22" t="s">
        <v>262</v>
      </c>
      <c r="F3" s="22" t="s">
        <v>263</v>
      </c>
      <c r="G3" s="22" t="s">
        <v>264</v>
      </c>
      <c r="H3" s="22" t="s">
        <v>136</v>
      </c>
    </row>
    <row r="4" spans="1:8" ht="60" customHeight="1" x14ac:dyDescent="0.35">
      <c r="A4" s="23" t="s">
        <v>265</v>
      </c>
      <c r="B4" s="15" t="s">
        <v>266</v>
      </c>
      <c r="C4" s="13" t="s">
        <v>267</v>
      </c>
      <c r="D4" s="13">
        <v>4</v>
      </c>
      <c r="E4" s="13">
        <v>4</v>
      </c>
      <c r="F4" s="23">
        <v>16</v>
      </c>
      <c r="G4" s="15" t="s">
        <v>268</v>
      </c>
      <c r="H4" s="13" t="s">
        <v>368</v>
      </c>
    </row>
    <row r="5" spans="1:8" ht="60" customHeight="1" x14ac:dyDescent="0.35">
      <c r="A5" s="24" t="s">
        <v>269</v>
      </c>
      <c r="B5" s="4" t="s">
        <v>270</v>
      </c>
      <c r="C5" s="11" t="s">
        <v>267</v>
      </c>
      <c r="D5" s="11">
        <v>5</v>
      </c>
      <c r="E5" s="11">
        <v>3</v>
      </c>
      <c r="F5" s="24">
        <v>15</v>
      </c>
      <c r="G5" s="4" t="s">
        <v>271</v>
      </c>
      <c r="H5" s="11" t="s">
        <v>365</v>
      </c>
    </row>
    <row r="6" spans="1:8" ht="60" customHeight="1" x14ac:dyDescent="0.35">
      <c r="A6" s="23" t="s">
        <v>272</v>
      </c>
      <c r="B6" s="15" t="s">
        <v>273</v>
      </c>
      <c r="C6" s="13" t="s">
        <v>274</v>
      </c>
      <c r="D6" s="13">
        <v>3</v>
      </c>
      <c r="E6" s="13">
        <v>5</v>
      </c>
      <c r="F6" s="23">
        <v>15</v>
      </c>
      <c r="G6" s="15" t="s">
        <v>275</v>
      </c>
      <c r="H6" s="13" t="s">
        <v>255</v>
      </c>
    </row>
    <row r="7" spans="1:8" ht="60" customHeight="1" x14ac:dyDescent="0.35">
      <c r="A7" s="24" t="s">
        <v>276</v>
      </c>
      <c r="B7" s="4" t="s">
        <v>277</v>
      </c>
      <c r="C7" s="11" t="s">
        <v>278</v>
      </c>
      <c r="D7" s="11">
        <v>4</v>
      </c>
      <c r="E7" s="11">
        <v>4</v>
      </c>
      <c r="F7" s="24">
        <v>16</v>
      </c>
      <c r="G7" s="4" t="s">
        <v>279</v>
      </c>
      <c r="H7" s="11" t="s">
        <v>157</v>
      </c>
    </row>
    <row r="8" spans="1:8" ht="60" customHeight="1" x14ac:dyDescent="0.35">
      <c r="A8" s="23" t="s">
        <v>280</v>
      </c>
      <c r="B8" s="15" t="s">
        <v>281</v>
      </c>
      <c r="C8" s="13" t="s">
        <v>274</v>
      </c>
      <c r="D8" s="13">
        <v>4</v>
      </c>
      <c r="E8" s="13">
        <v>3</v>
      </c>
      <c r="F8" s="23">
        <v>12</v>
      </c>
      <c r="G8" s="15" t="s">
        <v>282</v>
      </c>
      <c r="H8" s="13" t="s">
        <v>255</v>
      </c>
    </row>
    <row r="9" spans="1:8" ht="60" customHeight="1" x14ac:dyDescent="0.35">
      <c r="A9" s="24" t="s">
        <v>283</v>
      </c>
      <c r="B9" s="4" t="s">
        <v>284</v>
      </c>
      <c r="C9" s="11" t="s">
        <v>285</v>
      </c>
      <c r="D9" s="11">
        <v>3</v>
      </c>
      <c r="E9" s="11">
        <v>4</v>
      </c>
      <c r="F9" s="24">
        <v>12</v>
      </c>
      <c r="G9" s="4" t="s">
        <v>286</v>
      </c>
      <c r="H9" s="11" t="s">
        <v>157</v>
      </c>
    </row>
    <row r="10" spans="1:8" ht="60" customHeight="1" x14ac:dyDescent="0.35">
      <c r="A10" s="23" t="s">
        <v>287</v>
      </c>
      <c r="B10" s="15" t="s">
        <v>288</v>
      </c>
      <c r="C10" s="13" t="s">
        <v>267</v>
      </c>
      <c r="D10" s="13">
        <v>3</v>
      </c>
      <c r="E10" s="13">
        <v>4</v>
      </c>
      <c r="F10" s="23">
        <v>12</v>
      </c>
      <c r="G10" s="15" t="s">
        <v>289</v>
      </c>
      <c r="H10" s="13" t="s">
        <v>255</v>
      </c>
    </row>
    <row r="11" spans="1:8" ht="60" customHeight="1" x14ac:dyDescent="0.35">
      <c r="A11" s="24" t="s">
        <v>290</v>
      </c>
      <c r="B11" s="4" t="s">
        <v>291</v>
      </c>
      <c r="C11" s="11" t="s">
        <v>278</v>
      </c>
      <c r="D11" s="11">
        <v>3</v>
      </c>
      <c r="E11" s="11">
        <v>3</v>
      </c>
      <c r="F11" s="24">
        <v>9</v>
      </c>
      <c r="G11" s="4" t="s">
        <v>292</v>
      </c>
      <c r="H11" s="11" t="s">
        <v>364</v>
      </c>
    </row>
    <row r="12" spans="1:8" ht="60" customHeight="1" x14ac:dyDescent="0.35">
      <c r="A12" s="23" t="s">
        <v>293</v>
      </c>
      <c r="B12" s="15" t="s">
        <v>294</v>
      </c>
      <c r="C12" s="13" t="s">
        <v>295</v>
      </c>
      <c r="D12" s="13">
        <v>2</v>
      </c>
      <c r="E12" s="13">
        <v>3</v>
      </c>
      <c r="F12" s="23">
        <v>6</v>
      </c>
      <c r="G12" s="15" t="s">
        <v>296</v>
      </c>
      <c r="H12" s="13" t="s">
        <v>255</v>
      </c>
    </row>
    <row r="13" spans="1:8" ht="60" customHeight="1" x14ac:dyDescent="0.35">
      <c r="A13" s="24" t="s">
        <v>297</v>
      </c>
      <c r="B13" s="4" t="s">
        <v>298</v>
      </c>
      <c r="C13" s="11" t="s">
        <v>299</v>
      </c>
      <c r="D13" s="11">
        <v>3</v>
      </c>
      <c r="E13" s="11">
        <v>3</v>
      </c>
      <c r="F13" s="24">
        <v>9</v>
      </c>
      <c r="G13" s="4" t="s">
        <v>300</v>
      </c>
      <c r="H13" s="11" t="s">
        <v>157</v>
      </c>
    </row>
    <row r="14" spans="1:8" ht="60" customHeight="1" x14ac:dyDescent="0.35">
      <c r="A14" s="23" t="s">
        <v>301</v>
      </c>
      <c r="B14" s="15" t="s">
        <v>302</v>
      </c>
      <c r="C14" s="13" t="s">
        <v>274</v>
      </c>
      <c r="D14" s="13">
        <v>3</v>
      </c>
      <c r="E14" s="13">
        <v>4</v>
      </c>
      <c r="F14" s="23">
        <v>12</v>
      </c>
      <c r="G14" s="15" t="s">
        <v>303</v>
      </c>
      <c r="H14" s="13" t="s">
        <v>364</v>
      </c>
    </row>
    <row r="15" spans="1:8" ht="60" customHeight="1" x14ac:dyDescent="0.35">
      <c r="A15" s="24" t="s">
        <v>304</v>
      </c>
      <c r="B15" s="4" t="s">
        <v>305</v>
      </c>
      <c r="C15" s="11" t="s">
        <v>306</v>
      </c>
      <c r="D15" s="11">
        <v>2</v>
      </c>
      <c r="E15" s="11">
        <v>5</v>
      </c>
      <c r="F15" s="24">
        <v>10</v>
      </c>
      <c r="G15" s="4" t="s">
        <v>307</v>
      </c>
      <c r="H15" s="11" t="s">
        <v>157</v>
      </c>
    </row>
    <row r="16" spans="1:8" ht="29" x14ac:dyDescent="0.35">
      <c r="A16" s="2" t="s">
        <v>378</v>
      </c>
      <c r="B16" s="21" t="s">
        <v>379</v>
      </c>
      <c r="C16" s="2" t="s">
        <v>299</v>
      </c>
      <c r="D16" s="53">
        <v>4</v>
      </c>
      <c r="E16" s="53">
        <v>4</v>
      </c>
      <c r="F16" s="54">
        <v>16</v>
      </c>
      <c r="G16" s="21" t="s">
        <v>380</v>
      </c>
      <c r="H16" s="21" t="s">
        <v>157</v>
      </c>
    </row>
  </sheetData>
  <mergeCells count="1">
    <mergeCell ref="A1:H1"/>
  </mergeCells>
  <conditionalFormatting sqref="F4:F15">
    <cfRule type="cellIs" dxfId="2" priority="2" operator="greaterThanOrEqual">
      <formula>15</formula>
    </cfRule>
    <cfRule type="cellIs" dxfId="1" priority="3" operator="between">
      <formula>8</formula>
      <formula>14</formula>
    </cfRule>
    <cfRule type="cellIs" dxfId="0" priority="4" operator="lessThanOrEqual">
      <formula>7</formula>
    </cfRule>
  </conditionalFormatting>
  <conditionalFormatting sqref="F4:F15">
    <cfRule type="cellIs" priority="5" operator="between"/>
  </conditionalFormatting>
  <conditionalFormatting sqref="F4:F15">
    <cfRule type="colorScale" priority="6">
      <colorScale>
        <cfvo type="min"/>
        <cfvo type="num" val="10"/>
        <cfvo type="max"/>
        <color rgb="FF27AE60"/>
        <color rgb="FFF4D03F"/>
        <color rgb="FFE74C3C"/>
      </colorScale>
    </cfRule>
  </conditionalFormatting>
  <printOptions horizontalCentered="1"/>
  <pageMargins left="0.75" right="0.75" top="1" bottom="1" header="0.511811023622047" footer="0.511811023622047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67E22"/>
  </sheetPr>
  <dimension ref="A1:E24"/>
  <sheetViews>
    <sheetView zoomScaleNormal="100" workbookViewId="0">
      <selection sqref="A1:E1"/>
    </sheetView>
  </sheetViews>
  <sheetFormatPr defaultColWidth="8.6328125" defaultRowHeight="14.5" x14ac:dyDescent="0.35"/>
  <cols>
    <col min="1" max="1" width="21.81640625" customWidth="1"/>
    <col min="2" max="2" width="50.90625" style="20" customWidth="1"/>
    <col min="3" max="3" width="18.1796875" customWidth="1"/>
    <col min="4" max="4" width="63.6328125" style="20" customWidth="1"/>
    <col min="5" max="5" width="36.36328125" style="20" customWidth="1"/>
  </cols>
  <sheetData>
    <row r="1" spans="1:5" ht="35" customHeight="1" x14ac:dyDescent="0.35">
      <c r="A1" s="8" t="s">
        <v>308</v>
      </c>
      <c r="B1" s="8"/>
      <c r="C1" s="8"/>
      <c r="D1" s="8"/>
      <c r="E1" s="8"/>
    </row>
    <row r="2" spans="1:5" x14ac:dyDescent="0.35">
      <c r="A2" s="2"/>
      <c r="B2" s="21"/>
      <c r="C2" s="2"/>
      <c r="D2" s="21"/>
      <c r="E2" s="21"/>
    </row>
    <row r="3" spans="1:5" ht="28" customHeight="1" x14ac:dyDescent="0.35">
      <c r="A3" s="22" t="s">
        <v>105</v>
      </c>
      <c r="B3" s="22" t="s">
        <v>309</v>
      </c>
      <c r="C3" s="22" t="s">
        <v>310</v>
      </c>
      <c r="D3" s="22" t="s">
        <v>311</v>
      </c>
      <c r="E3" s="22" t="s">
        <v>136</v>
      </c>
    </row>
    <row r="4" spans="1:5" ht="35" customHeight="1" x14ac:dyDescent="0.35">
      <c r="A4" s="28" t="s">
        <v>156</v>
      </c>
      <c r="B4" s="14" t="s">
        <v>312</v>
      </c>
      <c r="C4" s="13" t="s">
        <v>313</v>
      </c>
      <c r="D4" s="15" t="s">
        <v>314</v>
      </c>
      <c r="E4" s="13" t="s">
        <v>157</v>
      </c>
    </row>
    <row r="5" spans="1:5" ht="35" customHeight="1" x14ac:dyDescent="0.35">
      <c r="A5" s="28" t="s">
        <v>156</v>
      </c>
      <c r="B5" s="12" t="s">
        <v>315</v>
      </c>
      <c r="C5" s="11" t="s">
        <v>316</v>
      </c>
      <c r="D5" s="4" t="s">
        <v>317</v>
      </c>
      <c r="E5" s="11" t="s">
        <v>157</v>
      </c>
    </row>
    <row r="6" spans="1:5" ht="35" customHeight="1" x14ac:dyDescent="0.35">
      <c r="A6" s="28" t="s">
        <v>156</v>
      </c>
      <c r="B6" s="14" t="s">
        <v>318</v>
      </c>
      <c r="C6" s="13" t="s">
        <v>313</v>
      </c>
      <c r="D6" s="15" t="s">
        <v>319</v>
      </c>
      <c r="E6" s="13" t="s">
        <v>157</v>
      </c>
    </row>
    <row r="7" spans="1:5" ht="35" customHeight="1" x14ac:dyDescent="0.35">
      <c r="A7" s="29" t="s">
        <v>165</v>
      </c>
      <c r="B7" s="12" t="s">
        <v>320</v>
      </c>
      <c r="C7" s="11" t="s">
        <v>313</v>
      </c>
      <c r="D7" s="4" t="s">
        <v>321</v>
      </c>
      <c r="E7" s="11" t="s">
        <v>255</v>
      </c>
    </row>
    <row r="8" spans="1:5" ht="35" customHeight="1" x14ac:dyDescent="0.35">
      <c r="A8" s="29" t="s">
        <v>165</v>
      </c>
      <c r="B8" s="14" t="s">
        <v>322</v>
      </c>
      <c r="C8" s="13" t="s">
        <v>323</v>
      </c>
      <c r="D8" s="15" t="s">
        <v>324</v>
      </c>
      <c r="E8" s="13" t="s">
        <v>365</v>
      </c>
    </row>
    <row r="9" spans="1:5" ht="35" customHeight="1" x14ac:dyDescent="0.35">
      <c r="A9" s="30" t="s">
        <v>325</v>
      </c>
      <c r="B9" s="12" t="s">
        <v>326</v>
      </c>
      <c r="C9" s="11" t="s">
        <v>327</v>
      </c>
      <c r="D9" s="4" t="s">
        <v>328</v>
      </c>
      <c r="E9" s="11" t="s">
        <v>365</v>
      </c>
    </row>
    <row r="10" spans="1:5" ht="35" customHeight="1" x14ac:dyDescent="0.35">
      <c r="A10" s="30" t="s">
        <v>325</v>
      </c>
      <c r="B10" s="14" t="s">
        <v>329</v>
      </c>
      <c r="C10" s="13" t="s">
        <v>327</v>
      </c>
      <c r="D10" s="15" t="s">
        <v>330</v>
      </c>
      <c r="E10" s="13" t="s">
        <v>365</v>
      </c>
    </row>
    <row r="11" spans="1:5" ht="35" customHeight="1" x14ac:dyDescent="0.35">
      <c r="A11" s="30" t="s">
        <v>325</v>
      </c>
      <c r="B11" s="12" t="s">
        <v>331</v>
      </c>
      <c r="C11" s="11" t="s">
        <v>332</v>
      </c>
      <c r="D11" s="4" t="s">
        <v>333</v>
      </c>
      <c r="E11" s="11" t="s">
        <v>365</v>
      </c>
    </row>
    <row r="12" spans="1:5" ht="35" customHeight="1" x14ac:dyDescent="0.35">
      <c r="A12" s="31" t="s">
        <v>181</v>
      </c>
      <c r="B12" s="14" t="s">
        <v>334</v>
      </c>
      <c r="C12" s="13" t="s">
        <v>316</v>
      </c>
      <c r="D12" s="15" t="s">
        <v>335</v>
      </c>
      <c r="E12" s="13" t="s">
        <v>364</v>
      </c>
    </row>
    <row r="13" spans="1:5" ht="35" customHeight="1" x14ac:dyDescent="0.35">
      <c r="A13" s="31" t="s">
        <v>181</v>
      </c>
      <c r="B13" s="12" t="s">
        <v>336</v>
      </c>
      <c r="C13" s="11" t="s">
        <v>313</v>
      </c>
      <c r="D13" s="4" t="s">
        <v>337</v>
      </c>
      <c r="E13" s="11" t="s">
        <v>255</v>
      </c>
    </row>
    <row r="14" spans="1:5" ht="35" customHeight="1" x14ac:dyDescent="0.35">
      <c r="A14" s="31" t="s">
        <v>181</v>
      </c>
      <c r="B14" s="14" t="s">
        <v>338</v>
      </c>
      <c r="C14" s="13" t="s">
        <v>316</v>
      </c>
      <c r="D14" s="15" t="s">
        <v>339</v>
      </c>
      <c r="E14" s="13" t="s">
        <v>255</v>
      </c>
    </row>
    <row r="15" spans="1:5" ht="35" customHeight="1" x14ac:dyDescent="0.35">
      <c r="A15" s="32" t="s">
        <v>189</v>
      </c>
      <c r="B15" s="12" t="s">
        <v>340</v>
      </c>
      <c r="C15" s="11" t="s">
        <v>316</v>
      </c>
      <c r="D15" s="4" t="s">
        <v>341</v>
      </c>
      <c r="E15" s="11" t="s">
        <v>364</v>
      </c>
    </row>
    <row r="16" spans="1:5" ht="35" customHeight="1" x14ac:dyDescent="0.35">
      <c r="A16" s="32" t="s">
        <v>189</v>
      </c>
      <c r="B16" s="14" t="s">
        <v>342</v>
      </c>
      <c r="C16" s="13" t="s">
        <v>343</v>
      </c>
      <c r="D16" s="15" t="s">
        <v>344</v>
      </c>
      <c r="E16" s="13" t="s">
        <v>255</v>
      </c>
    </row>
    <row r="17" spans="1:5" ht="35" customHeight="1" x14ac:dyDescent="0.35">
      <c r="A17" s="32" t="s">
        <v>189</v>
      </c>
      <c r="B17" s="12" t="s">
        <v>345</v>
      </c>
      <c r="C17" s="11" t="s">
        <v>316</v>
      </c>
      <c r="D17" s="4" t="s">
        <v>346</v>
      </c>
      <c r="E17" s="11" t="s">
        <v>364</v>
      </c>
    </row>
    <row r="18" spans="1:5" ht="35" customHeight="1" x14ac:dyDescent="0.35">
      <c r="A18" s="32" t="s">
        <v>189</v>
      </c>
      <c r="B18" s="14" t="s">
        <v>347</v>
      </c>
      <c r="C18" s="13" t="s">
        <v>316</v>
      </c>
      <c r="D18" s="15" t="s">
        <v>348</v>
      </c>
      <c r="E18" s="13" t="s">
        <v>364</v>
      </c>
    </row>
    <row r="19" spans="1:5" ht="35" customHeight="1" x14ac:dyDescent="0.35">
      <c r="A19" s="33" t="s">
        <v>197</v>
      </c>
      <c r="B19" s="12" t="s">
        <v>349</v>
      </c>
      <c r="C19" s="11" t="s">
        <v>316</v>
      </c>
      <c r="D19" s="4" t="s">
        <v>350</v>
      </c>
      <c r="E19" s="11" t="s">
        <v>255</v>
      </c>
    </row>
    <row r="20" spans="1:5" ht="35" customHeight="1" x14ac:dyDescent="0.35">
      <c r="A20" s="33" t="s">
        <v>197</v>
      </c>
      <c r="B20" s="14" t="s">
        <v>351</v>
      </c>
      <c r="C20" s="13" t="s">
        <v>313</v>
      </c>
      <c r="D20" s="15" t="s">
        <v>352</v>
      </c>
      <c r="E20" s="13" t="s">
        <v>157</v>
      </c>
    </row>
    <row r="21" spans="1:5" ht="35" customHeight="1" x14ac:dyDescent="0.35">
      <c r="A21" s="34" t="s">
        <v>203</v>
      </c>
      <c r="B21" s="12" t="s">
        <v>353</v>
      </c>
      <c r="C21" s="11" t="s">
        <v>354</v>
      </c>
      <c r="D21" s="4" t="s">
        <v>355</v>
      </c>
      <c r="E21" s="11" t="s">
        <v>372</v>
      </c>
    </row>
    <row r="22" spans="1:5" ht="35" customHeight="1" x14ac:dyDescent="0.35">
      <c r="A22" s="34" t="s">
        <v>203</v>
      </c>
      <c r="B22" s="14" t="s">
        <v>356</v>
      </c>
      <c r="C22" s="13" t="s">
        <v>313</v>
      </c>
      <c r="D22" s="15" t="s">
        <v>357</v>
      </c>
      <c r="E22" s="13" t="s">
        <v>255</v>
      </c>
    </row>
    <row r="23" spans="1:5" ht="35" customHeight="1" x14ac:dyDescent="0.35">
      <c r="A23" s="34" t="s">
        <v>203</v>
      </c>
      <c r="B23" s="12" t="s">
        <v>358</v>
      </c>
      <c r="C23" s="11" t="s">
        <v>359</v>
      </c>
      <c r="D23" s="4" t="s">
        <v>360</v>
      </c>
      <c r="E23" s="11" t="s">
        <v>157</v>
      </c>
    </row>
    <row r="24" spans="1:5" ht="35" customHeight="1" x14ac:dyDescent="0.35">
      <c r="A24" s="35" t="s">
        <v>208</v>
      </c>
      <c r="B24" s="14" t="s">
        <v>361</v>
      </c>
      <c r="C24" s="13" t="s">
        <v>362</v>
      </c>
      <c r="D24" s="15" t="s">
        <v>363</v>
      </c>
      <c r="E24" s="13" t="s">
        <v>157</v>
      </c>
    </row>
  </sheetData>
  <mergeCells count="1">
    <mergeCell ref="A1:E1"/>
  </mergeCells>
  <printOptions horizontalCentered="1"/>
  <pageMargins left="0.75" right="0.75" top="1" bottom="1" header="0.511811023622047" footer="0.511811023622047"/>
  <pageSetup paperSize="9" orientation="landscape" horizontalDpi="300" verticalDpi="300"/>
</worksheet>
</file>

<file path=docMetadata/LabelInfo.xml><?xml version="1.0" encoding="utf-8"?>
<clbl:labelList xmlns:clbl="http://schemas.microsoft.com/office/2020/mipLabelMetadata">
  <clbl:label id="{e7f09a8f-df31-4464-b100-d09a5dbff5c8}" enabled="1" method="Standard" siteId="{570057f4-73ef-41c8-bcbb-08db2fc15c2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Assumptions</vt:lpstr>
      <vt:lpstr>Phase Summary</vt:lpstr>
      <vt:lpstr>WBS &amp; Gantt</vt:lpstr>
      <vt:lpstr>RACI</vt:lpstr>
      <vt:lpstr>Resource Plan</vt:lpstr>
      <vt:lpstr>Risk Register</vt:lpstr>
      <vt:lpstr>Deliverables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Upendra Kumar</cp:lastModifiedBy>
  <cp:revision>0</cp:revision>
  <dcterms:created xsi:type="dcterms:W3CDTF">2026-04-25T14:41:08Z</dcterms:created>
  <dcterms:modified xsi:type="dcterms:W3CDTF">2026-04-25T15:30:42Z</dcterms:modified>
  <dc:language>en-US</dc:language>
</cp:coreProperties>
</file>