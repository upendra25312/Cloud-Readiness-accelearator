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tamirpur_microsoft_com/Documents/Customer Docs/Solution Engineer/DMGT/New_Data/Feedback_Response_1304/"/>
    </mc:Choice>
  </mc:AlternateContent>
  <xr:revisionPtr revIDLastSave="706" documentId="8_{8A04509F-0E2E-4E82-83A9-F6C9F3FB9F0A}" xr6:coauthVersionLast="47" xr6:coauthVersionMax="47" xr10:uidLastSave="{1678A680-044E-4A1E-9B14-E445F55441C1}"/>
  <bookViews>
    <workbookView xWindow="-110" yWindow="-110" windowWidth="25180" windowHeight="16140" xr2:uid="{B9B142F7-8A78-44FF-AE68-913594AD7062}"/>
  </bookViews>
  <sheets>
    <sheet name="Total Cost Summary" sheetId="1" r:id="rId1"/>
    <sheet name="Oracle - Azure UK South Pricing" sheetId="2" r:id="rId2"/>
    <sheet name="Oracle - Azure NEU Pricing" sheetId="3" r:id="rId3"/>
    <sheet name="Oracle - Azure GWC Pric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C23" i="1"/>
  <c r="B23" i="1"/>
  <c r="B22" i="1"/>
  <c r="T15" i="4"/>
  <c r="S15" i="4"/>
  <c r="R15" i="4"/>
  <c r="Q15" i="4"/>
  <c r="P15" i="4"/>
  <c r="O15" i="4"/>
  <c r="N23" i="4"/>
  <c r="N22" i="4"/>
  <c r="N21" i="4"/>
  <c r="N20" i="4"/>
  <c r="N19" i="4"/>
  <c r="N18" i="4"/>
  <c r="P15" i="3"/>
  <c r="Q15" i="3"/>
  <c r="R15" i="3"/>
  <c r="S15" i="3"/>
  <c r="T15" i="3"/>
  <c r="O15" i="3"/>
  <c r="N24" i="3"/>
  <c r="N23" i="3"/>
  <c r="N22" i="3"/>
  <c r="N21" i="3"/>
  <c r="N20" i="3"/>
  <c r="N19" i="3"/>
  <c r="N18" i="3"/>
  <c r="C21" i="1"/>
  <c r="B21" i="1"/>
  <c r="N24" i="2"/>
  <c r="P15" i="2"/>
  <c r="Q15" i="2"/>
  <c r="R15" i="2"/>
  <c r="S15" i="2"/>
  <c r="T15" i="2"/>
  <c r="N19" i="2"/>
  <c r="N20" i="2"/>
  <c r="N21" i="2"/>
  <c r="N22" i="2"/>
  <c r="N23" i="2"/>
  <c r="N18" i="2"/>
  <c r="O15" i="2"/>
  <c r="M21" i="4"/>
  <c r="M23" i="4"/>
  <c r="M22" i="4"/>
  <c r="M20" i="4"/>
  <c r="M19" i="4"/>
  <c r="M18" i="4"/>
  <c r="T14" i="4"/>
  <c r="R14" i="4"/>
  <c r="P14" i="4"/>
  <c r="I14" i="4"/>
  <c r="T13" i="4"/>
  <c r="R13" i="4"/>
  <c r="P13" i="4"/>
  <c r="I13" i="4"/>
  <c r="T12" i="4"/>
  <c r="R12" i="4"/>
  <c r="P12" i="4"/>
  <c r="I12" i="4"/>
  <c r="T11" i="4"/>
  <c r="R11" i="4"/>
  <c r="P11" i="4"/>
  <c r="I11" i="4"/>
  <c r="T10" i="4"/>
  <c r="R10" i="4"/>
  <c r="P10" i="4"/>
  <c r="I10" i="4"/>
  <c r="T9" i="4"/>
  <c r="R9" i="4"/>
  <c r="P9" i="4"/>
  <c r="I9" i="4"/>
  <c r="E4" i="4"/>
  <c r="D4" i="4"/>
  <c r="C4" i="4"/>
  <c r="M23" i="3"/>
  <c r="M22" i="3"/>
  <c r="M21" i="3"/>
  <c r="M20" i="3"/>
  <c r="M19" i="3"/>
  <c r="M18" i="3"/>
  <c r="T14" i="3"/>
  <c r="R14" i="3"/>
  <c r="P14" i="3"/>
  <c r="I14" i="3"/>
  <c r="T13" i="3"/>
  <c r="R13" i="3"/>
  <c r="P13" i="3"/>
  <c r="I13" i="3"/>
  <c r="T12" i="3"/>
  <c r="R12" i="3"/>
  <c r="P12" i="3"/>
  <c r="I12" i="3"/>
  <c r="T11" i="3"/>
  <c r="R11" i="3"/>
  <c r="P11" i="3"/>
  <c r="I11" i="3"/>
  <c r="T10" i="3"/>
  <c r="R10" i="3"/>
  <c r="P10" i="3"/>
  <c r="I10" i="3"/>
  <c r="T9" i="3"/>
  <c r="R9" i="3"/>
  <c r="P9" i="3"/>
  <c r="I9" i="3"/>
  <c r="E4" i="3"/>
  <c r="D4" i="3"/>
  <c r="C4" i="3"/>
  <c r="E4" i="2"/>
  <c r="D4" i="2"/>
  <c r="E3" i="2"/>
  <c r="D3" i="2"/>
  <c r="C3" i="2"/>
  <c r="M19" i="2"/>
  <c r="M20" i="2"/>
  <c r="M21" i="2"/>
  <c r="M22" i="2"/>
  <c r="M23" i="2"/>
  <c r="M18" i="2"/>
  <c r="T10" i="2"/>
  <c r="T11" i="2"/>
  <c r="T12" i="2"/>
  <c r="T13" i="2"/>
  <c r="T14" i="2"/>
  <c r="T9" i="2"/>
  <c r="R10" i="2"/>
  <c r="R11" i="2"/>
  <c r="R12" i="2"/>
  <c r="R13" i="2"/>
  <c r="R14" i="2"/>
  <c r="R9" i="2"/>
  <c r="P10" i="2"/>
  <c r="P11" i="2"/>
  <c r="P12" i="2"/>
  <c r="P13" i="2"/>
  <c r="P14" i="2"/>
  <c r="P9" i="2"/>
  <c r="I14" i="2"/>
  <c r="I13" i="2"/>
  <c r="I12" i="2"/>
  <c r="I11" i="2"/>
  <c r="I10" i="2"/>
  <c r="I9" i="2"/>
  <c r="D5" i="1"/>
  <c r="D4" i="1"/>
  <c r="D3" i="1"/>
  <c r="D11" i="1"/>
  <c r="D10" i="1"/>
  <c r="D9" i="1"/>
  <c r="D16" i="1"/>
  <c r="D17" i="1"/>
  <c r="D15" i="1"/>
  <c r="N24" i="4" l="1"/>
  <c r="D5" i="2"/>
  <c r="E9" i="1" s="1"/>
  <c r="F9" i="1" s="1"/>
  <c r="E5" i="2"/>
  <c r="E15" i="1" s="1"/>
  <c r="C5" i="2"/>
  <c r="E3" i="1" s="1"/>
  <c r="E3" i="4"/>
  <c r="D3" i="4"/>
  <c r="C3" i="4"/>
  <c r="E5" i="4"/>
  <c r="D5" i="4"/>
  <c r="E11" i="1" s="1"/>
  <c r="F11" i="1" s="1"/>
  <c r="C5" i="4"/>
  <c r="E3" i="3"/>
  <c r="C3" i="3"/>
  <c r="E5" i="3"/>
  <c r="E16" i="1" s="1"/>
  <c r="C5" i="3"/>
  <c r="E4" i="1" s="1"/>
  <c r="D3" i="3"/>
  <c r="D5" i="3" s="1"/>
  <c r="E10" i="1" s="1"/>
  <c r="F10" i="1" s="1"/>
  <c r="C4" i="2"/>
  <c r="E17" i="1" l="1"/>
  <c r="F17" i="1" s="1"/>
  <c r="E5" i="1"/>
  <c r="F5" i="1" s="1"/>
  <c r="F16" i="1"/>
  <c r="F4" i="1"/>
  <c r="F15" i="1"/>
  <c r="F3" i="1"/>
  <c r="D23" i="1" l="1"/>
  <c r="E23" i="1" s="1"/>
  <c r="D22" i="1"/>
  <c r="E22" i="1" s="1"/>
  <c r="D21" i="1"/>
  <c r="E21" i="1" s="1"/>
</calcChain>
</file>

<file path=xl/sharedStrings.xml><?xml version="1.0" encoding="utf-8"?>
<sst xmlns="http://schemas.openxmlformats.org/spreadsheetml/2006/main" count="436" uniqueCount="84">
  <si>
    <t>Cost Model A: Like for Like Migration (PAYG)</t>
  </si>
  <si>
    <t>Region</t>
  </si>
  <si>
    <t>Monthly Compute Cost</t>
  </si>
  <si>
    <t>Monthly Storage Cost</t>
  </si>
  <si>
    <t>Total Cost</t>
  </si>
  <si>
    <t>Oracle Server Separate Costs</t>
  </si>
  <si>
    <t>Annual Cost</t>
  </si>
  <si>
    <t>UK South</t>
  </si>
  <si>
    <t>North Europe</t>
  </si>
  <si>
    <t>Germany West Central</t>
  </si>
  <si>
    <t>Cost Model B: Like for Like (Reserved Instances)</t>
  </si>
  <si>
    <t>Total Monthly Cost</t>
  </si>
  <si>
    <t>Cost Model C: Reserved Instances (w/ Azure Hybrid Benefit)</t>
  </si>
  <si>
    <t>Cost Model D: Enteprise Cost Profile (w/ Azure Hybrid Benefit) *Includes Large Oracle Servers</t>
  </si>
  <si>
    <t>Monthly PAYG @ 30%</t>
  </si>
  <si>
    <t>Monthly Ris @70%</t>
  </si>
  <si>
    <t xml:space="preserve"> Monthly Cost</t>
  </si>
  <si>
    <t xml:space="preserve"> </t>
  </si>
  <si>
    <t>Notes</t>
  </si>
  <si>
    <t>The numbers above require a full assessment to ensure we provide accurate numbers for an Azure migration. Not based on a "point of time" data output</t>
  </si>
  <si>
    <t>Assumptions</t>
  </si>
  <si>
    <t>Summary for UK South</t>
  </si>
  <si>
    <t>PAYG Compute</t>
  </si>
  <si>
    <t>Ris Compute</t>
  </si>
  <si>
    <t>Ris (w/AHB) Compute</t>
  </si>
  <si>
    <t>Total Yearly Compute Cost</t>
  </si>
  <si>
    <t>Total Yearly Disk Price</t>
  </si>
  <si>
    <t>Total for each Cost Annual Model</t>
  </si>
  <si>
    <t>UK South Pricing - Compute</t>
  </si>
  <si>
    <t>Name</t>
  </si>
  <si>
    <t>Class</t>
  </si>
  <si>
    <t>Database?</t>
  </si>
  <si>
    <t>Business Service</t>
  </si>
  <si>
    <t>Server Location</t>
  </si>
  <si>
    <t>Prod/NonProd Asset</t>
  </si>
  <si>
    <t>Cores</t>
  </si>
  <si>
    <t>Memory (GB)</t>
  </si>
  <si>
    <t>Memory (MB)</t>
  </si>
  <si>
    <t>Storage (GB)</t>
  </si>
  <si>
    <t>Azure Mapping</t>
  </si>
  <si>
    <t>Recommended Azure VM SKU</t>
  </si>
  <si>
    <t>Details on SKU</t>
  </si>
  <si>
    <t xml:space="preserve">Monthly SKU PAYG Price </t>
  </si>
  <si>
    <t>Yearly Price - PAYG</t>
  </si>
  <si>
    <t xml:space="preserve">Monthly SKU Ris Price </t>
  </si>
  <si>
    <t>Yearly Price - Ris</t>
  </si>
  <si>
    <t>Monthly SKU Ris Price (w/ AHB)</t>
  </si>
  <si>
    <t>Yearly Price - Ris w/ AHB</t>
  </si>
  <si>
    <t>oracle-a1.hsk.mol.dmgt.net</t>
  </si>
  <si>
    <t>Linux Server</t>
  </si>
  <si>
    <t>Oracle</t>
  </si>
  <si>
    <t>MOL - Oracle</t>
  </si>
  <si>
    <t>Slough</t>
  </si>
  <si>
    <t>MOL Production</t>
  </si>
  <si>
    <t xml:space="preserve">16 vCPUs </t>
  </si>
  <si>
    <t>E32-8ads v7</t>
  </si>
  <si>
    <t>8 vCPUs, 256 GB RAM, 1760 GB Temp Storage</t>
  </si>
  <si>
    <t>oracle-a1.int.mol.dmgt.net</t>
  </si>
  <si>
    <t>MOL Non Production</t>
  </si>
  <si>
    <t>16 CPUs</t>
  </si>
  <si>
    <t>oracle-a2.hsk.mol.dmgt.net</t>
  </si>
  <si>
    <t>oracle-a2.int.mol.dmgt.net</t>
  </si>
  <si>
    <t>oracle-b1.hsk.mol.dmgt.net</t>
  </si>
  <si>
    <t>oracle-b2.hsk.mol.dmgt.net</t>
  </si>
  <si>
    <t>SLough</t>
  </si>
  <si>
    <t>UK South Pricing - Storage</t>
  </si>
  <si>
    <t>Recommended Disk</t>
  </si>
  <si>
    <t>Disk 1</t>
  </si>
  <si>
    <t>Monthly Price</t>
  </si>
  <si>
    <t>Disk 2</t>
  </si>
  <si>
    <t xml:space="preserve">Disk 3 </t>
  </si>
  <si>
    <t>Disk 4 (where applicable)</t>
  </si>
  <si>
    <t>Annual Price in Total</t>
  </si>
  <si>
    <t>Monthly Cost for Cost Model D</t>
  </si>
  <si>
    <t>Premium SSD LRS</t>
  </si>
  <si>
    <t>P80 (32767 GiB)</t>
  </si>
  <si>
    <t>P70 (16384 GiB)</t>
  </si>
  <si>
    <t>N/A</t>
  </si>
  <si>
    <t>Summary for North Europe</t>
  </si>
  <si>
    <t>North Europe Pricing - Compute</t>
  </si>
  <si>
    <t>North Europe Pricing - Storage</t>
  </si>
  <si>
    <t>Summary for Germany West Central</t>
  </si>
  <si>
    <t>Germany West Central Pricing - Compute</t>
  </si>
  <si>
    <t>Germany West Central Pricing -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</si>
</sst>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[$$-409]* #,##0.00_ ;_-[$$-409]* \-#,##0.00\ ;_-[$$-409]* &quot;-&quot;??_ ;_-@_ "/>
    <numFmt numFmtId="166" formatCode="_-[$£-809]* #,##0.00_-;\-[$£-809]* #,##0.00_-;_-[$£-809]* &quot;-&quot;??_-;_-@_-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3" fontId="3" fillId="0" borderId="1" xfId="1" applyNumberFormat="1" applyBorder="1"/>
    <xf numFmtId="3" fontId="3" fillId="6" borderId="1" xfId="1" applyNumberForma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165" fontId="0" fillId="0" borderId="0" xfId="0" applyNumberFormat="1"/>
    <xf numFmtId="166" fontId="1" fillId="2" borderId="1" xfId="0" applyNumberFormat="1" applyFont="1" applyFill="1" applyBorder="1"/>
    <xf numFmtId="166" fontId="2" fillId="2" borderId="1" xfId="0" applyNumberFormat="1" applyFont="1" applyFill="1" applyBorder="1" applyAlignment="1">
      <alignment horizontal="left" vertical="top" wrapText="1"/>
    </xf>
    <xf numFmtId="164" fontId="1" fillId="3" borderId="1" xfId="2" applyFont="1" applyFill="1" applyBorder="1"/>
    <xf numFmtId="164" fontId="1" fillId="4" borderId="1" xfId="2" applyFont="1" applyFill="1" applyBorder="1"/>
    <xf numFmtId="0" fontId="1" fillId="7" borderId="1" xfId="0" applyFont="1" applyFill="1" applyBorder="1"/>
    <xf numFmtId="164" fontId="1" fillId="7" borderId="1" xfId="2" applyFont="1" applyFill="1" applyBorder="1"/>
    <xf numFmtId="0" fontId="0" fillId="0" borderId="0" xfId="0" applyAlignment="1">
      <alignment wrapText="1"/>
    </xf>
    <xf numFmtId="0" fontId="1" fillId="5" borderId="0" xfId="0" applyFont="1" applyFill="1"/>
    <xf numFmtId="0" fontId="1" fillId="0" borderId="0" xfId="0" applyFont="1" applyAlignment="1">
      <alignment vertical="center" wrapText="1"/>
    </xf>
    <xf numFmtId="166" fontId="0" fillId="0" borderId="0" xfId="0" applyNumberFormat="1"/>
    <xf numFmtId="0" fontId="5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166" fontId="0" fillId="0" borderId="1" xfId="0" applyNumberFormat="1" applyBorder="1"/>
    <xf numFmtId="164" fontId="0" fillId="0" borderId="1" xfId="2" applyFont="1" applyBorder="1"/>
    <xf numFmtId="0" fontId="0" fillId="0" borderId="4" xfId="0" applyBorder="1"/>
    <xf numFmtId="164" fontId="0" fillId="0" borderId="2" xfId="2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2" applyFont="1" applyBorder="1"/>
    <xf numFmtId="164" fontId="0" fillId="0" borderId="11" xfId="2" applyFont="1" applyBorder="1"/>
    <xf numFmtId="164" fontId="1" fillId="0" borderId="1" xfId="0" applyNumberFormat="1" applyFont="1" applyBorder="1"/>
    <xf numFmtId="0" fontId="1" fillId="7" borderId="0" xfId="0" applyFont="1" applyFill="1"/>
    <xf numFmtId="166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Normal 3" xfId="1" xr:uid="{C2E6C0C9-8753-4109-8843-8EA45D8A822E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0FDD0-7339-4611-B694-44CB2FD0B4DF}" name="Table1" displayName="Table1" ref="B2:E5" totalsRowShown="0" headerRowDxfId="23" headerRowBorderDxfId="21" tableBorderDxfId="22" totalsRowBorderDxfId="20">
  <autoFilter ref="B2:E5" xr:uid="{CE80FDD0-7339-4611-B694-44CB2FD0B4DF}"/>
  <tableColumns count="4">
    <tableColumn id="1" xr3:uid="{8D451A63-0528-499B-B985-33A818D03F32}" name="Summary for UK South" dataDxfId="19"/>
    <tableColumn id="2" xr3:uid="{51A5ED7A-CB8A-4639-846F-D7D98F7A78E0}" name="PAYG Compute" dataDxfId="18" dataCellStyle="Currency">
      <calculatedColumnFormula>SUM(M17:M22)</calculatedColumnFormula>
    </tableColumn>
    <tableColumn id="3" xr3:uid="{501CFEE1-F93C-4E83-B552-406D98A3887A}" name="Ris Compute" dataDxfId="17" dataCellStyle="Currency">
      <calculatedColumnFormula>SUM(M17:M22)</calculatedColumnFormula>
    </tableColumn>
    <tableColumn id="4" xr3:uid="{2040FDB0-9765-4ADD-8CE0-68EAC845818E}" name="Ris (w/AHB) Compute" dataDxfId="16" dataCellStyle="Currency">
      <calculatedColumnFormula>SUM(M17:M22)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D0A36-9D38-492A-8404-AFD6B291D24C}" name="Table13" displayName="Table13" ref="B2:E5" totalsRowShown="0" headerRowDxfId="15" headerRowBorderDxfId="13" tableBorderDxfId="14" totalsRowBorderDxfId="12">
  <autoFilter ref="B2:E5" xr:uid="{CE80FDD0-7339-4611-B694-44CB2FD0B4DF}"/>
  <tableColumns count="4">
    <tableColumn id="1" xr3:uid="{9A14AD3E-4A31-4CC9-A4AE-829B472FA0C3}" name="Summary for North Europe" dataDxfId="11"/>
    <tableColumn id="2" xr3:uid="{79E649C4-3680-4AAE-9B2C-76531A1206F1}" name="PAYG Compute" dataDxfId="10" dataCellStyle="Currency">
      <calculatedColumnFormula>SUM(M17:M22)</calculatedColumnFormula>
    </tableColumn>
    <tableColumn id="3" xr3:uid="{483A85D6-7A14-4CA5-99D2-615A72CF9341}" name="Ris Compute" dataDxfId="9" dataCellStyle="Currency">
      <calculatedColumnFormula>SUM(M17:M22)</calculatedColumnFormula>
    </tableColumn>
    <tableColumn id="4" xr3:uid="{68FA09F4-D36C-4E49-B5AB-3F7C16FA5F59}" name="Ris (w/AHB) Compute" dataDxfId="8" dataCellStyle="Currency">
      <calculatedColumnFormula>SUM(M17:M22)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F878FE-BEAF-4C42-9660-ABA77C8AF090}" name="Table14" displayName="Table14" ref="B2:E5" totalsRowShown="0" headerRowDxfId="7" headerRowBorderDxfId="5" tableBorderDxfId="6" totalsRowBorderDxfId="4">
  <autoFilter ref="B2:E5" xr:uid="{CE80FDD0-7339-4611-B694-44CB2FD0B4DF}"/>
  <tableColumns count="4">
    <tableColumn id="1" xr3:uid="{4FD033F1-1C2B-4C03-A95D-E16D2B87C1A7}" name="Summary for Germany West Central" dataDxfId="3"/>
    <tableColumn id="2" xr3:uid="{66086309-A479-4FF0-BC41-DFA2899BC962}" name="PAYG Compute" dataDxfId="2" dataCellStyle="Currency">
      <calculatedColumnFormula>SUM(M17:M22)</calculatedColumnFormula>
    </tableColumn>
    <tableColumn id="3" xr3:uid="{F9512544-7406-4D9E-8465-F99909069555}" name="Ris Compute" dataDxfId="1" dataCellStyle="Currency">
      <calculatedColumnFormula>SUM(M17:M22)</calculatedColumnFormula>
    </tableColumn>
    <tableColumn id="4" xr3:uid="{F96AEB67-62BD-435C-ACC4-DD4D6419F399}" name="Ris (w/AHB) Compute" dataDxfId="0" dataCellStyle="Currency">
      <calculatedColumnFormula>SUM(M17:M22)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D4CEA9-A97A-4D21-B560-ED4EAB73381C}">
  <we:reference id="4744aa06-9d55-4f98-893c-bd1bc37134c0" version="1.0.65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_xldudf_XA2_FORMATPRICE</we:customFunctionIds>
        <we:customFunctionIds>_xldudf_XA2_GETAKS</we:customFunctionIds>
        <we:customFunctionIds>_xldudf_XA2_GETALLAPPSERVICESKUS</we:customFunctionIds>
        <we:customFunctionIds>_xldudf_XA2_GETANF</we:customFunctionIds>
        <we:customFunctionIds>_xldudf_XA2_GETAPPSERVICE</we:customFunctionIds>
        <we:customFunctionIds>_xldudf_XA2_GETAPPSERVICESKUS</we:customFunctionIds>
        <we:customFunctionIds>_xldudf_XA2_GETASRCOSTPERMONTH</we:customFunctionIds>
        <we:customFunctionIds>_xldudf_XA2_GETAVS</we:customFunctionIds>
        <we:customFunctionIds>_xldudf_XA2_GETAWSDISKPRICEMONTH</we:customFunctionIds>
        <we:customFunctionIds>_xldudf_XA2_GETAWSDISKTYPES</we:customFunctionIds>
        <we:customFunctionIds>_xldudf_XA2_GETAWSS3</we:customFunctionIds>
        <we:customFunctionIds>_xldudf_XA2_GETAZUREFILESMONTHLYCOST</we:customFunctionIds>
        <we:customFunctionIds>_xldudf_XA2_GETAZUREFXRATES</we:customFunctionIds>
        <we:customFunctionIds>_xldudf_XA2_GETBACKUPCOST</we:customFunctionIds>
        <we:customFunctionIds>_xldudf_XA2_GETBACKUPRESERVATIONCOST</we:customFunctionIds>
        <we:customFunctionIds>_xldudf_XA2_GETBANDEDCOST</we:customFunctionIds>
        <we:customFunctionIds>_xldudf_XA2_GETBLOBSTORAGE</we:customFunctionIds>
        <we:customFunctionIds>_xldudf_XA2_GETCACHEINFO</we:customFunctionIds>
        <we:customFunctionIds>_xldudf_XA2_GETCOMMITMENTTIERPRICE</we:customFunctionIds>
        <we:customFunctionIds>_xldudf_XA2_GETCONFIGVARIABLES</we:customFunctionIds>
        <we:customFunctionIds>_xldudf_XA2_GETCONSUMPTIONTYPES</we:customFunctionIds>
        <we:customFunctionIds>_xldudf_XA2_GETCURRENCIES</we:customFunctionIds>
        <we:customFunctionIds>_xldudf_XA2_GETDISKCAPABILITIES</we:customFunctionIds>
        <we:customFunctionIds>_xldudf_XA2_GETDISKCAPABILITY</we:customFunctionIds>
        <we:customFunctionIds>_xldudf_XA2_GETESAN</we:customFunctionIds>
        <we:customFunctionIds>_xldudf_XA2_GETGCPCLOUDSTORAGE</we:customFunctionIds>
        <we:customFunctionIds>_xldudf_XA2_GETGCPDISKPRICEMONTH</we:customFunctionIds>
        <we:customFunctionIds>_xldudf_XA2_GETLATESTVM</we:customFunctionIds>
        <we:customFunctionIds>_xldudf_XA2_GETMANAGEDDISK</we:customFunctionIds>
        <we:customFunctionIds>_xldudf_XA2_GETMANAGEDDISK2</we:customFunctionIds>
        <we:customFunctionIds>_xldudf_XA2_GETMANAGEDDISK3</we:customFunctionIds>
        <we:customFunctionIds>_xldudf_XA2_GETMANAGEDDISK4</we:customFunctionIds>
        <we:customFunctionIds>_xldudf_XA2_GETMANAGEDDISKPRICEMONTH</we:customFunctionIds>
        <we:customFunctionIds>_xldudf_XA2_GETMANAGEDDISKTYPES</we:customFunctionIds>
        <we:customFunctionIds>_xldudf_XA2_GETPRICE</we:customFunctionIds>
        <we:customFunctionIds>_xldudf_XA2_GETPRICE2</we:customFunctionIds>
        <we:customFunctionIds>_xldudf_XA2_GETPRICE3</we:customFunctionIds>
        <we:customFunctionIds>_xldudf_XA2_GETPRICEBYMETERID</we:customFunctionIds>
        <we:customFunctionIds>_xldudf_XA2_GETPRICES</we:customFunctionIds>
        <we:customFunctionIds>_xldudf_XA2_GETREGION</we:customFunctionIds>
        <we:customFunctionIds>_xldudf_XA2_GETREGIONS</we:customFunctionIds>
        <we:customFunctionIds>_xldudf_XA2_GETSQLDATABASE</we:customFunctionIds>
        <we:customFunctionIds>_xldudf_XA2_GETVERSION</we:customFunctionIds>
        <we:customFunctionIds>_xldudf_XA2_GETVM</we:customFunctionIds>
        <we:customFunctionIds>_xldudf_XA2_GETVM2</we:customFunctionIds>
        <we:customFunctionIds>_xldudf_XA2_GETVM3</we:customFunctionIds>
        <we:customFunctionIds>_xldudf_XA2_GETVMBASKET</we:customFunctionIds>
        <we:customFunctionIds>_xldudf_XA2_GETVMBYNAME</we:customFunctionIds>
        <we:customFunctionIds>_xldudf_XA2_GETVMBYNAME2</we:customFunctionIds>
        <we:customFunctionIds>_xldudf_XA2_GETVMCAPABILITIES</we:customFunctionIds>
        <we:customFunctionIds>_xldudf_XA2_GETVMCAPABILITY</we:customFunctionIds>
        <we:customFunctionIds>_xldudf_XA2_GETVMFAMILIES</we:customFunctionIds>
        <we:customFunctionIds>_xldudf_XA2_GETVMLICENSEPRICEHOUR</we:customFunctionIds>
        <we:customFunctionIds>_xldudf_XA2_GETVMLICENSES</we:customFunctionIds>
        <we:customFunctionIds>_xldudf_XA2_GETVMMACHINETYPES</we:customFunctionIds>
        <we:customFunctionIds>_xldudf_XA2_GETVMNAMEBYSIZE</we:customFunctionIds>
        <we:customFunctionIds>_xldudf_XA2_GETVMNAMEFROMSERVICELEVELS</we:customFunctionIds>
        <we:customFunctionIds>_xldudf_XA2_GETVMPRICEHOUR</we:customFunctionIds>
        <we:customFunctionIds>_xldudf_XA2_GETVMPRICEHOUR2</we:customFunctionIds>
        <we:customFunctionIds>_xldudf_XA2_GETVMPRICES</we:customFunctionIds>
        <we:customFunctionIds>_xldudf_XA2_GETVMWINDOWSPRICEHOUR</we:customFunctionIds>
        <we:customFunctionIds>_xldudf_XA2_LISTAWSDISKS</we:customFunctionIds>
        <we:customFunctionIds>_xldudf_XA2_LISTCOMMITMENTTIERPRODUCTS</we:customFunctionIds>
        <we:customFunctionIds>_xldudf_XA2_LISTCOMMITMENTTIERS</we:customFunctionIds>
        <we:customFunctionIds>_xldudf_XA2_LISTGCPDISKS</we:customFunctionIds>
        <we:customFunctionIds>_xldudf_XA2_LISTMANAGEDDISKS</we:customFunctionIds>
        <we:customFunctionIds>_xldudf_XA2_LISTRESERVABLESKUS</we:customFunctionIds>
        <we:customFunctionIds>_xldudf_XA2_LISTRESOURCESKUS</we:customFunctionIds>
        <we:customFunctionIds>_xldudf_XA2_LISTVMS</we:customFunctionIds>
        <we:customFunctionIds>_xldudf_XA2_LISTVMS2</we:customFunctionIds>
        <we:customFunctionIds>_xldudf_XA2_LISTVMS3</we:customFunctionIds>
        <we:customFunctionIds>_xldudf_XA2_MAPREGION</we:customFunctionIds>
        <we:customFunctionIds>_xldudf_XA2_MAPVM</we:customFunctionIds>
        <we:customFunctionIds>_xldudf_XA2_SETCONFIGVARIABLE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1A13-1B16-44B8-BF25-179D1105BA31}">
  <dimension ref="A1:S26"/>
  <sheetViews>
    <sheetView tabSelected="1" zoomScale="104" zoomScaleNormal="104" workbookViewId="0">
      <selection activeCell="G5" sqref="G5"/>
    </sheetView>
  </sheetViews>
  <sheetFormatPr defaultRowHeight="14.45"/>
  <cols>
    <col min="1" max="1" width="21.7109375" bestFit="1" customWidth="1"/>
    <col min="2" max="2" width="21.28515625" customWidth="1"/>
    <col min="3" max="3" width="19.42578125" bestFit="1" customWidth="1"/>
    <col min="4" max="4" width="16.5703125" bestFit="1" customWidth="1"/>
    <col min="5" max="5" width="26.140625" bestFit="1" customWidth="1"/>
    <col min="6" max="6" width="21.5703125" bestFit="1" customWidth="1"/>
    <col min="7" max="7" width="14.7109375" customWidth="1"/>
    <col min="8" max="8" width="18.140625" bestFit="1" customWidth="1"/>
    <col min="9" max="9" width="19.42578125" bestFit="1" customWidth="1"/>
    <col min="10" max="10" width="17.7109375" customWidth="1"/>
    <col min="11" max="11" width="14.140625" bestFit="1" customWidth="1"/>
    <col min="12" max="12" width="6.5703125" customWidth="1"/>
    <col min="13" max="14" width="19.42578125" bestFit="1" customWidth="1"/>
    <col min="15" max="15" width="14.140625" bestFit="1" customWidth="1"/>
    <col min="21" max="21" width="18.140625" bestFit="1" customWidth="1"/>
    <col min="22" max="22" width="19.42578125" bestFit="1" customWidth="1"/>
  </cols>
  <sheetData>
    <row r="1" spans="1:19">
      <c r="A1" s="5"/>
      <c r="B1" s="42" t="s">
        <v>0</v>
      </c>
      <c r="C1" s="43"/>
      <c r="D1" s="43"/>
      <c r="E1" s="43"/>
      <c r="S1" s="1"/>
    </row>
    <row r="2" spans="1:19">
      <c r="A2" s="6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19">
      <c r="A3" s="6" t="s">
        <v>7</v>
      </c>
      <c r="B3" s="15">
        <v>194144.08</v>
      </c>
      <c r="C3" s="15">
        <v>43961.64</v>
      </c>
      <c r="D3" s="15">
        <f>C3+B3</f>
        <v>238105.71999999997</v>
      </c>
      <c r="E3" s="15">
        <f>'Oracle - Azure UK South Pricing'!C5</f>
        <v>780722.6399999999</v>
      </c>
      <c r="F3" s="15">
        <f>(D3*12)+E3</f>
        <v>3637991.2799999993</v>
      </c>
    </row>
    <row r="4" spans="1:19">
      <c r="A4" s="6" t="s">
        <v>8</v>
      </c>
      <c r="B4" s="16">
        <v>189846.18</v>
      </c>
      <c r="C4" s="15">
        <v>39965.120000000003</v>
      </c>
      <c r="D4" s="15">
        <f>C4+B4</f>
        <v>229811.3</v>
      </c>
      <c r="E4" s="15">
        <f>'Oracle - Azure NEU Pricing'!C5</f>
        <v>660267.36</v>
      </c>
      <c r="F4" s="15">
        <f t="shared" ref="F4:F5" si="0">(D4*12)+E4</f>
        <v>3418002.9599999995</v>
      </c>
    </row>
    <row r="5" spans="1:19">
      <c r="A5" s="6" t="s">
        <v>9</v>
      </c>
      <c r="B5" s="15">
        <v>191309.86</v>
      </c>
      <c r="C5" s="15">
        <v>39965.120000000003</v>
      </c>
      <c r="D5" s="15">
        <f>C5+B5</f>
        <v>231274.97999999998</v>
      </c>
      <c r="E5" s="15">
        <f>Table14[[#This Row],[PAYG Compute]]</f>
        <v>724024.08000000007</v>
      </c>
      <c r="F5" s="15">
        <f t="shared" si="0"/>
        <v>3499323.84</v>
      </c>
    </row>
    <row r="7" spans="1:19">
      <c r="A7" s="5"/>
      <c r="B7" s="44" t="s">
        <v>10</v>
      </c>
      <c r="C7" s="44"/>
      <c r="D7" s="45"/>
      <c r="E7" s="45"/>
    </row>
    <row r="8" spans="1:19">
      <c r="A8" s="6" t="s">
        <v>1</v>
      </c>
      <c r="B8" s="3" t="s">
        <v>2</v>
      </c>
      <c r="C8" s="3" t="s">
        <v>3</v>
      </c>
      <c r="D8" s="3" t="s">
        <v>11</v>
      </c>
      <c r="E8" s="3" t="s">
        <v>5</v>
      </c>
      <c r="F8" s="3" t="s">
        <v>6</v>
      </c>
    </row>
    <row r="9" spans="1:19">
      <c r="A9" s="6" t="s">
        <v>7</v>
      </c>
      <c r="B9" s="17">
        <v>103769.15</v>
      </c>
      <c r="C9" s="17">
        <v>47784.39</v>
      </c>
      <c r="D9" s="17">
        <f>C9+B9</f>
        <v>151553.53999999998</v>
      </c>
      <c r="E9" s="17">
        <f>'Oracle - Azure UK South Pricing'!D5</f>
        <v>714492.72</v>
      </c>
      <c r="F9" s="17">
        <f>(D9*12)+E9</f>
        <v>2533135.1999999997</v>
      </c>
    </row>
    <row r="10" spans="1:19">
      <c r="A10" s="6" t="s">
        <v>8</v>
      </c>
      <c r="B10" s="17">
        <v>99970.71</v>
      </c>
      <c r="C10" s="17">
        <v>43440.35</v>
      </c>
      <c r="D10" s="17">
        <f t="shared" ref="D10:D11" si="1">C10+B10</f>
        <v>143411.06</v>
      </c>
      <c r="E10" s="17">
        <f>'Oracle - Azure NEU Pricing'!D5</f>
        <v>596713.68000000005</v>
      </c>
      <c r="F10" s="17">
        <f t="shared" ref="F10:F11" si="2">(D10*12)+E10</f>
        <v>2317646.4</v>
      </c>
    </row>
    <row r="11" spans="1:19">
      <c r="A11" s="6" t="s">
        <v>9</v>
      </c>
      <c r="B11" s="17">
        <v>106071.78</v>
      </c>
      <c r="C11" s="17">
        <v>43440.35</v>
      </c>
      <c r="D11" s="17">
        <f t="shared" si="1"/>
        <v>149512.13</v>
      </c>
      <c r="E11" s="17">
        <f>'Oracle - Azure GWC Pricing'!D5</f>
        <v>655229.52000000014</v>
      </c>
      <c r="F11" s="17">
        <f t="shared" si="2"/>
        <v>2449375.08</v>
      </c>
    </row>
    <row r="13" spans="1:19">
      <c r="A13" s="5"/>
      <c r="B13" s="40" t="s">
        <v>12</v>
      </c>
      <c r="C13" s="40"/>
      <c r="D13" s="41"/>
      <c r="E13" s="41"/>
    </row>
    <row r="14" spans="1:19">
      <c r="A14" s="6" t="s">
        <v>1</v>
      </c>
      <c r="B14" s="4" t="s">
        <v>2</v>
      </c>
      <c r="C14" s="4" t="s">
        <v>3</v>
      </c>
      <c r="D14" s="4" t="s">
        <v>11</v>
      </c>
      <c r="E14" s="4" t="s">
        <v>5</v>
      </c>
      <c r="F14" s="4" t="s">
        <v>6</v>
      </c>
    </row>
    <row r="15" spans="1:19">
      <c r="A15" s="6" t="s">
        <v>7</v>
      </c>
      <c r="B15" s="18">
        <v>80591.710000000006</v>
      </c>
      <c r="C15" s="18">
        <v>47784.39</v>
      </c>
      <c r="D15" s="18">
        <f>C15+B15</f>
        <v>128376.1</v>
      </c>
      <c r="E15" s="18">
        <f>'Oracle - Azure UK South Pricing'!E5</f>
        <v>709937.27999999991</v>
      </c>
      <c r="F15" s="39">
        <f>(D15*12)+E15</f>
        <v>2250450.48</v>
      </c>
    </row>
    <row r="16" spans="1:19">
      <c r="A16" s="6" t="s">
        <v>8</v>
      </c>
      <c r="B16" s="18">
        <v>76793.259999999995</v>
      </c>
      <c r="C16" s="18">
        <v>43440.35</v>
      </c>
      <c r="D16" s="18">
        <f t="shared" ref="D16:D17" si="3">C16+B16</f>
        <v>120233.60999999999</v>
      </c>
      <c r="E16" s="18">
        <f>'Oracle - Azure NEU Pricing'!E5</f>
        <v>592158.24</v>
      </c>
      <c r="F16" s="39">
        <f t="shared" ref="F16:F17" si="4">(D16*12)+E16</f>
        <v>2034961.5599999998</v>
      </c>
    </row>
    <row r="17" spans="1:8">
      <c r="A17" s="6" t="s">
        <v>9</v>
      </c>
      <c r="B17" s="18">
        <v>83102.649999999994</v>
      </c>
      <c r="C17" s="18">
        <v>43440.35</v>
      </c>
      <c r="D17" s="18">
        <f t="shared" si="3"/>
        <v>126543</v>
      </c>
      <c r="E17" s="18">
        <f>'Oracle - Azure GWC Pricing'!E5</f>
        <v>650674.08000000007</v>
      </c>
      <c r="F17" s="39">
        <f t="shared" si="4"/>
        <v>2169190.08</v>
      </c>
    </row>
    <row r="19" spans="1:8">
      <c r="A19" s="5"/>
      <c r="B19" s="46" t="s">
        <v>13</v>
      </c>
      <c r="C19" s="47"/>
      <c r="D19" s="47"/>
      <c r="E19" s="48"/>
    </row>
    <row r="20" spans="1:8">
      <c r="A20" s="6" t="s">
        <v>1</v>
      </c>
      <c r="B20" s="19" t="s">
        <v>14</v>
      </c>
      <c r="C20" s="19" t="s">
        <v>15</v>
      </c>
      <c r="D20" s="19" t="s">
        <v>16</v>
      </c>
      <c r="E20" s="19" t="s">
        <v>6</v>
      </c>
      <c r="H20" s="38" t="s">
        <v>17</v>
      </c>
    </row>
    <row r="21" spans="1:8">
      <c r="A21" s="6" t="s">
        <v>7</v>
      </c>
      <c r="B21" s="20">
        <f>(D3+'Oracle - Azure UK South Pricing'!O15+'Oracle - Azure UK South Pricing'!N24)*0.3</f>
        <v>90949.781999999977</v>
      </c>
      <c r="C21" s="20">
        <f>(D15+'Oracle - Azure UK South Pricing'!S15+'Oracle - Azure UK South Pricing'!N24)*0.7</f>
        <v>131276.27799999999</v>
      </c>
      <c r="D21" s="20">
        <f>C21+B21</f>
        <v>222226.05999999997</v>
      </c>
      <c r="E21" s="37">
        <f>D21*12</f>
        <v>2666712.7199999997</v>
      </c>
      <c r="F21" s="24"/>
      <c r="G21" s="24"/>
    </row>
    <row r="22" spans="1:8">
      <c r="A22" s="6" t="s">
        <v>8</v>
      </c>
      <c r="B22" s="20">
        <f>(D4+'Oracle - Azure NEU Pricing'!O15+'Oracle - Azure NEU Pricing'!N24)*0.3</f>
        <v>85450.073999999979</v>
      </c>
      <c r="C22" s="20">
        <f>(D16+'Oracle - Azure NEU Pricing'!S15+'Oracle - Azure NEU Pricing'!N24)*0.7</f>
        <v>118706.09099999997</v>
      </c>
      <c r="D22" s="20">
        <f>C22+B22</f>
        <v>204156.16499999995</v>
      </c>
      <c r="E22" s="37">
        <f t="shared" ref="E22:E23" si="5">D22*12</f>
        <v>2449873.9799999995</v>
      </c>
    </row>
    <row r="23" spans="1:8">
      <c r="A23" s="6" t="s">
        <v>9</v>
      </c>
      <c r="B23" s="20">
        <f>(D5+'Oracle - Azure GWC Pricing'!O15+'Oracle - Azure GWC Pricing'!N24)*0.3</f>
        <v>87483.095999999976</v>
      </c>
      <c r="C23" s="20">
        <f>(D17+'Oracle - Azure GWC Pricing'!S15+'Oracle - Azure GWC Pricing'!N24)*0.7</f>
        <v>126536.08799999999</v>
      </c>
      <c r="D23" s="20">
        <f>C23+B23</f>
        <v>214019.18399999995</v>
      </c>
      <c r="E23" s="37">
        <f t="shared" si="5"/>
        <v>2568230.2079999996</v>
      </c>
    </row>
    <row r="25" spans="1:8" ht="101.45">
      <c r="A25" s="22" t="s">
        <v>18</v>
      </c>
      <c r="B25" s="21" t="s">
        <v>19</v>
      </c>
    </row>
    <row r="26" spans="1:8">
      <c r="A26" s="8"/>
      <c r="B26" s="7"/>
    </row>
  </sheetData>
  <mergeCells count="4">
    <mergeCell ref="B13:E13"/>
    <mergeCell ref="B1:E1"/>
    <mergeCell ref="B7:E7"/>
    <mergeCell ref="B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F7D-DBA9-4491-BEC6-03FCC90D3ACA}">
  <dimension ref="B1:Z24"/>
  <sheetViews>
    <sheetView topLeftCell="H1" zoomScale="110" zoomScaleNormal="110" workbookViewId="0">
      <selection activeCell="I1" sqref="I1:T6"/>
    </sheetView>
  </sheetViews>
  <sheetFormatPr defaultRowHeight="14.45"/>
  <cols>
    <col min="2" max="2" width="32.28515625" customWidth="1"/>
    <col min="3" max="3" width="14.7109375" customWidth="1"/>
    <col min="4" max="4" width="16.28515625" customWidth="1"/>
    <col min="5" max="5" width="19.85546875" customWidth="1"/>
    <col min="6" max="6" width="10.140625" bestFit="1" customWidth="1"/>
    <col min="7" max="10" width="17.85546875" customWidth="1"/>
    <col min="11" max="11" width="13.85546875" bestFit="1" customWidth="1"/>
    <col min="12" max="12" width="12" customWidth="1"/>
    <col min="13" max="20" width="17.85546875" customWidth="1"/>
    <col min="21" max="21" width="13.7109375" bestFit="1" customWidth="1"/>
    <col min="22" max="22" width="20.42578125" bestFit="1" customWidth="1"/>
    <col min="23" max="23" width="13.5703125" customWidth="1"/>
    <col min="24" max="24" width="16.7109375" bestFit="1" customWidth="1"/>
    <col min="25" max="26" width="10.85546875" bestFit="1" customWidth="1"/>
  </cols>
  <sheetData>
    <row r="1" spans="2:26">
      <c r="H1" t="s">
        <v>20</v>
      </c>
    </row>
    <row r="2" spans="2:26">
      <c r="B2" s="31" t="s">
        <v>21</v>
      </c>
      <c r="C2" s="32" t="s">
        <v>22</v>
      </c>
      <c r="D2" s="32" t="s">
        <v>23</v>
      </c>
      <c r="E2" s="33" t="s">
        <v>24</v>
      </c>
    </row>
    <row r="3" spans="2:26">
      <c r="B3" s="29" t="s">
        <v>25</v>
      </c>
      <c r="C3" s="28">
        <f>P15</f>
        <v>111372.48</v>
      </c>
      <c r="D3" s="28">
        <f>R15</f>
        <v>45142.560000000005</v>
      </c>
      <c r="E3" s="30">
        <f>T15</f>
        <v>40587.12000000001</v>
      </c>
    </row>
    <row r="4" spans="2:26">
      <c r="B4" s="34" t="s">
        <v>26</v>
      </c>
      <c r="C4" s="35">
        <f>SUM(M18:M23)</f>
        <v>669350.15999999992</v>
      </c>
      <c r="D4" s="35">
        <f>SUM(M18:M23)</f>
        <v>669350.15999999992</v>
      </c>
      <c r="E4" s="36">
        <f>SUM(M18:M23)</f>
        <v>669350.15999999992</v>
      </c>
    </row>
    <row r="5" spans="2:26">
      <c r="B5" s="34" t="s">
        <v>27</v>
      </c>
      <c r="C5" s="35">
        <f>C3+C4</f>
        <v>780722.6399999999</v>
      </c>
      <c r="D5" s="35">
        <f t="shared" ref="D5:E5" si="0">D3+D4</f>
        <v>714492.72</v>
      </c>
      <c r="E5" s="35">
        <f t="shared" si="0"/>
        <v>709937.27999999991</v>
      </c>
    </row>
    <row r="6" spans="2:26">
      <c r="Z6" s="14"/>
    </row>
    <row r="7" spans="2:26" ht="18.600000000000001">
      <c r="B7" s="25" t="s">
        <v>28</v>
      </c>
    </row>
    <row r="8" spans="2:26" ht="29.1"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  <c r="K8" s="12" t="s">
        <v>38</v>
      </c>
      <c r="L8" s="12" t="s">
        <v>39</v>
      </c>
      <c r="M8" s="12" t="s">
        <v>40</v>
      </c>
      <c r="N8" s="12" t="s">
        <v>41</v>
      </c>
      <c r="O8" s="12" t="s">
        <v>42</v>
      </c>
      <c r="P8" s="12" t="s">
        <v>43</v>
      </c>
      <c r="Q8" s="12" t="s">
        <v>44</v>
      </c>
      <c r="R8" s="12" t="s">
        <v>45</v>
      </c>
      <c r="S8" s="12" t="s">
        <v>46</v>
      </c>
      <c r="T8" s="12" t="s">
        <v>47</v>
      </c>
      <c r="U8" s="23"/>
    </row>
    <row r="9" spans="2:26" ht="43.5">
      <c r="B9" s="11" t="s">
        <v>48</v>
      </c>
      <c r="C9" s="11" t="s">
        <v>49</v>
      </c>
      <c r="D9" s="11" t="s">
        <v>50</v>
      </c>
      <c r="E9" s="11" t="s">
        <v>51</v>
      </c>
      <c r="F9" s="11" t="s">
        <v>52</v>
      </c>
      <c r="G9" s="11" t="s">
        <v>53</v>
      </c>
      <c r="H9" s="9">
        <v>8</v>
      </c>
      <c r="I9" s="9">
        <f>J9/1024</f>
        <v>250.923828125</v>
      </c>
      <c r="J9" s="9">
        <v>256946</v>
      </c>
      <c r="K9" s="11">
        <v>81274.880000000005</v>
      </c>
      <c r="L9" s="13" t="s">
        <v>54</v>
      </c>
      <c r="M9" s="13" t="s">
        <v>55</v>
      </c>
      <c r="N9" s="26" t="s">
        <v>56</v>
      </c>
      <c r="O9" s="27">
        <v>1546.84</v>
      </c>
      <c r="P9" s="27">
        <f>O9*12</f>
        <v>18562.079999999998</v>
      </c>
      <c r="Q9" s="27">
        <v>626.98</v>
      </c>
      <c r="R9" s="27">
        <f>Q9*12</f>
        <v>7523.76</v>
      </c>
      <c r="S9" s="27">
        <v>563.71</v>
      </c>
      <c r="T9" s="27">
        <f>S9*12</f>
        <v>6764.52</v>
      </c>
    </row>
    <row r="10" spans="2:26" ht="43.5">
      <c r="B10" s="11" t="s">
        <v>57</v>
      </c>
      <c r="C10" s="11" t="s">
        <v>49</v>
      </c>
      <c r="D10" s="11" t="s">
        <v>50</v>
      </c>
      <c r="E10" s="11" t="s">
        <v>51</v>
      </c>
      <c r="F10" s="11" t="s">
        <v>52</v>
      </c>
      <c r="G10" s="11" t="s">
        <v>58</v>
      </c>
      <c r="H10" s="10">
        <v>8</v>
      </c>
      <c r="I10" s="9">
        <f t="shared" ref="I10:I14" si="1">J10/1024</f>
        <v>250.853515625</v>
      </c>
      <c r="J10" s="10">
        <v>256874</v>
      </c>
      <c r="K10" s="11">
        <v>114053.1</v>
      </c>
      <c r="L10" s="13" t="s">
        <v>59</v>
      </c>
      <c r="M10" s="13" t="s">
        <v>55</v>
      </c>
      <c r="N10" s="26" t="s">
        <v>56</v>
      </c>
      <c r="O10" s="27">
        <v>1546.84</v>
      </c>
      <c r="P10" s="27">
        <f t="shared" ref="P10:P14" si="2">O10*12</f>
        <v>18562.079999999998</v>
      </c>
      <c r="Q10" s="27">
        <v>626.98</v>
      </c>
      <c r="R10" s="27">
        <f t="shared" ref="R10:R14" si="3">Q10*12</f>
        <v>7523.76</v>
      </c>
      <c r="S10" s="27">
        <v>563.71</v>
      </c>
      <c r="T10" s="27">
        <f t="shared" ref="T10:T14" si="4">S10*12</f>
        <v>6764.52</v>
      </c>
    </row>
    <row r="11" spans="2:26" ht="43.5">
      <c r="B11" s="11" t="s">
        <v>60</v>
      </c>
      <c r="C11" s="11" t="s">
        <v>49</v>
      </c>
      <c r="D11" s="11" t="s">
        <v>50</v>
      </c>
      <c r="E11" s="11" t="s">
        <v>51</v>
      </c>
      <c r="F11" s="11" t="s">
        <v>52</v>
      </c>
      <c r="G11" s="11" t="s">
        <v>53</v>
      </c>
      <c r="H11" s="9">
        <v>8</v>
      </c>
      <c r="I11" s="9">
        <f t="shared" si="1"/>
        <v>250.923828125</v>
      </c>
      <c r="J11" s="9">
        <v>256946</v>
      </c>
      <c r="K11" s="11">
        <v>81274.880000000005</v>
      </c>
      <c r="L11" s="13" t="s">
        <v>54</v>
      </c>
      <c r="M11" s="13" t="s">
        <v>55</v>
      </c>
      <c r="N11" s="26" t="s">
        <v>56</v>
      </c>
      <c r="O11" s="27">
        <v>1546.84</v>
      </c>
      <c r="P11" s="27">
        <f t="shared" si="2"/>
        <v>18562.079999999998</v>
      </c>
      <c r="Q11" s="27">
        <v>626.98</v>
      </c>
      <c r="R11" s="27">
        <f t="shared" si="3"/>
        <v>7523.76</v>
      </c>
      <c r="S11" s="27">
        <v>563.71</v>
      </c>
      <c r="T11" s="27">
        <f t="shared" si="4"/>
        <v>6764.52</v>
      </c>
    </row>
    <row r="12" spans="2:26" ht="43.5">
      <c r="B12" s="11" t="s">
        <v>61</v>
      </c>
      <c r="C12" s="11" t="s">
        <v>49</v>
      </c>
      <c r="D12" s="11" t="s">
        <v>50</v>
      </c>
      <c r="E12" s="11" t="s">
        <v>51</v>
      </c>
      <c r="F12" s="11" t="s">
        <v>52</v>
      </c>
      <c r="G12" s="11" t="s">
        <v>58</v>
      </c>
      <c r="H12" s="10">
        <v>8</v>
      </c>
      <c r="I12" s="9">
        <f t="shared" si="1"/>
        <v>250.876953125</v>
      </c>
      <c r="J12" s="10">
        <v>256898</v>
      </c>
      <c r="K12" s="11">
        <v>114042.9</v>
      </c>
      <c r="L12" s="13" t="s">
        <v>54</v>
      </c>
      <c r="M12" s="13" t="s">
        <v>55</v>
      </c>
      <c r="N12" s="26" t="s">
        <v>56</v>
      </c>
      <c r="O12" s="27">
        <v>1546.84</v>
      </c>
      <c r="P12" s="27">
        <f t="shared" si="2"/>
        <v>18562.079999999998</v>
      </c>
      <c r="Q12" s="27">
        <v>626.98</v>
      </c>
      <c r="R12" s="27">
        <f t="shared" si="3"/>
        <v>7523.76</v>
      </c>
      <c r="S12" s="27">
        <v>563.71</v>
      </c>
      <c r="T12" s="27">
        <f t="shared" si="4"/>
        <v>6764.52</v>
      </c>
    </row>
    <row r="13" spans="2:26" ht="43.5">
      <c r="B13" s="11" t="s">
        <v>62</v>
      </c>
      <c r="C13" s="11" t="s">
        <v>49</v>
      </c>
      <c r="D13" s="11" t="s">
        <v>50</v>
      </c>
      <c r="E13" s="11" t="s">
        <v>51</v>
      </c>
      <c r="F13" s="11" t="s">
        <v>52</v>
      </c>
      <c r="G13" s="11" t="s">
        <v>53</v>
      </c>
      <c r="H13" s="9">
        <v>8</v>
      </c>
      <c r="I13" s="9">
        <f t="shared" si="1"/>
        <v>250.923828125</v>
      </c>
      <c r="J13" s="9">
        <v>256946</v>
      </c>
      <c r="K13" s="11">
        <v>81274.880000000005</v>
      </c>
      <c r="L13" s="13" t="s">
        <v>59</v>
      </c>
      <c r="M13" s="13" t="s">
        <v>55</v>
      </c>
      <c r="N13" s="26" t="s">
        <v>56</v>
      </c>
      <c r="O13" s="27">
        <v>1546.84</v>
      </c>
      <c r="P13" s="27">
        <f t="shared" si="2"/>
        <v>18562.079999999998</v>
      </c>
      <c r="Q13" s="27">
        <v>626.98</v>
      </c>
      <c r="R13" s="27">
        <f t="shared" si="3"/>
        <v>7523.76</v>
      </c>
      <c r="S13" s="27">
        <v>563.71</v>
      </c>
      <c r="T13" s="27">
        <f t="shared" si="4"/>
        <v>6764.52</v>
      </c>
    </row>
    <row r="14" spans="2:26" ht="43.5">
      <c r="B14" s="11" t="s">
        <v>63</v>
      </c>
      <c r="C14" s="11" t="s">
        <v>49</v>
      </c>
      <c r="D14" s="11" t="s">
        <v>50</v>
      </c>
      <c r="E14" s="11" t="s">
        <v>51</v>
      </c>
      <c r="F14" s="11" t="s">
        <v>64</v>
      </c>
      <c r="G14" s="11" t="s">
        <v>53</v>
      </c>
      <c r="H14" s="10">
        <v>8</v>
      </c>
      <c r="I14" s="9">
        <f t="shared" si="1"/>
        <v>250.923828125</v>
      </c>
      <c r="J14" s="10">
        <v>256946</v>
      </c>
      <c r="K14" s="11">
        <v>81274.880000000005</v>
      </c>
      <c r="L14" s="13" t="s">
        <v>54</v>
      </c>
      <c r="M14" s="13" t="s">
        <v>55</v>
      </c>
      <c r="N14" s="26" t="s">
        <v>56</v>
      </c>
      <c r="O14" s="27">
        <v>1546.84</v>
      </c>
      <c r="P14" s="27">
        <f t="shared" si="2"/>
        <v>18562.079999999998</v>
      </c>
      <c r="Q14" s="27">
        <v>626.98</v>
      </c>
      <c r="R14" s="27">
        <f t="shared" si="3"/>
        <v>7523.76</v>
      </c>
      <c r="S14" s="27">
        <v>563.71</v>
      </c>
      <c r="T14" s="27">
        <f t="shared" si="4"/>
        <v>6764.52</v>
      </c>
    </row>
    <row r="15" spans="2:26">
      <c r="O15" s="27">
        <f>SUM(O9:O14)</f>
        <v>9281.0399999999991</v>
      </c>
      <c r="P15" s="27">
        <f t="shared" ref="P15:T15" si="5">SUM(P9:P14)</f>
        <v>111372.48</v>
      </c>
      <c r="Q15" s="27">
        <f t="shared" si="5"/>
        <v>3761.88</v>
      </c>
      <c r="R15" s="27">
        <f t="shared" si="5"/>
        <v>45142.560000000005</v>
      </c>
      <c r="S15" s="27">
        <f t="shared" si="5"/>
        <v>3382.26</v>
      </c>
      <c r="T15" s="27">
        <f t="shared" si="5"/>
        <v>40587.12000000001</v>
      </c>
    </row>
    <row r="16" spans="2:26" ht="18.600000000000001">
      <c r="B16" s="25" t="s">
        <v>65</v>
      </c>
    </row>
    <row r="17" spans="2:14" ht="29.1">
      <c r="B17" s="11" t="s">
        <v>29</v>
      </c>
      <c r="C17" s="11" t="s">
        <v>38</v>
      </c>
      <c r="D17" s="11" t="s">
        <v>66</v>
      </c>
      <c r="E17" s="11" t="s">
        <v>67</v>
      </c>
      <c r="F17" s="11" t="s">
        <v>68</v>
      </c>
      <c r="G17" s="11" t="s">
        <v>69</v>
      </c>
      <c r="H17" s="11" t="s">
        <v>68</v>
      </c>
      <c r="I17" s="11" t="s">
        <v>70</v>
      </c>
      <c r="J17" s="11" t="s">
        <v>68</v>
      </c>
      <c r="K17" s="11" t="s">
        <v>71</v>
      </c>
      <c r="L17" s="11" t="s">
        <v>68</v>
      </c>
      <c r="M17" s="11" t="s">
        <v>72</v>
      </c>
      <c r="N17" s="26" t="s">
        <v>73</v>
      </c>
    </row>
    <row r="18" spans="2:14" ht="29.1">
      <c r="B18" s="11" t="s">
        <v>48</v>
      </c>
      <c r="C18" s="11">
        <v>81274.880000000005</v>
      </c>
      <c r="D18" s="13" t="s">
        <v>74</v>
      </c>
      <c r="E18" s="11" t="s">
        <v>75</v>
      </c>
      <c r="F18" s="27">
        <v>3281.13</v>
      </c>
      <c r="G18" s="11" t="s">
        <v>75</v>
      </c>
      <c r="H18" s="27">
        <v>3281.13</v>
      </c>
      <c r="I18" s="13" t="s">
        <v>76</v>
      </c>
      <c r="J18" s="27">
        <v>1640.56</v>
      </c>
      <c r="K18" s="13" t="s">
        <v>77</v>
      </c>
      <c r="L18" s="27"/>
      <c r="M18" s="27">
        <f>(F18+H18+J18+L18)*12</f>
        <v>98433.84</v>
      </c>
      <c r="N18" s="27">
        <f>(F18+H18+J18+L18)</f>
        <v>8202.82</v>
      </c>
    </row>
    <row r="19" spans="2:14">
      <c r="B19" s="11" t="s">
        <v>57</v>
      </c>
      <c r="C19" s="11">
        <v>114053.1</v>
      </c>
      <c r="D19" s="13" t="s">
        <v>74</v>
      </c>
      <c r="E19" s="11" t="s">
        <v>75</v>
      </c>
      <c r="F19" s="27">
        <v>3281.13</v>
      </c>
      <c r="G19" s="11" t="s">
        <v>75</v>
      </c>
      <c r="H19" s="27">
        <v>3281.13</v>
      </c>
      <c r="I19" s="11" t="s">
        <v>75</v>
      </c>
      <c r="J19" s="27">
        <v>3281.13</v>
      </c>
      <c r="K19" s="13" t="s">
        <v>76</v>
      </c>
      <c r="L19" s="27">
        <v>1640.56</v>
      </c>
      <c r="M19" s="27">
        <f t="shared" ref="M19:M23" si="6">(F19+H19+J19+L19)*12</f>
        <v>137807.4</v>
      </c>
      <c r="N19" s="27">
        <f t="shared" ref="N19:N23" si="7">(F19+H19+J19+L19)</f>
        <v>11483.949999999999</v>
      </c>
    </row>
    <row r="20" spans="2:14">
      <c r="B20" s="11" t="s">
        <v>60</v>
      </c>
      <c r="C20" s="11">
        <v>81274.880000000005</v>
      </c>
      <c r="D20" s="13" t="s">
        <v>74</v>
      </c>
      <c r="E20" s="11" t="s">
        <v>75</v>
      </c>
      <c r="F20" s="27">
        <v>3281.13</v>
      </c>
      <c r="G20" s="11" t="s">
        <v>75</v>
      </c>
      <c r="H20" s="27">
        <v>3281.13</v>
      </c>
      <c r="I20" s="13" t="s">
        <v>76</v>
      </c>
      <c r="J20" s="27">
        <v>1640.56</v>
      </c>
      <c r="K20" s="13" t="s">
        <v>77</v>
      </c>
      <c r="L20" s="27"/>
      <c r="M20" s="27">
        <f t="shared" si="6"/>
        <v>98433.84</v>
      </c>
      <c r="N20" s="27">
        <f t="shared" si="7"/>
        <v>8202.82</v>
      </c>
    </row>
    <row r="21" spans="2:14">
      <c r="B21" s="11" t="s">
        <v>61</v>
      </c>
      <c r="C21" s="11">
        <v>114042.9</v>
      </c>
      <c r="D21" s="13" t="s">
        <v>74</v>
      </c>
      <c r="E21" s="11" t="s">
        <v>75</v>
      </c>
      <c r="F21" s="27">
        <v>3281.13</v>
      </c>
      <c r="G21" s="11" t="s">
        <v>75</v>
      </c>
      <c r="H21" s="27">
        <v>3281.13</v>
      </c>
      <c r="I21" s="11" t="s">
        <v>75</v>
      </c>
      <c r="J21" s="27">
        <v>3281.13</v>
      </c>
      <c r="K21" s="13" t="s">
        <v>76</v>
      </c>
      <c r="L21" s="27">
        <v>1640.56</v>
      </c>
      <c r="M21" s="27">
        <f t="shared" si="6"/>
        <v>137807.4</v>
      </c>
      <c r="N21" s="27">
        <f t="shared" si="7"/>
        <v>11483.949999999999</v>
      </c>
    </row>
    <row r="22" spans="2:14">
      <c r="B22" s="11" t="s">
        <v>62</v>
      </c>
      <c r="C22" s="11">
        <v>81274.880000000005</v>
      </c>
      <c r="D22" s="13" t="s">
        <v>74</v>
      </c>
      <c r="E22" s="11" t="s">
        <v>75</v>
      </c>
      <c r="F22" s="27">
        <v>3281.13</v>
      </c>
      <c r="G22" s="11" t="s">
        <v>75</v>
      </c>
      <c r="H22" s="27">
        <v>3281.13</v>
      </c>
      <c r="I22" s="13" t="s">
        <v>76</v>
      </c>
      <c r="J22" s="27">
        <v>1640.56</v>
      </c>
      <c r="K22" s="13" t="s">
        <v>77</v>
      </c>
      <c r="L22" s="27"/>
      <c r="M22" s="27">
        <f t="shared" si="6"/>
        <v>98433.84</v>
      </c>
      <c r="N22" s="27">
        <f t="shared" si="7"/>
        <v>8202.82</v>
      </c>
    </row>
    <row r="23" spans="2:14">
      <c r="B23" s="11" t="s">
        <v>63</v>
      </c>
      <c r="C23" s="11">
        <v>81274.880000000005</v>
      </c>
      <c r="D23" s="13" t="s">
        <v>74</v>
      </c>
      <c r="E23" s="11" t="s">
        <v>75</v>
      </c>
      <c r="F23" s="27">
        <v>3281.13</v>
      </c>
      <c r="G23" s="11" t="s">
        <v>75</v>
      </c>
      <c r="H23" s="27">
        <v>3281.13</v>
      </c>
      <c r="I23" s="13" t="s">
        <v>76</v>
      </c>
      <c r="J23" s="27">
        <v>1640.56</v>
      </c>
      <c r="K23" s="13" t="s">
        <v>77</v>
      </c>
      <c r="L23" s="27"/>
      <c r="M23" s="27">
        <f t="shared" si="6"/>
        <v>98433.84</v>
      </c>
      <c r="N23" s="27">
        <f t="shared" si="7"/>
        <v>8202.82</v>
      </c>
    </row>
    <row r="24" spans="2:14">
      <c r="N24" s="24">
        <f>SUM(N18:N23)</f>
        <v>55779.179999999993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9002-6D8F-44AD-ABC8-8E45ED441CAB}">
  <dimension ref="B2:Z24"/>
  <sheetViews>
    <sheetView zoomScale="110" zoomScaleNormal="110" workbookViewId="0">
      <selection activeCell="H1" sqref="H1:U7"/>
    </sheetView>
  </sheetViews>
  <sheetFormatPr defaultRowHeight="14.45"/>
  <cols>
    <col min="2" max="2" width="29.42578125" customWidth="1"/>
    <col min="3" max="3" width="14.7109375" customWidth="1"/>
    <col min="4" max="4" width="16.28515625" customWidth="1"/>
    <col min="5" max="5" width="19.85546875" customWidth="1"/>
    <col min="6" max="6" width="10.140625" bestFit="1" customWidth="1"/>
    <col min="7" max="10" width="17.85546875" customWidth="1"/>
    <col min="11" max="11" width="13.85546875" bestFit="1" customWidth="1"/>
    <col min="12" max="12" width="12" customWidth="1"/>
    <col min="13" max="20" width="17.85546875" customWidth="1"/>
    <col min="21" max="21" width="13.7109375" bestFit="1" customWidth="1"/>
    <col min="22" max="22" width="20.42578125" bestFit="1" customWidth="1"/>
    <col min="23" max="23" width="13.5703125" customWidth="1"/>
    <col min="24" max="24" width="16.7109375" bestFit="1" customWidth="1"/>
    <col min="25" max="26" width="10.85546875" bestFit="1" customWidth="1"/>
  </cols>
  <sheetData>
    <row r="2" spans="2:26">
      <c r="B2" s="31" t="s">
        <v>78</v>
      </c>
      <c r="C2" s="32" t="s">
        <v>22</v>
      </c>
      <c r="D2" s="32" t="s">
        <v>23</v>
      </c>
      <c r="E2" s="33" t="s">
        <v>24</v>
      </c>
    </row>
    <row r="3" spans="2:26">
      <c r="B3" s="29" t="s">
        <v>25</v>
      </c>
      <c r="C3" s="28">
        <f>P15</f>
        <v>107061.84</v>
      </c>
      <c r="D3" s="28">
        <f>R15</f>
        <v>43508.159999999996</v>
      </c>
      <c r="E3" s="30">
        <f>T15</f>
        <v>38952.720000000001</v>
      </c>
    </row>
    <row r="4" spans="2:26">
      <c r="B4" s="34" t="s">
        <v>26</v>
      </c>
      <c r="C4" s="35">
        <f>SUM(M18:M23)</f>
        <v>553205.52</v>
      </c>
      <c r="D4" s="35">
        <f>SUM(M18:M23)</f>
        <v>553205.52</v>
      </c>
      <c r="E4" s="36">
        <f>SUM(M18:M23)</f>
        <v>553205.52</v>
      </c>
    </row>
    <row r="5" spans="2:26">
      <c r="B5" s="34" t="s">
        <v>27</v>
      </c>
      <c r="C5" s="35">
        <f>C3+C4</f>
        <v>660267.36</v>
      </c>
      <c r="D5" s="35">
        <f t="shared" ref="D5:E5" si="0">D3+D4</f>
        <v>596713.68000000005</v>
      </c>
      <c r="E5" s="35">
        <f t="shared" si="0"/>
        <v>592158.24</v>
      </c>
    </row>
    <row r="6" spans="2:26">
      <c r="Z6" s="14"/>
    </row>
    <row r="7" spans="2:26" ht="36.950000000000003">
      <c r="B7" s="25" t="s">
        <v>79</v>
      </c>
    </row>
    <row r="8" spans="2:26" ht="29.1"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  <c r="K8" s="12" t="s">
        <v>38</v>
      </c>
      <c r="L8" s="12" t="s">
        <v>39</v>
      </c>
      <c r="M8" s="12" t="s">
        <v>40</v>
      </c>
      <c r="N8" s="12" t="s">
        <v>41</v>
      </c>
      <c r="O8" s="12" t="s">
        <v>42</v>
      </c>
      <c r="P8" s="12" t="s">
        <v>43</v>
      </c>
      <c r="Q8" s="12" t="s">
        <v>44</v>
      </c>
      <c r="R8" s="12" t="s">
        <v>45</v>
      </c>
      <c r="S8" s="12" t="s">
        <v>46</v>
      </c>
      <c r="T8" s="12" t="s">
        <v>47</v>
      </c>
      <c r="U8" s="23"/>
    </row>
    <row r="9" spans="2:26" ht="43.5">
      <c r="B9" s="11" t="s">
        <v>48</v>
      </c>
      <c r="C9" s="11" t="s">
        <v>49</v>
      </c>
      <c r="D9" s="11" t="s">
        <v>50</v>
      </c>
      <c r="E9" s="11" t="s">
        <v>51</v>
      </c>
      <c r="F9" s="11" t="s">
        <v>52</v>
      </c>
      <c r="G9" s="11" t="s">
        <v>53</v>
      </c>
      <c r="H9" s="9">
        <v>8</v>
      </c>
      <c r="I9" s="9">
        <f>J9/1024</f>
        <v>250.923828125</v>
      </c>
      <c r="J9" s="9">
        <v>256946</v>
      </c>
      <c r="K9" s="11">
        <v>81274.880000000005</v>
      </c>
      <c r="L9" s="13" t="s">
        <v>54</v>
      </c>
      <c r="M9" s="13" t="s">
        <v>55</v>
      </c>
      <c r="N9" s="26" t="s">
        <v>56</v>
      </c>
      <c r="O9" s="27">
        <v>1486.97</v>
      </c>
      <c r="P9" s="27">
        <f>O9*12</f>
        <v>17843.64</v>
      </c>
      <c r="Q9" s="27">
        <v>604.28</v>
      </c>
      <c r="R9" s="27">
        <f>Q9*12</f>
        <v>7251.36</v>
      </c>
      <c r="S9" s="27">
        <v>541.01</v>
      </c>
      <c r="T9" s="27">
        <f>S9*12</f>
        <v>6492.12</v>
      </c>
    </row>
    <row r="10" spans="2:26" ht="43.5">
      <c r="B10" s="11" t="s">
        <v>57</v>
      </c>
      <c r="C10" s="11" t="s">
        <v>49</v>
      </c>
      <c r="D10" s="11" t="s">
        <v>50</v>
      </c>
      <c r="E10" s="11" t="s">
        <v>51</v>
      </c>
      <c r="F10" s="11" t="s">
        <v>52</v>
      </c>
      <c r="G10" s="11" t="s">
        <v>58</v>
      </c>
      <c r="H10" s="10">
        <v>8</v>
      </c>
      <c r="I10" s="9">
        <f t="shared" ref="I10:I14" si="1">J10/1024</f>
        <v>250.853515625</v>
      </c>
      <c r="J10" s="10">
        <v>256874</v>
      </c>
      <c r="K10" s="11">
        <v>114053.1</v>
      </c>
      <c r="L10" s="13" t="s">
        <v>59</v>
      </c>
      <c r="M10" s="13" t="s">
        <v>55</v>
      </c>
      <c r="N10" s="26" t="s">
        <v>56</v>
      </c>
      <c r="O10" s="27">
        <v>1486.97</v>
      </c>
      <c r="P10" s="27">
        <f t="shared" ref="P10:P14" si="2">O10*12</f>
        <v>17843.64</v>
      </c>
      <c r="Q10" s="27">
        <v>604.28</v>
      </c>
      <c r="R10" s="27">
        <f t="shared" ref="R10:R14" si="3">Q10*12</f>
        <v>7251.36</v>
      </c>
      <c r="S10" s="27">
        <v>541.01</v>
      </c>
      <c r="T10" s="27">
        <f t="shared" ref="T10:T14" si="4">S10*12</f>
        <v>6492.12</v>
      </c>
    </row>
    <row r="11" spans="2:26" ht="43.5">
      <c r="B11" s="11" t="s">
        <v>60</v>
      </c>
      <c r="C11" s="11" t="s">
        <v>49</v>
      </c>
      <c r="D11" s="11" t="s">
        <v>50</v>
      </c>
      <c r="E11" s="11" t="s">
        <v>51</v>
      </c>
      <c r="F11" s="11" t="s">
        <v>52</v>
      </c>
      <c r="G11" s="11" t="s">
        <v>53</v>
      </c>
      <c r="H11" s="9">
        <v>8</v>
      </c>
      <c r="I11" s="9">
        <f t="shared" si="1"/>
        <v>250.923828125</v>
      </c>
      <c r="J11" s="9">
        <v>256946</v>
      </c>
      <c r="K11" s="11">
        <v>81274.880000000005</v>
      </c>
      <c r="L11" s="13" t="s">
        <v>54</v>
      </c>
      <c r="M11" s="13" t="s">
        <v>55</v>
      </c>
      <c r="N11" s="26" t="s">
        <v>56</v>
      </c>
      <c r="O11" s="27">
        <v>1486.97</v>
      </c>
      <c r="P11" s="27">
        <f t="shared" si="2"/>
        <v>17843.64</v>
      </c>
      <c r="Q11" s="27">
        <v>604.28</v>
      </c>
      <c r="R11" s="27">
        <f t="shared" si="3"/>
        <v>7251.36</v>
      </c>
      <c r="S11" s="27">
        <v>541.01</v>
      </c>
      <c r="T11" s="27">
        <f t="shared" si="4"/>
        <v>6492.12</v>
      </c>
    </row>
    <row r="12" spans="2:26" ht="43.5">
      <c r="B12" s="11" t="s">
        <v>61</v>
      </c>
      <c r="C12" s="11" t="s">
        <v>49</v>
      </c>
      <c r="D12" s="11" t="s">
        <v>50</v>
      </c>
      <c r="E12" s="11" t="s">
        <v>51</v>
      </c>
      <c r="F12" s="11" t="s">
        <v>52</v>
      </c>
      <c r="G12" s="11" t="s">
        <v>58</v>
      </c>
      <c r="H12" s="10">
        <v>8</v>
      </c>
      <c r="I12" s="9">
        <f t="shared" si="1"/>
        <v>250.876953125</v>
      </c>
      <c r="J12" s="10">
        <v>256898</v>
      </c>
      <c r="K12" s="11">
        <v>114042.9</v>
      </c>
      <c r="L12" s="13" t="s">
        <v>54</v>
      </c>
      <c r="M12" s="13" t="s">
        <v>55</v>
      </c>
      <c r="N12" s="26" t="s">
        <v>56</v>
      </c>
      <c r="O12" s="27">
        <v>1486.97</v>
      </c>
      <c r="P12" s="27">
        <f t="shared" si="2"/>
        <v>17843.64</v>
      </c>
      <c r="Q12" s="27">
        <v>604.28</v>
      </c>
      <c r="R12" s="27">
        <f t="shared" si="3"/>
        <v>7251.36</v>
      </c>
      <c r="S12" s="27">
        <v>541.01</v>
      </c>
      <c r="T12" s="27">
        <f t="shared" si="4"/>
        <v>6492.12</v>
      </c>
    </row>
    <row r="13" spans="2:26" ht="43.5">
      <c r="B13" s="11" t="s">
        <v>62</v>
      </c>
      <c r="C13" s="11" t="s">
        <v>49</v>
      </c>
      <c r="D13" s="11" t="s">
        <v>50</v>
      </c>
      <c r="E13" s="11" t="s">
        <v>51</v>
      </c>
      <c r="F13" s="11" t="s">
        <v>52</v>
      </c>
      <c r="G13" s="11" t="s">
        <v>53</v>
      </c>
      <c r="H13" s="9">
        <v>8</v>
      </c>
      <c r="I13" s="9">
        <f t="shared" si="1"/>
        <v>250.923828125</v>
      </c>
      <c r="J13" s="9">
        <v>256946</v>
      </c>
      <c r="K13" s="11">
        <v>81274.880000000005</v>
      </c>
      <c r="L13" s="13" t="s">
        <v>59</v>
      </c>
      <c r="M13" s="13" t="s">
        <v>55</v>
      </c>
      <c r="N13" s="26" t="s">
        <v>56</v>
      </c>
      <c r="O13" s="27">
        <v>1486.97</v>
      </c>
      <c r="P13" s="27">
        <f t="shared" si="2"/>
        <v>17843.64</v>
      </c>
      <c r="Q13" s="27">
        <v>604.28</v>
      </c>
      <c r="R13" s="27">
        <f t="shared" si="3"/>
        <v>7251.36</v>
      </c>
      <c r="S13" s="27">
        <v>541.01</v>
      </c>
      <c r="T13" s="27">
        <f t="shared" si="4"/>
        <v>6492.12</v>
      </c>
    </row>
    <row r="14" spans="2:26" ht="43.5">
      <c r="B14" s="11" t="s">
        <v>63</v>
      </c>
      <c r="C14" s="11" t="s">
        <v>49</v>
      </c>
      <c r="D14" s="11" t="s">
        <v>50</v>
      </c>
      <c r="E14" s="11" t="s">
        <v>51</v>
      </c>
      <c r="F14" s="11" t="s">
        <v>64</v>
      </c>
      <c r="G14" s="11" t="s">
        <v>53</v>
      </c>
      <c r="H14" s="10">
        <v>8</v>
      </c>
      <c r="I14" s="9">
        <f t="shared" si="1"/>
        <v>250.923828125</v>
      </c>
      <c r="J14" s="10">
        <v>256946</v>
      </c>
      <c r="K14" s="11">
        <v>81274.880000000005</v>
      </c>
      <c r="L14" s="13" t="s">
        <v>54</v>
      </c>
      <c r="M14" s="13" t="s">
        <v>55</v>
      </c>
      <c r="N14" s="26" t="s">
        <v>56</v>
      </c>
      <c r="O14" s="27">
        <v>1486.97</v>
      </c>
      <c r="P14" s="27">
        <f t="shared" si="2"/>
        <v>17843.64</v>
      </c>
      <c r="Q14" s="27">
        <v>604.28</v>
      </c>
      <c r="R14" s="27">
        <f t="shared" si="3"/>
        <v>7251.36</v>
      </c>
      <c r="S14" s="27">
        <v>541.01</v>
      </c>
      <c r="T14" s="27">
        <f t="shared" si="4"/>
        <v>6492.12</v>
      </c>
    </row>
    <row r="15" spans="2:26">
      <c r="O15" s="27">
        <f>SUM(O9:O14)</f>
        <v>8921.82</v>
      </c>
      <c r="P15" s="27">
        <f t="shared" ref="P15:T15" si="5">SUM(P9:P14)</f>
        <v>107061.84</v>
      </c>
      <c r="Q15" s="27">
        <f t="shared" si="5"/>
        <v>3625.6799999999994</v>
      </c>
      <c r="R15" s="27">
        <f t="shared" si="5"/>
        <v>43508.159999999996</v>
      </c>
      <c r="S15" s="27">
        <f t="shared" si="5"/>
        <v>3246.0600000000004</v>
      </c>
      <c r="T15" s="27">
        <f t="shared" si="5"/>
        <v>38952.720000000001</v>
      </c>
    </row>
    <row r="16" spans="2:26" ht="36.950000000000003">
      <c r="B16" s="25" t="s">
        <v>80</v>
      </c>
    </row>
    <row r="17" spans="2:14" ht="29.1">
      <c r="B17" s="11" t="s">
        <v>29</v>
      </c>
      <c r="C17" s="11" t="s">
        <v>38</v>
      </c>
      <c r="D17" s="11" t="s">
        <v>66</v>
      </c>
      <c r="E17" s="11" t="s">
        <v>67</v>
      </c>
      <c r="F17" s="11" t="s">
        <v>68</v>
      </c>
      <c r="G17" s="11" t="s">
        <v>69</v>
      </c>
      <c r="H17" s="11" t="s">
        <v>68</v>
      </c>
      <c r="I17" s="11" t="s">
        <v>70</v>
      </c>
      <c r="J17" s="11" t="s">
        <v>68</v>
      </c>
      <c r="K17" s="11" t="s">
        <v>71</v>
      </c>
      <c r="L17" s="11" t="s">
        <v>68</v>
      </c>
      <c r="M17" s="11" t="s">
        <v>72</v>
      </c>
      <c r="N17" s="26" t="s">
        <v>73</v>
      </c>
    </row>
    <row r="18" spans="2:14">
      <c r="B18" s="11" t="s">
        <v>48</v>
      </c>
      <c r="C18" s="11">
        <v>81274.880000000005</v>
      </c>
      <c r="D18" s="13" t="s">
        <v>74</v>
      </c>
      <c r="E18" s="11" t="s">
        <v>75</v>
      </c>
      <c r="F18" s="27">
        <v>2711.79</v>
      </c>
      <c r="G18" s="11" t="s">
        <v>75</v>
      </c>
      <c r="H18" s="27">
        <v>2711.79</v>
      </c>
      <c r="I18" s="13" t="s">
        <v>76</v>
      </c>
      <c r="J18" s="27">
        <v>1355.9</v>
      </c>
      <c r="K18" s="13" t="s">
        <v>77</v>
      </c>
      <c r="L18" s="27"/>
      <c r="M18" s="27">
        <f>(F18+H18+J18+L18)*12</f>
        <v>81353.759999999995</v>
      </c>
      <c r="N18" s="27">
        <f>(F18+H18+J18+L18)</f>
        <v>6779.48</v>
      </c>
    </row>
    <row r="19" spans="2:14">
      <c r="B19" s="11" t="s">
        <v>57</v>
      </c>
      <c r="C19" s="11">
        <v>114053.1</v>
      </c>
      <c r="D19" s="13" t="s">
        <v>74</v>
      </c>
      <c r="E19" s="11" t="s">
        <v>75</v>
      </c>
      <c r="F19" s="27">
        <v>2711.79</v>
      </c>
      <c r="G19" s="11" t="s">
        <v>75</v>
      </c>
      <c r="H19" s="27">
        <v>2711.79</v>
      </c>
      <c r="I19" s="11" t="s">
        <v>75</v>
      </c>
      <c r="J19" s="27">
        <v>2711.79</v>
      </c>
      <c r="K19" s="13" t="s">
        <v>76</v>
      </c>
      <c r="L19" s="27">
        <v>1355.9</v>
      </c>
      <c r="M19" s="27">
        <f t="shared" ref="M19:M23" si="6">(F19+H19+J19+L19)*12</f>
        <v>113895.24</v>
      </c>
      <c r="N19" s="27">
        <f t="shared" ref="N19:N23" si="7">(F19+H19+J19+L19)</f>
        <v>9491.27</v>
      </c>
    </row>
    <row r="20" spans="2:14">
      <c r="B20" s="11" t="s">
        <v>60</v>
      </c>
      <c r="C20" s="11">
        <v>81274.880000000005</v>
      </c>
      <c r="D20" s="13" t="s">
        <v>74</v>
      </c>
      <c r="E20" s="11" t="s">
        <v>75</v>
      </c>
      <c r="F20" s="27">
        <v>2711.79</v>
      </c>
      <c r="G20" s="11" t="s">
        <v>75</v>
      </c>
      <c r="H20" s="27">
        <v>2711.79</v>
      </c>
      <c r="I20" s="13" t="s">
        <v>76</v>
      </c>
      <c r="J20" s="27">
        <v>1355.9</v>
      </c>
      <c r="K20" s="13" t="s">
        <v>77</v>
      </c>
      <c r="L20" s="27"/>
      <c r="M20" s="27">
        <f t="shared" si="6"/>
        <v>81353.759999999995</v>
      </c>
      <c r="N20" s="27">
        <f t="shared" si="7"/>
        <v>6779.48</v>
      </c>
    </row>
    <row r="21" spans="2:14">
      <c r="B21" s="11" t="s">
        <v>61</v>
      </c>
      <c r="C21" s="11">
        <v>114042.9</v>
      </c>
      <c r="D21" s="13" t="s">
        <v>74</v>
      </c>
      <c r="E21" s="11" t="s">
        <v>75</v>
      </c>
      <c r="F21" s="27">
        <v>2711.79</v>
      </c>
      <c r="G21" s="11" t="s">
        <v>75</v>
      </c>
      <c r="H21" s="27">
        <v>2711.79</v>
      </c>
      <c r="I21" s="11" t="s">
        <v>75</v>
      </c>
      <c r="J21" s="27">
        <v>2711.79</v>
      </c>
      <c r="K21" s="13" t="s">
        <v>76</v>
      </c>
      <c r="L21" s="27">
        <v>1355.9</v>
      </c>
      <c r="M21" s="27">
        <f t="shared" si="6"/>
        <v>113895.24</v>
      </c>
      <c r="N21" s="27">
        <f t="shared" si="7"/>
        <v>9491.27</v>
      </c>
    </row>
    <row r="22" spans="2:14">
      <c r="B22" s="11" t="s">
        <v>62</v>
      </c>
      <c r="C22" s="11">
        <v>81274.880000000005</v>
      </c>
      <c r="D22" s="13" t="s">
        <v>74</v>
      </c>
      <c r="E22" s="11" t="s">
        <v>75</v>
      </c>
      <c r="F22" s="27">
        <v>2711.79</v>
      </c>
      <c r="G22" s="11" t="s">
        <v>75</v>
      </c>
      <c r="H22" s="27">
        <v>2711.79</v>
      </c>
      <c r="I22" s="13" t="s">
        <v>76</v>
      </c>
      <c r="J22" s="27">
        <v>1355.9</v>
      </c>
      <c r="K22" s="13" t="s">
        <v>77</v>
      </c>
      <c r="L22" s="27"/>
      <c r="M22" s="27">
        <f t="shared" si="6"/>
        <v>81353.759999999995</v>
      </c>
      <c r="N22" s="27">
        <f t="shared" si="7"/>
        <v>6779.48</v>
      </c>
    </row>
    <row r="23" spans="2:14">
      <c r="B23" s="11" t="s">
        <v>63</v>
      </c>
      <c r="C23" s="11">
        <v>81274.880000000005</v>
      </c>
      <c r="D23" s="13" t="s">
        <v>74</v>
      </c>
      <c r="E23" s="11" t="s">
        <v>75</v>
      </c>
      <c r="F23" s="27">
        <v>2711.79</v>
      </c>
      <c r="G23" s="11" t="s">
        <v>75</v>
      </c>
      <c r="H23" s="27">
        <v>2711.79</v>
      </c>
      <c r="I23" s="13" t="s">
        <v>76</v>
      </c>
      <c r="J23" s="27">
        <v>1355.9</v>
      </c>
      <c r="K23" s="13" t="s">
        <v>77</v>
      </c>
      <c r="L23" s="27"/>
      <c r="M23" s="27">
        <f t="shared" si="6"/>
        <v>81353.759999999995</v>
      </c>
      <c r="N23" s="27">
        <f t="shared" si="7"/>
        <v>6779.48</v>
      </c>
    </row>
    <row r="24" spans="2:14">
      <c r="N24" s="27">
        <f>SUM(N18:N23)</f>
        <v>46100.459999999992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089C-1068-4604-9A95-CD562B39B8DE}">
  <dimension ref="B2:Z24"/>
  <sheetViews>
    <sheetView zoomScale="110" zoomScaleNormal="110" workbookViewId="0">
      <selection activeCell="H7" sqref="H7"/>
    </sheetView>
  </sheetViews>
  <sheetFormatPr defaultRowHeight="14.45"/>
  <cols>
    <col min="2" max="2" width="32.28515625" customWidth="1"/>
    <col min="3" max="3" width="14.7109375" customWidth="1"/>
    <col min="4" max="4" width="16.28515625" customWidth="1"/>
    <col min="5" max="5" width="19.85546875" customWidth="1"/>
    <col min="6" max="6" width="10.140625" bestFit="1" customWidth="1"/>
    <col min="7" max="10" width="17.85546875" customWidth="1"/>
    <col min="11" max="11" width="13.85546875" bestFit="1" customWidth="1"/>
    <col min="12" max="12" width="12" customWidth="1"/>
    <col min="13" max="20" width="17.85546875" customWidth="1"/>
    <col min="21" max="21" width="13.7109375" bestFit="1" customWidth="1"/>
    <col min="22" max="22" width="20.42578125" bestFit="1" customWidth="1"/>
    <col min="23" max="23" width="13.5703125" customWidth="1"/>
    <col min="24" max="24" width="16.7109375" bestFit="1" customWidth="1"/>
    <col min="25" max="26" width="10.85546875" bestFit="1" customWidth="1"/>
  </cols>
  <sheetData>
    <row r="2" spans="2:26">
      <c r="B2" s="31" t="s">
        <v>81</v>
      </c>
      <c r="C2" s="32" t="s">
        <v>22</v>
      </c>
      <c r="D2" s="32" t="s">
        <v>23</v>
      </c>
      <c r="E2" s="33" t="s">
        <v>24</v>
      </c>
    </row>
    <row r="3" spans="2:26">
      <c r="B3" s="29" t="s">
        <v>25</v>
      </c>
      <c r="C3" s="28">
        <f>P15</f>
        <v>115524.71999999999</v>
      </c>
      <c r="D3" s="28">
        <f>R15</f>
        <v>46730.159999999996</v>
      </c>
      <c r="E3" s="30">
        <f>T15</f>
        <v>42174.720000000001</v>
      </c>
    </row>
    <row r="4" spans="2:26">
      <c r="B4" s="34" t="s">
        <v>26</v>
      </c>
      <c r="C4" s="35">
        <f>SUM(M18:M23)</f>
        <v>608499.3600000001</v>
      </c>
      <c r="D4" s="35">
        <f>SUM(M18:M23)</f>
        <v>608499.3600000001</v>
      </c>
      <c r="E4" s="36">
        <f>SUM(M18:M23)</f>
        <v>608499.3600000001</v>
      </c>
    </row>
    <row r="5" spans="2:26">
      <c r="B5" s="34" t="s">
        <v>27</v>
      </c>
      <c r="C5" s="35">
        <f>C3+C4</f>
        <v>724024.08000000007</v>
      </c>
      <c r="D5" s="35">
        <f t="shared" ref="D5:E5" si="0">D3+D4</f>
        <v>655229.52000000014</v>
      </c>
      <c r="E5" s="35">
        <f t="shared" si="0"/>
        <v>650674.08000000007</v>
      </c>
    </row>
    <row r="6" spans="2:26">
      <c r="Z6" s="14"/>
    </row>
    <row r="7" spans="2:26" ht="36.950000000000003">
      <c r="B7" s="25" t="s">
        <v>82</v>
      </c>
    </row>
    <row r="8" spans="2:26" ht="29.1">
      <c r="B8" s="12" t="s">
        <v>29</v>
      </c>
      <c r="C8" s="12" t="s">
        <v>30</v>
      </c>
      <c r="D8" s="12" t="s">
        <v>31</v>
      </c>
      <c r="E8" s="12" t="s">
        <v>32</v>
      </c>
      <c r="F8" s="12" t="s">
        <v>33</v>
      </c>
      <c r="G8" s="12" t="s">
        <v>34</v>
      </c>
      <c r="H8" s="12" t="s">
        <v>35</v>
      </c>
      <c r="I8" s="12" t="s">
        <v>36</v>
      </c>
      <c r="J8" s="12" t="s">
        <v>37</v>
      </c>
      <c r="K8" s="12" t="s">
        <v>38</v>
      </c>
      <c r="L8" s="12" t="s">
        <v>39</v>
      </c>
      <c r="M8" s="12" t="s">
        <v>40</v>
      </c>
      <c r="N8" s="12" t="s">
        <v>41</v>
      </c>
      <c r="O8" s="12" t="s">
        <v>42</v>
      </c>
      <c r="P8" s="12" t="s">
        <v>43</v>
      </c>
      <c r="Q8" s="12" t="s">
        <v>44</v>
      </c>
      <c r="R8" s="12" t="s">
        <v>45</v>
      </c>
      <c r="S8" s="12" t="s">
        <v>46</v>
      </c>
      <c r="T8" s="12" t="s">
        <v>47</v>
      </c>
      <c r="U8" s="23"/>
    </row>
    <row r="9" spans="2:26" ht="43.5">
      <c r="B9" s="11" t="s">
        <v>48</v>
      </c>
      <c r="C9" s="11" t="s">
        <v>49</v>
      </c>
      <c r="D9" s="11" t="s">
        <v>50</v>
      </c>
      <c r="E9" s="11" t="s">
        <v>51</v>
      </c>
      <c r="F9" s="11" t="s">
        <v>52</v>
      </c>
      <c r="G9" s="11" t="s">
        <v>53</v>
      </c>
      <c r="H9" s="9">
        <v>8</v>
      </c>
      <c r="I9" s="9">
        <f>J9/1024</f>
        <v>250.923828125</v>
      </c>
      <c r="J9" s="9">
        <v>256946</v>
      </c>
      <c r="K9" s="11">
        <v>81274.880000000005</v>
      </c>
      <c r="L9" s="13" t="s">
        <v>54</v>
      </c>
      <c r="M9" s="13" t="s">
        <v>55</v>
      </c>
      <c r="N9" s="26" t="s">
        <v>56</v>
      </c>
      <c r="O9" s="27">
        <v>1604.51</v>
      </c>
      <c r="P9" s="27">
        <f>O9*12</f>
        <v>19254.12</v>
      </c>
      <c r="Q9" s="27">
        <v>649.03</v>
      </c>
      <c r="R9" s="27">
        <f>Q9*12</f>
        <v>7788.36</v>
      </c>
      <c r="S9" s="27">
        <v>585.76</v>
      </c>
      <c r="T9" s="27">
        <f>S9*12</f>
        <v>7029.12</v>
      </c>
    </row>
    <row r="10" spans="2:26" ht="43.5">
      <c r="B10" s="11" t="s">
        <v>57</v>
      </c>
      <c r="C10" s="11" t="s">
        <v>49</v>
      </c>
      <c r="D10" s="11" t="s">
        <v>50</v>
      </c>
      <c r="E10" s="11" t="s">
        <v>51</v>
      </c>
      <c r="F10" s="11" t="s">
        <v>52</v>
      </c>
      <c r="G10" s="11" t="s">
        <v>58</v>
      </c>
      <c r="H10" s="10">
        <v>8</v>
      </c>
      <c r="I10" s="9">
        <f t="shared" ref="I10:I14" si="1">J10/1024</f>
        <v>250.853515625</v>
      </c>
      <c r="J10" s="10">
        <v>256874</v>
      </c>
      <c r="K10" s="11">
        <v>114053.1</v>
      </c>
      <c r="L10" s="13" t="s">
        <v>59</v>
      </c>
      <c r="M10" s="13" t="s">
        <v>55</v>
      </c>
      <c r="N10" s="26" t="s">
        <v>56</v>
      </c>
      <c r="O10" s="27">
        <v>1604.51</v>
      </c>
      <c r="P10" s="27">
        <f t="shared" ref="P10:P14" si="2">O10*12</f>
        <v>19254.12</v>
      </c>
      <c r="Q10" s="27">
        <v>649.03</v>
      </c>
      <c r="R10" s="27">
        <f t="shared" ref="R10:R14" si="3">Q10*12</f>
        <v>7788.36</v>
      </c>
      <c r="S10" s="27">
        <v>585.76</v>
      </c>
      <c r="T10" s="27">
        <f t="shared" ref="T10:T14" si="4">S10*12</f>
        <v>7029.12</v>
      </c>
    </row>
    <row r="11" spans="2:26" ht="43.5">
      <c r="B11" s="11" t="s">
        <v>60</v>
      </c>
      <c r="C11" s="11" t="s">
        <v>49</v>
      </c>
      <c r="D11" s="11" t="s">
        <v>50</v>
      </c>
      <c r="E11" s="11" t="s">
        <v>51</v>
      </c>
      <c r="F11" s="11" t="s">
        <v>52</v>
      </c>
      <c r="G11" s="11" t="s">
        <v>53</v>
      </c>
      <c r="H11" s="9">
        <v>8</v>
      </c>
      <c r="I11" s="9">
        <f t="shared" si="1"/>
        <v>250.923828125</v>
      </c>
      <c r="J11" s="9">
        <v>256946</v>
      </c>
      <c r="K11" s="11">
        <v>81274.880000000005</v>
      </c>
      <c r="L11" s="13" t="s">
        <v>54</v>
      </c>
      <c r="M11" s="13" t="s">
        <v>55</v>
      </c>
      <c r="N11" s="26" t="s">
        <v>56</v>
      </c>
      <c r="O11" s="27">
        <v>1604.51</v>
      </c>
      <c r="P11" s="27">
        <f t="shared" si="2"/>
        <v>19254.12</v>
      </c>
      <c r="Q11" s="27">
        <v>649.03</v>
      </c>
      <c r="R11" s="27">
        <f t="shared" si="3"/>
        <v>7788.36</v>
      </c>
      <c r="S11" s="27">
        <v>585.76</v>
      </c>
      <c r="T11" s="27">
        <f t="shared" si="4"/>
        <v>7029.12</v>
      </c>
    </row>
    <row r="12" spans="2:26" ht="43.5">
      <c r="B12" s="11" t="s">
        <v>61</v>
      </c>
      <c r="C12" s="11" t="s">
        <v>49</v>
      </c>
      <c r="D12" s="11" t="s">
        <v>50</v>
      </c>
      <c r="E12" s="11" t="s">
        <v>51</v>
      </c>
      <c r="F12" s="11" t="s">
        <v>52</v>
      </c>
      <c r="G12" s="11" t="s">
        <v>58</v>
      </c>
      <c r="H12" s="10">
        <v>8</v>
      </c>
      <c r="I12" s="9">
        <f t="shared" si="1"/>
        <v>250.876953125</v>
      </c>
      <c r="J12" s="10">
        <v>256898</v>
      </c>
      <c r="K12" s="11">
        <v>114042.9</v>
      </c>
      <c r="L12" s="13" t="s">
        <v>54</v>
      </c>
      <c r="M12" s="13" t="s">
        <v>55</v>
      </c>
      <c r="N12" s="26" t="s">
        <v>56</v>
      </c>
      <c r="O12" s="27">
        <v>1604.51</v>
      </c>
      <c r="P12" s="27">
        <f t="shared" si="2"/>
        <v>19254.12</v>
      </c>
      <c r="Q12" s="27">
        <v>649.03</v>
      </c>
      <c r="R12" s="27">
        <f t="shared" si="3"/>
        <v>7788.36</v>
      </c>
      <c r="S12" s="27">
        <v>585.76</v>
      </c>
      <c r="T12" s="27">
        <f t="shared" si="4"/>
        <v>7029.12</v>
      </c>
    </row>
    <row r="13" spans="2:26" ht="43.5">
      <c r="B13" s="11" t="s">
        <v>62</v>
      </c>
      <c r="C13" s="11" t="s">
        <v>49</v>
      </c>
      <c r="D13" s="11" t="s">
        <v>50</v>
      </c>
      <c r="E13" s="11" t="s">
        <v>51</v>
      </c>
      <c r="F13" s="11" t="s">
        <v>52</v>
      </c>
      <c r="G13" s="11" t="s">
        <v>53</v>
      </c>
      <c r="H13" s="9">
        <v>8</v>
      </c>
      <c r="I13" s="9">
        <f t="shared" si="1"/>
        <v>250.923828125</v>
      </c>
      <c r="J13" s="9">
        <v>256946</v>
      </c>
      <c r="K13" s="11">
        <v>81274.880000000005</v>
      </c>
      <c r="L13" s="13" t="s">
        <v>59</v>
      </c>
      <c r="M13" s="13" t="s">
        <v>55</v>
      </c>
      <c r="N13" s="26" t="s">
        <v>56</v>
      </c>
      <c r="O13" s="27">
        <v>1604.51</v>
      </c>
      <c r="P13" s="27">
        <f t="shared" si="2"/>
        <v>19254.12</v>
      </c>
      <c r="Q13" s="27">
        <v>649.03</v>
      </c>
      <c r="R13" s="27">
        <f t="shared" si="3"/>
        <v>7788.36</v>
      </c>
      <c r="S13" s="27">
        <v>585.76</v>
      </c>
      <c r="T13" s="27">
        <f t="shared" si="4"/>
        <v>7029.12</v>
      </c>
    </row>
    <row r="14" spans="2:26" ht="43.5">
      <c r="B14" s="11" t="s">
        <v>63</v>
      </c>
      <c r="C14" s="11" t="s">
        <v>49</v>
      </c>
      <c r="D14" s="11" t="s">
        <v>50</v>
      </c>
      <c r="E14" s="11" t="s">
        <v>51</v>
      </c>
      <c r="F14" s="11" t="s">
        <v>64</v>
      </c>
      <c r="G14" s="11" t="s">
        <v>53</v>
      </c>
      <c r="H14" s="10">
        <v>8</v>
      </c>
      <c r="I14" s="9">
        <f t="shared" si="1"/>
        <v>250.923828125</v>
      </c>
      <c r="J14" s="10">
        <v>256946</v>
      </c>
      <c r="K14" s="11">
        <v>81274.880000000005</v>
      </c>
      <c r="L14" s="13" t="s">
        <v>54</v>
      </c>
      <c r="M14" s="13" t="s">
        <v>55</v>
      </c>
      <c r="N14" s="26" t="s">
        <v>56</v>
      </c>
      <c r="O14" s="27">
        <v>1604.51</v>
      </c>
      <c r="P14" s="27">
        <f t="shared" si="2"/>
        <v>19254.12</v>
      </c>
      <c r="Q14" s="27">
        <v>649.03</v>
      </c>
      <c r="R14" s="27">
        <f t="shared" si="3"/>
        <v>7788.36</v>
      </c>
      <c r="S14" s="27">
        <v>585.76</v>
      </c>
      <c r="T14" s="27">
        <f t="shared" si="4"/>
        <v>7029.12</v>
      </c>
    </row>
    <row r="15" spans="2:26">
      <c r="O15" s="27">
        <f>SUM(O9:O14)</f>
        <v>9627.06</v>
      </c>
      <c r="P15" s="27">
        <f t="shared" ref="P15:T15" si="5">SUM(P9:P14)</f>
        <v>115524.71999999999</v>
      </c>
      <c r="Q15" s="27">
        <f t="shared" si="5"/>
        <v>3894.1799999999994</v>
      </c>
      <c r="R15" s="27">
        <f t="shared" si="5"/>
        <v>46730.159999999996</v>
      </c>
      <c r="S15" s="27">
        <f t="shared" si="5"/>
        <v>3514.5600000000004</v>
      </c>
      <c r="T15" s="27">
        <f t="shared" si="5"/>
        <v>42174.720000000001</v>
      </c>
    </row>
    <row r="16" spans="2:26" ht="36.950000000000003">
      <c r="B16" s="25" t="s">
        <v>83</v>
      </c>
    </row>
    <row r="17" spans="2:14" ht="29.1">
      <c r="B17" s="11" t="s">
        <v>29</v>
      </c>
      <c r="C17" s="11" t="s">
        <v>38</v>
      </c>
      <c r="D17" s="11" t="s">
        <v>66</v>
      </c>
      <c r="E17" s="11" t="s">
        <v>67</v>
      </c>
      <c r="F17" s="11" t="s">
        <v>68</v>
      </c>
      <c r="G17" s="11" t="s">
        <v>69</v>
      </c>
      <c r="H17" s="11" t="s">
        <v>68</v>
      </c>
      <c r="I17" s="11" t="s">
        <v>70</v>
      </c>
      <c r="J17" s="11" t="s">
        <v>68</v>
      </c>
      <c r="K17" s="11" t="s">
        <v>71</v>
      </c>
      <c r="L17" s="11" t="s">
        <v>68</v>
      </c>
      <c r="M17" s="11" t="s">
        <v>72</v>
      </c>
      <c r="N17" s="26" t="s">
        <v>73</v>
      </c>
    </row>
    <row r="18" spans="2:14">
      <c r="B18" s="11" t="s">
        <v>48</v>
      </c>
      <c r="C18" s="11">
        <v>81274.880000000005</v>
      </c>
      <c r="D18" s="13" t="s">
        <v>74</v>
      </c>
      <c r="E18" s="11" t="s">
        <v>75</v>
      </c>
      <c r="F18" s="27">
        <v>2982.84</v>
      </c>
      <c r="G18" s="11" t="s">
        <v>75</v>
      </c>
      <c r="H18" s="27">
        <v>2982.84</v>
      </c>
      <c r="I18" s="13" t="s">
        <v>76</v>
      </c>
      <c r="J18" s="27">
        <v>1491.42</v>
      </c>
      <c r="K18" s="13" t="s">
        <v>77</v>
      </c>
      <c r="L18" s="27"/>
      <c r="M18" s="27">
        <f>(F18+H18+J18+L18)*12</f>
        <v>89485.200000000012</v>
      </c>
      <c r="N18" s="27">
        <f>(F18+H18+J18+L18)</f>
        <v>7457.1</v>
      </c>
    </row>
    <row r="19" spans="2:14">
      <c r="B19" s="11" t="s">
        <v>57</v>
      </c>
      <c r="C19" s="11">
        <v>114053.1</v>
      </c>
      <c r="D19" s="13" t="s">
        <v>74</v>
      </c>
      <c r="E19" s="11" t="s">
        <v>75</v>
      </c>
      <c r="F19" s="27">
        <v>2982.84</v>
      </c>
      <c r="G19" s="11" t="s">
        <v>75</v>
      </c>
      <c r="H19" s="27">
        <v>2982.84</v>
      </c>
      <c r="I19" s="11" t="s">
        <v>75</v>
      </c>
      <c r="J19" s="27">
        <v>2982.84</v>
      </c>
      <c r="K19" s="13" t="s">
        <v>76</v>
      </c>
      <c r="L19" s="27">
        <v>1491.42</v>
      </c>
      <c r="M19" s="27">
        <f t="shared" ref="M19:M23" si="6">(F19+H19+J19+L19)*12</f>
        <v>125279.28</v>
      </c>
      <c r="N19" s="27">
        <f t="shared" ref="N19:N23" si="7">(F19+H19+J19+L19)</f>
        <v>10439.94</v>
      </c>
    </row>
    <row r="20" spans="2:14">
      <c r="B20" s="11" t="s">
        <v>60</v>
      </c>
      <c r="C20" s="11">
        <v>81274.880000000005</v>
      </c>
      <c r="D20" s="13" t="s">
        <v>74</v>
      </c>
      <c r="E20" s="11" t="s">
        <v>75</v>
      </c>
      <c r="F20" s="27">
        <v>2982.84</v>
      </c>
      <c r="G20" s="11" t="s">
        <v>75</v>
      </c>
      <c r="H20" s="27">
        <v>2982.84</v>
      </c>
      <c r="I20" s="13" t="s">
        <v>76</v>
      </c>
      <c r="J20" s="27">
        <v>1491.42</v>
      </c>
      <c r="K20" s="13" t="s">
        <v>77</v>
      </c>
      <c r="L20" s="27"/>
      <c r="M20" s="27">
        <f t="shared" si="6"/>
        <v>89485.200000000012</v>
      </c>
      <c r="N20" s="27">
        <f t="shared" si="7"/>
        <v>7457.1</v>
      </c>
    </row>
    <row r="21" spans="2:14">
      <c r="B21" s="11" t="s">
        <v>61</v>
      </c>
      <c r="C21" s="11">
        <v>114042.9</v>
      </c>
      <c r="D21" s="13" t="s">
        <v>74</v>
      </c>
      <c r="E21" s="11" t="s">
        <v>75</v>
      </c>
      <c r="F21" s="27">
        <v>2982.84</v>
      </c>
      <c r="G21" s="11" t="s">
        <v>75</v>
      </c>
      <c r="H21" s="27">
        <v>2982.84</v>
      </c>
      <c r="I21" s="11" t="s">
        <v>75</v>
      </c>
      <c r="J21" s="27">
        <v>2982.84</v>
      </c>
      <c r="K21" s="13" t="s">
        <v>76</v>
      </c>
      <c r="L21" s="27">
        <v>1491.42</v>
      </c>
      <c r="M21" s="27">
        <f>(F21+H21+J21+L21)*12</f>
        <v>125279.28</v>
      </c>
      <c r="N21" s="27">
        <f t="shared" si="7"/>
        <v>10439.94</v>
      </c>
    </row>
    <row r="22" spans="2:14">
      <c r="B22" s="11" t="s">
        <v>62</v>
      </c>
      <c r="C22" s="11">
        <v>81274.880000000005</v>
      </c>
      <c r="D22" s="13" t="s">
        <v>74</v>
      </c>
      <c r="E22" s="11" t="s">
        <v>75</v>
      </c>
      <c r="F22" s="27">
        <v>2982.84</v>
      </c>
      <c r="G22" s="11" t="s">
        <v>75</v>
      </c>
      <c r="H22" s="27">
        <v>2982.84</v>
      </c>
      <c r="I22" s="13" t="s">
        <v>76</v>
      </c>
      <c r="J22" s="27">
        <v>1491.42</v>
      </c>
      <c r="K22" s="13" t="s">
        <v>77</v>
      </c>
      <c r="L22" s="27"/>
      <c r="M22" s="27">
        <f t="shared" si="6"/>
        <v>89485.200000000012</v>
      </c>
      <c r="N22" s="27">
        <f t="shared" si="7"/>
        <v>7457.1</v>
      </c>
    </row>
    <row r="23" spans="2:14">
      <c r="B23" s="11" t="s">
        <v>63</v>
      </c>
      <c r="C23" s="11">
        <v>81274.880000000005</v>
      </c>
      <c r="D23" s="13" t="s">
        <v>74</v>
      </c>
      <c r="E23" s="11" t="s">
        <v>75</v>
      </c>
      <c r="F23" s="27">
        <v>2982.84</v>
      </c>
      <c r="G23" s="11" t="s">
        <v>75</v>
      </c>
      <c r="H23" s="27">
        <v>2982.84</v>
      </c>
      <c r="I23" s="13" t="s">
        <v>76</v>
      </c>
      <c r="J23" s="27">
        <v>1491.42</v>
      </c>
      <c r="K23" s="13" t="s">
        <v>77</v>
      </c>
      <c r="L23" s="27"/>
      <c r="M23" s="27">
        <f t="shared" si="6"/>
        <v>89485.200000000012</v>
      </c>
      <c r="N23" s="27">
        <f t="shared" si="7"/>
        <v>7457.1</v>
      </c>
    </row>
    <row r="24" spans="2:14">
      <c r="N24" s="27">
        <f>SUM(N18:N23)</f>
        <v>50708.28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B1781-738B-4B53-8FA1-322F9FA5BB2C}"/>
</file>

<file path=customXml/itemProps2.xml><?xml version="1.0" encoding="utf-8"?>
<ds:datastoreItem xmlns:ds="http://schemas.openxmlformats.org/officeDocument/2006/customXml" ds:itemID="{D04C5C19-A9F2-4619-8C08-98F27AB536E7}"/>
</file>

<file path=customXml/itemProps3.xml><?xml version="1.0" encoding="utf-8"?>
<ds:datastoreItem xmlns:ds="http://schemas.openxmlformats.org/officeDocument/2006/customXml" ds:itemID="{2951C596-E87F-4725-960B-92506B7D4027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Mirpuri</dc:creator>
  <cp:keywords/>
  <dc:description/>
  <cp:lastModifiedBy>Anshuman Nath</cp:lastModifiedBy>
  <cp:revision/>
  <dcterms:created xsi:type="dcterms:W3CDTF">2026-04-13T14:45:50Z</dcterms:created>
  <dcterms:modified xsi:type="dcterms:W3CDTF">2026-04-23T15:38:19Z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0x010100B104D1C152C32946844AA72ED5B510AE</vt:lpwstr>
  </property>
  <property fmtid="{D5CDD505-2E9C-101B-9397-08002B2CF9AE}" pid="3" name="MediaServiceImageTags">
    <vt:lpwstr/>
  </property>
</Properties>
</file>