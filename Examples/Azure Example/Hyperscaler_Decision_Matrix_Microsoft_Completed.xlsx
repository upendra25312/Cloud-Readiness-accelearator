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icrosofteur-my.sharepoint.com/personal/beso_microsoft_com/Documents/M&amp;C/DMG/CRA/"/>
    </mc:Choice>
  </mc:AlternateContent>
  <xr:revisionPtr revIDLastSave="0" documentId="8_{209D3D6D-8E51-4A6F-B0E7-C4387A86A1F6}" xr6:coauthVersionLast="47" xr6:coauthVersionMax="47" xr10:uidLastSave="{00000000-0000-0000-0000-000000000000}"/>
  <bookViews>
    <workbookView xWindow="-110" yWindow="-110" windowWidth="25180" windowHeight="16140" xr2:uid="{00000000-000D-0000-FFFF-FFFF00000000}"/>
  </bookViews>
  <sheets>
    <sheet name="Hyperscaler Decision Matrix" sheetId="1" r:id="rId1"/>
    <sheet name="Legend" sheetId="2" r:id="rId2"/>
    <sheet name="Assumptions" sheetId="3" r:id="rId3"/>
  </sheets>
  <definedNames>
    <definedName name="_xlnm._FilterDatabase" localSheetId="0" hidden="1">'Hyperscaler Decision Matrix'!$A$2:$L$60</definedName>
    <definedName name="_xlnm._FilterDatabase" localSheetId="1" hidden="1">Legend!$B$5:$E$5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1" l="1" a="1"/>
  <c r="F47" i="1" s="1"/>
  <c r="F48" i="1" a="1"/>
  <c r="F48" i="1" s="1"/>
  <c r="F18" i="1" a="1"/>
  <c r="F18" i="1" s="1"/>
  <c r="F46" i="1" a="1"/>
  <c r="F46" i="1" s="1"/>
  <c r="F40" i="1" a="1"/>
  <c r="F40" i="1" s="1"/>
  <c r="F41" i="1" a="1"/>
  <c r="F41" i="1" s="1"/>
  <c r="F42" i="1" a="1"/>
  <c r="F42" i="1" s="1"/>
  <c r="H42" i="1" s="1"/>
  <c r="F43" i="1" a="1"/>
  <c r="F43" i="1" s="1"/>
  <c r="L43" i="1" s="1"/>
  <c r="F44" i="1" a="1"/>
  <c r="F44" i="1" s="1"/>
  <c r="H44" i="1" s="1"/>
  <c r="F45" i="1" a="1"/>
  <c r="F45" i="1" s="1"/>
  <c r="H45" i="1" s="1"/>
  <c r="F5" i="1" a="1"/>
  <c r="F5" i="1" s="1"/>
  <c r="F6" i="1" a="1"/>
  <c r="F6" i="1" s="1"/>
  <c r="H6" i="1" s="1"/>
  <c r="F7" i="1" a="1"/>
  <c r="F7" i="1" s="1"/>
  <c r="F8" i="1" a="1"/>
  <c r="F8" i="1" s="1"/>
  <c r="F9" i="1" a="1"/>
  <c r="F9" i="1" s="1"/>
  <c r="F10" i="1" a="1"/>
  <c r="F10" i="1" s="1"/>
  <c r="F11" i="1" a="1"/>
  <c r="F11" i="1" s="1"/>
  <c r="F12" i="1" a="1"/>
  <c r="F12" i="1" s="1"/>
  <c r="F13" i="1" a="1"/>
  <c r="F13" i="1" s="1"/>
  <c r="F14" i="1" a="1"/>
  <c r="F14" i="1" s="1"/>
  <c r="F15" i="1" a="1"/>
  <c r="F15" i="1" s="1"/>
  <c r="F16" i="1" a="1"/>
  <c r="F16" i="1" s="1"/>
  <c r="L16" i="1" s="1"/>
  <c r="F17" i="1" a="1"/>
  <c r="F17" i="1" s="1"/>
  <c r="F19" i="1" a="1"/>
  <c r="F19" i="1" s="1"/>
  <c r="F20" i="1" a="1"/>
  <c r="F20" i="1" s="1"/>
  <c r="F21" i="1" a="1"/>
  <c r="F21" i="1" s="1"/>
  <c r="F22" i="1" a="1"/>
  <c r="F22" i="1" s="1"/>
  <c r="F23" i="1" a="1"/>
  <c r="F23" i="1" s="1"/>
  <c r="F24" i="1" a="1"/>
  <c r="F24" i="1" s="1"/>
  <c r="F25" i="1" a="1"/>
  <c r="F25" i="1" s="1"/>
  <c r="L25" i="1" s="1"/>
  <c r="F26" i="1" a="1"/>
  <c r="F26" i="1" s="1"/>
  <c r="F27" i="1" a="1"/>
  <c r="F27" i="1" s="1"/>
  <c r="F28" i="1" a="1"/>
  <c r="F28" i="1" s="1"/>
  <c r="F29" i="1" a="1"/>
  <c r="F29" i="1" s="1"/>
  <c r="L29" i="1" s="1"/>
  <c r="F30" i="1" a="1"/>
  <c r="F30" i="1" s="1"/>
  <c r="F31" i="1" a="1"/>
  <c r="F31" i="1" s="1"/>
  <c r="F32" i="1" a="1"/>
  <c r="F32" i="1" s="1"/>
  <c r="F33" i="1" a="1"/>
  <c r="F33" i="1" s="1"/>
  <c r="L33" i="1" s="1"/>
  <c r="F34" i="1" a="1"/>
  <c r="F34" i="1" s="1"/>
  <c r="F35" i="1" a="1"/>
  <c r="F35" i="1" s="1"/>
  <c r="F36" i="1" a="1"/>
  <c r="F36" i="1" s="1"/>
  <c r="F37" i="1" a="1"/>
  <c r="F37" i="1" s="1"/>
  <c r="L37" i="1" s="1"/>
  <c r="F38" i="1" a="1"/>
  <c r="F38" i="1" s="1"/>
  <c r="F39" i="1" a="1"/>
  <c r="F39" i="1" s="1"/>
  <c r="F49" i="1" a="1"/>
  <c r="F49" i="1" s="1"/>
  <c r="J49" i="1" s="1"/>
  <c r="F50" i="1" a="1"/>
  <c r="F50" i="1" s="1"/>
  <c r="F51" i="1" a="1"/>
  <c r="F51" i="1" s="1"/>
  <c r="L51" i="1" s="1"/>
  <c r="F52" i="1" a="1"/>
  <c r="F52" i="1" s="1"/>
  <c r="F53" i="1" a="1"/>
  <c r="F53" i="1" s="1"/>
  <c r="F54" i="1" a="1"/>
  <c r="F54" i="1" s="1"/>
  <c r="F55" i="1" a="1"/>
  <c r="F55" i="1" s="1"/>
  <c r="L55" i="1" s="1"/>
  <c r="F56" i="1" a="1"/>
  <c r="F56" i="1" s="1"/>
  <c r="F57" i="1" a="1"/>
  <c r="F57" i="1" s="1"/>
  <c r="F58" i="1" a="1"/>
  <c r="F58" i="1" s="1"/>
  <c r="F59" i="1" a="1"/>
  <c r="F59" i="1" s="1"/>
  <c r="L59" i="1" s="1"/>
  <c r="F3" i="1" a="1"/>
  <c r="F3" i="1" s="1"/>
  <c r="F4" i="1" a="1"/>
  <c r="F4" i="1" s="1"/>
  <c r="J4" i="1" s="1"/>
  <c r="L48" i="1" l="1"/>
  <c r="J48" i="1"/>
  <c r="H48" i="1"/>
  <c r="J47" i="1"/>
  <c r="L47" i="1"/>
  <c r="H47" i="1"/>
  <c r="H18" i="1"/>
  <c r="J18" i="1"/>
  <c r="L18" i="1"/>
  <c r="H29" i="1"/>
  <c r="J46" i="1"/>
  <c r="L46" i="1"/>
  <c r="H46" i="1"/>
  <c r="L45" i="1"/>
  <c r="J45" i="1"/>
  <c r="L44" i="1"/>
  <c r="J44" i="1"/>
  <c r="J42" i="1"/>
  <c r="L42" i="1"/>
  <c r="H43" i="1"/>
  <c r="J43" i="1"/>
  <c r="H41" i="1"/>
  <c r="J41" i="1"/>
  <c r="L41" i="1"/>
  <c r="H31" i="1"/>
  <c r="L31" i="1"/>
  <c r="H49" i="1"/>
  <c r="H27" i="1"/>
  <c r="J27" i="1"/>
  <c r="L53" i="1"/>
  <c r="J53" i="1"/>
  <c r="H53" i="1"/>
  <c r="L19" i="1"/>
  <c r="J19" i="1"/>
  <c r="H19" i="1"/>
  <c r="J14" i="1"/>
  <c r="H14" i="1"/>
  <c r="J10" i="1"/>
  <c r="H10" i="1"/>
  <c r="L10" i="1"/>
  <c r="H35" i="1"/>
  <c r="L35" i="1"/>
  <c r="J35" i="1"/>
  <c r="L23" i="1"/>
  <c r="J23" i="1"/>
  <c r="H23" i="1"/>
  <c r="L57" i="1"/>
  <c r="J57" i="1"/>
  <c r="H57" i="1"/>
  <c r="J39" i="1"/>
  <c r="L39" i="1"/>
  <c r="H39" i="1"/>
  <c r="L14" i="1"/>
  <c r="J31" i="1"/>
  <c r="L49" i="1"/>
  <c r="L27" i="1"/>
  <c r="L28" i="1"/>
  <c r="J28" i="1"/>
  <c r="H28" i="1"/>
  <c r="L7" i="1"/>
  <c r="J7" i="1"/>
  <c r="H7" i="1"/>
  <c r="L34" i="1"/>
  <c r="J34" i="1"/>
  <c r="H34" i="1"/>
  <c r="L15" i="1"/>
  <c r="J15" i="1"/>
  <c r="H15" i="1"/>
  <c r="L21" i="1"/>
  <c r="J21" i="1"/>
  <c r="H21" i="1"/>
  <c r="L13" i="1"/>
  <c r="J13" i="1"/>
  <c r="H13" i="1"/>
  <c r="J38" i="1"/>
  <c r="H38" i="1"/>
  <c r="L38" i="1"/>
  <c r="J9" i="1"/>
  <c r="L9" i="1"/>
  <c r="H9" i="1"/>
  <c r="L54" i="1"/>
  <c r="J54" i="1"/>
  <c r="H54" i="1"/>
  <c r="L32" i="1"/>
  <c r="J32" i="1"/>
  <c r="H32" i="1"/>
  <c r="L20" i="1"/>
  <c r="J20" i="1"/>
  <c r="H20" i="1"/>
  <c r="L52" i="1"/>
  <c r="J52" i="1"/>
  <c r="H52" i="1"/>
  <c r="H30" i="1"/>
  <c r="L30" i="1"/>
  <c r="J30" i="1"/>
  <c r="L12" i="1"/>
  <c r="J12" i="1"/>
  <c r="H12" i="1"/>
  <c r="L56" i="1"/>
  <c r="J56" i="1"/>
  <c r="H56" i="1"/>
  <c r="L50" i="1"/>
  <c r="J50" i="1"/>
  <c r="H50" i="1"/>
  <c r="J22" i="1"/>
  <c r="L22" i="1"/>
  <c r="H22" i="1"/>
  <c r="L8" i="1"/>
  <c r="J8" i="1"/>
  <c r="H8" i="1"/>
  <c r="J26" i="1"/>
  <c r="L26" i="1"/>
  <c r="H26" i="1"/>
  <c r="L58" i="1"/>
  <c r="J58" i="1"/>
  <c r="H58" i="1"/>
  <c r="L36" i="1"/>
  <c r="J36" i="1"/>
  <c r="H36" i="1"/>
  <c r="L40" i="1"/>
  <c r="J40" i="1"/>
  <c r="H40" i="1"/>
  <c r="H24" i="1"/>
  <c r="L24" i="1"/>
  <c r="J24" i="1"/>
  <c r="H17" i="1"/>
  <c r="L17" i="1"/>
  <c r="J17" i="1"/>
  <c r="L11" i="1"/>
  <c r="J11" i="1"/>
  <c r="H11" i="1"/>
  <c r="H5" i="1"/>
  <c r="L5" i="1"/>
  <c r="J5" i="1"/>
  <c r="H55" i="1"/>
  <c r="H33" i="1"/>
  <c r="H25" i="1"/>
  <c r="H16" i="1"/>
  <c r="J55" i="1"/>
  <c r="J33" i="1"/>
  <c r="J25" i="1"/>
  <c r="J16" i="1"/>
  <c r="J6" i="1"/>
  <c r="L6" i="1"/>
  <c r="H59" i="1"/>
  <c r="H51" i="1"/>
  <c r="H37" i="1"/>
  <c r="J59" i="1"/>
  <c r="J51" i="1"/>
  <c r="J37" i="1"/>
  <c r="J29" i="1"/>
  <c r="L4" i="1"/>
  <c r="H4" i="1"/>
  <c r="L3" i="1"/>
  <c r="J3" i="1"/>
  <c r="H3" i="1"/>
  <c r="J60" i="1" l="1"/>
  <c r="L60" i="1"/>
  <c r="H6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<sst xmlns="http://schemas.openxmlformats.org/spreadsheetml/2006/main" count="459" uniqueCount="367">
  <si>
    <t>Hyperscaler Decision Matrix</t>
  </si>
  <si>
    <t>Strategic Goal</t>
  </si>
  <si>
    <t>Code</t>
  </si>
  <si>
    <t>Value Dial</t>
  </si>
  <si>
    <t>Measurement (Detailed Description)</t>
  </si>
  <si>
    <t>DMG Weighting</t>
  </si>
  <si>
    <t>Multiplier</t>
  </si>
  <si>
    <t>AWS Score (1-5)</t>
  </si>
  <si>
    <t>AWS Weighted</t>
  </si>
  <si>
    <t>Azure Score (1-5)</t>
  </si>
  <si>
    <t>Azure Weighted</t>
  </si>
  <si>
    <t>GCP Score (1-5)</t>
  </si>
  <si>
    <t>GCP Weighted</t>
  </si>
  <si>
    <t>Uptime</t>
  </si>
  <si>
    <t>UPT-1</t>
  </si>
  <si>
    <t>Service Level Agreements</t>
  </si>
  <si>
    <t>Minimum contractual SLA required (99.9–99.999%).</t>
  </si>
  <si>
    <t>Moderate Importance</t>
  </si>
  <si>
    <t>UPT-2</t>
  </si>
  <si>
    <t>Service Credit Requirements</t>
  </si>
  <si>
    <t>Provider Commitments. Does the service provider back their SLAs with financial penalties or credits as material business risk mitigation?</t>
  </si>
  <si>
    <t>Low Importance</t>
  </si>
  <si>
    <t>UPT-3</t>
  </si>
  <si>
    <t>Multi-Region Resilience</t>
  </si>
  <si>
    <t>Required RTO/RPO targets. Is active-active multi-region failover mandatory? Automated or manual recovery?</t>
  </si>
  <si>
    <t>High Importance</t>
  </si>
  <si>
    <t>UPT-4</t>
  </si>
  <si>
    <t>Planned Maintenance Transparency</t>
  </si>
  <si>
    <t>Required advance notice for maintenance. Is zero-downtime patching mandatory?</t>
  </si>
  <si>
    <t>UPT-5</t>
  </si>
  <si>
    <t>Dependency Resilience</t>
  </si>
  <si>
    <t>Tolerance for outages in identity, DNS, or control plane services. Must services be independently redundant?</t>
  </si>
  <si>
    <t>Reliability</t>
  </si>
  <si>
    <t>REL-1</t>
  </si>
  <si>
    <t>Data Durability</t>
  </si>
  <si>
    <t>Evaluate the provider’s data durability features, eg: number of copies, replication across regions or availability zones to ensure the integrity of data over time.</t>
  </si>
  <si>
    <t>REL-2</t>
  </si>
  <si>
    <t>Backup and Recovery</t>
  </si>
  <si>
    <t>Measure the provider’s backup solutions, including frequency, data retention policies, and geographical replication to ensure data integrity and availability in case of failure.</t>
  </si>
  <si>
    <t>REL-3</t>
  </si>
  <si>
    <t>Historical Service Stability Record</t>
  </si>
  <si>
    <t>Number of regional or service failures in the past 1,2,5 years.</t>
  </si>
  <si>
    <t>Scalability</t>
  </si>
  <si>
    <t>SCL-1</t>
  </si>
  <si>
    <t>Elastic Demand Variability</t>
  </si>
  <si>
    <t>Peak-to-average workload ratio. Autoscaling reaction time requirements (seconds vs minutes).</t>
  </si>
  <si>
    <t>SCL-2</t>
  </si>
  <si>
    <t>Global Expansion Readiness</t>
  </si>
  <si>
    <t>Speed required to deploy into new regions. Regulatory or operational lead-time constraints.</t>
  </si>
  <si>
    <t>Very Low Importance</t>
  </si>
  <si>
    <t>SCL-3</t>
  </si>
  <si>
    <t>Data Scale Growth Curve</t>
  </si>
  <si>
    <t>Projected TB/PB growth per year. Archival and tiering requirements.</t>
  </si>
  <si>
    <t>SCL-4</t>
  </si>
  <si>
    <t>Platform Service Limits</t>
  </si>
  <si>
    <t>Acceptability of hyperscaler quota ceilings over 3–5 year horizon.</t>
  </si>
  <si>
    <t>Security</t>
  </si>
  <si>
    <t>SEC-1</t>
  </si>
  <si>
    <t>Regulatory Compliance Alignment</t>
  </si>
  <si>
    <t>Evaluate the provider’s certifications (ISO 27001, SOC 2, PCI DSS) and regulatory compliance (e.g., GDPR, HIPAA, CCPA) with industry and regional requirements.</t>
  </si>
  <si>
    <t>Very High Importance</t>
  </si>
  <si>
    <t>SEC-2</t>
  </si>
  <si>
    <t>Identity &amp; Access Maturity</t>
  </si>
  <si>
    <t>Enterprise IdP integration. Zero-trust and conditional access requirements.</t>
  </si>
  <si>
    <t>SEC-3</t>
  </si>
  <si>
    <t>Encryption &amp; Key Sovereignty</t>
  </si>
  <si>
    <t>Customer-managed keys, HSM backing, or hold-your-own-key required?</t>
  </si>
  <si>
    <t>SEC-4</t>
  </si>
  <si>
    <t>Threat Detection &amp; SOC Integration</t>
  </si>
  <si>
    <t>Native SIEM/XDR maturity or integration with existing SOC tooling.</t>
  </si>
  <si>
    <t>SEC-5</t>
  </si>
  <si>
    <t>Provider Security Capability</t>
  </si>
  <si>
    <t>Evaluate the built-in security features (e.g., encryption, IAM, threat detection, DDoS protection,Continuous compliance monitoring capability) that help ensure the security and compliance of workloads.</t>
  </si>
  <si>
    <t>Performance</t>
  </si>
  <si>
    <t>PERF-1</t>
  </si>
  <si>
    <t>Latency Sensitivity</t>
  </si>
  <si>
    <t>Maximum acceptable latency (ms). Requirement for edge locations or local zones.</t>
  </si>
  <si>
    <t>PERF-2</t>
  </si>
  <si>
    <t>HPC / Specialized Compute</t>
  </si>
  <si>
    <t>GPU/AI accelerator needs. HPC interconnect performance.</t>
  </si>
  <si>
    <t>PERF-3</t>
  </si>
  <si>
    <t>Storage Throughput</t>
  </si>
  <si>
    <t>Required IOPS and throughput for core databases or analytics platforms.</t>
  </si>
  <si>
    <t>PERF-4</t>
  </si>
  <si>
    <t>Network Backbone Quality</t>
  </si>
  <si>
    <t>Requirement for deterministic private backbone routing vs public internet transit.</t>
  </si>
  <si>
    <t>Business Analytics</t>
  </si>
  <si>
    <t>BA-1</t>
  </si>
  <si>
    <t>Native Data Platform Integration</t>
  </si>
  <si>
    <t>Tight integration between data lake, ETL, and BI services required?</t>
  </si>
  <si>
    <t>BA-2</t>
  </si>
  <si>
    <t>AI/ML Service Maturity</t>
  </si>
  <si>
    <t>Prebuilt AI APIs vs custom model hosting. MLOps capabilities required?</t>
  </si>
  <si>
    <t>BA-3</t>
  </si>
  <si>
    <t>Real-Time Analytics</t>
  </si>
  <si>
    <t>Streaming ingestion and processing latency requirements.</t>
  </si>
  <si>
    <t>BA-4</t>
  </si>
  <si>
    <t>Data Governance Tooling</t>
  </si>
  <si>
    <t>Lineage tracking, metadata catalog, and governance enforcement requirements.</t>
  </si>
  <si>
    <t>Transparency</t>
  </si>
  <si>
    <t>TRN-1</t>
  </si>
  <si>
    <t>Roadmap Visibility</t>
  </si>
  <si>
    <t>Importance of public roadmap clarity and customer influence.</t>
  </si>
  <si>
    <t>TRN-2</t>
  </si>
  <si>
    <t>Incident Reporting Detail</t>
  </si>
  <si>
    <t>Required depth of RCA and incident transparency.</t>
  </si>
  <si>
    <t>TRN-3</t>
  </si>
  <si>
    <t>Billing Granularity</t>
  </si>
  <si>
    <t>Near-real-time cost visibility at workload or tag level required?</t>
  </si>
  <si>
    <t>Cost</t>
  </si>
  <si>
    <t>CST-1</t>
  </si>
  <si>
    <t>TCO</t>
  </si>
  <si>
    <t>Evaluate overall expenses, including migration, licensing, networking, operational, and scaling costs, over a 3–5-year period.</t>
  </si>
  <si>
    <t>CST-2</t>
  </si>
  <si>
    <t>Predictability vs Elasticity</t>
  </si>
  <si>
    <t>Preference for reserved/committed pricing vs fully elastic consumption, including spot pricing</t>
  </si>
  <si>
    <t>CST-3</t>
  </si>
  <si>
    <t>Egress Sensitivity</t>
  </si>
  <si>
    <t>% of data leaving cloud monthly. Cross-cloud traffic expected? Data Egress Cost comparison.</t>
  </si>
  <si>
    <t>CST-4</t>
  </si>
  <si>
    <t>Discount Programs</t>
  </si>
  <si>
    <t>Enterprise agreement leverage or committed spend incentives required?</t>
  </si>
  <si>
    <t>CST-5</t>
  </si>
  <si>
    <t>Migration Costs</t>
  </si>
  <si>
    <t>Assess one-time costs for migration, including tools, labor, re-architecting, and incentives offered by providers. (Data Center Exit incentives, Funding Programs.)</t>
  </si>
  <si>
    <t>CST-6</t>
  </si>
  <si>
    <t>FinOps Tooling</t>
  </si>
  <si>
    <t>Native cost optimization tooling sufficient or external integration required?</t>
  </si>
  <si>
    <t>Sovereignty</t>
  </si>
  <si>
    <t>SOV-1</t>
  </si>
  <si>
    <t>Data Residency Requirements</t>
  </si>
  <si>
    <t>Support for Mandated data storage countries or regions. (London)</t>
  </si>
  <si>
    <t>SOV-2</t>
  </si>
  <si>
    <t>Operational Sovereignty</t>
  </si>
  <si>
    <t>In-country operations requirement for support and administration.</t>
  </si>
  <si>
    <t>SOV-3</t>
  </si>
  <si>
    <t>Legal Jurisdiction Exposure</t>
  </si>
  <si>
    <t>Acceptable exposure to foreign extraterritorial legislation.</t>
  </si>
  <si>
    <t>Business Fit</t>
  </si>
  <si>
    <t>FIT-1</t>
  </si>
  <si>
    <t>Existing Ecosystem Alignment</t>
  </si>
  <si>
    <t>Alignment with enterprise productivity, ERP, or identity platforms.</t>
  </si>
  <si>
    <t>FIT-2</t>
  </si>
  <si>
    <t>Toolchain Alignment</t>
  </si>
  <si>
    <t>How well does the provider support all existing components of the CICD pipelines?  Are Cloud Native Options Available?</t>
  </si>
  <si>
    <t>FIT-3</t>
  </si>
  <si>
    <t>3rd Party Integration</t>
  </si>
  <si>
    <t>Does the provider offer native support for application layer tools (eg: CDN, DNS, Certificate Management, Firewall)</t>
  </si>
  <si>
    <t>FIT-4</t>
  </si>
  <si>
    <t>Industry Regulatory Maturity</t>
  </si>
  <si>
    <t>Depth of industry-specific compliance blueprints, validated reference architectures, and audit support experience.</t>
  </si>
  <si>
    <t>FIT-5</t>
  </si>
  <si>
    <t>Partner &amp; Talent Availability</t>
  </si>
  <si>
    <t>Local skilled labor and partner ecosystem maturity. (SI Partners, MSPs etc)</t>
  </si>
  <si>
    <t>FIT-6</t>
  </si>
  <si>
    <t>Executive Relationship &amp; Strategic Alignment</t>
  </si>
  <si>
    <t>Does the provider demonstrate executive engagement aligned to the customer’s 3–5 year strategy? Is there a named account team and industry specialist coverage?</t>
  </si>
  <si>
    <t>FIT-7</t>
  </si>
  <si>
    <t>Organizational Skill Alignment</t>
  </si>
  <si>
    <t>Current internal team skill alignment with provider certifications, operational model, and tooling ecosystem.</t>
  </si>
  <si>
    <t>FIT-8</t>
  </si>
  <si>
    <t>Day 0,1,2 Operations</t>
  </si>
  <si>
    <t xml:space="preserve">How well is DMG positioned to support Day 0/Day 1/Day 2 operations?   </t>
  </si>
  <si>
    <t>FIT-9</t>
  </si>
  <si>
    <t>Target Operating Model</t>
  </si>
  <si>
    <t>Evaluate customer ability to enforce new operating model and reduce shadow IT across each of the hypervisors</t>
  </si>
  <si>
    <t>Sustainability</t>
  </si>
  <si>
    <t>SUS-1</t>
  </si>
  <si>
    <t>Carbon Neutral Commitments</t>
  </si>
  <si>
    <t>Verified net-zero targets aligned with corporate ESG strategy.</t>
  </si>
  <si>
    <t>SUS-2</t>
  </si>
  <si>
    <t>Energy Transparency</t>
  </si>
  <si>
    <t>Availability of workload-level carbon reporting tools.</t>
  </si>
  <si>
    <t>SUS-3</t>
  </si>
  <si>
    <t>Renewable Energy Sourcing</t>
  </si>
  <si>
    <t>% renewable energy in required operating regions.</t>
  </si>
  <si>
    <t>Licensing</t>
  </si>
  <si>
    <t>LIC-1</t>
  </si>
  <si>
    <t>BYOL Flexibility</t>
  </si>
  <si>
    <t>Ability to port existing enterprise licenses without penalty.</t>
  </si>
  <si>
    <t>LIC-2</t>
  </si>
  <si>
    <t>Hybrid Licensing Benefits</t>
  </si>
  <si>
    <t>Cost advantages for hybrid/on-prem integrated usage. (end state)</t>
  </si>
  <si>
    <t>LIC-3</t>
  </si>
  <si>
    <t>Marketplace Procurement</t>
  </si>
  <si>
    <t>Requirement to procure third-party software via marketplace for compliance.</t>
  </si>
  <si>
    <t>Velocity</t>
  </si>
  <si>
    <t>VEL-1</t>
  </si>
  <si>
    <t>DevOps Toolchain Integration</t>
  </si>
  <si>
    <t>Native integration with existing CI/CD and DevOps pipelines.</t>
  </si>
  <si>
    <t>VEL-2</t>
  </si>
  <si>
    <t>Infrastructure as Code Maturity</t>
  </si>
  <si>
    <t>Depth and maturity of native IaC tooling and ecosystem support.</t>
  </si>
  <si>
    <t>VEL-3</t>
  </si>
  <si>
    <t>Managed Service Abstraction</t>
  </si>
  <si>
    <t>Preference for PaaS/serverless over IaaS-heavy models.</t>
  </si>
  <si>
    <t>VEL-4</t>
  </si>
  <si>
    <t>Time-to-Prototype</t>
  </si>
  <si>
    <t>Expected time to deploy MVP workloads (days vs weeks).</t>
  </si>
  <si>
    <t>VEL-5</t>
  </si>
  <si>
    <t>AI Tooling Integration</t>
  </si>
  <si>
    <t>Availability, ease-of-use, and platform-wide-integration Cloud Native AI Development (vibe coding) Tooling</t>
  </si>
  <si>
    <t>TOTAL</t>
  </si>
  <si>
    <t>Weighting Criteria Definition</t>
  </si>
  <si>
    <t>Cloud Provider Evaluation</t>
  </si>
  <si>
    <t>Weighting Multiplier</t>
  </si>
  <si>
    <t>Weighting Meaning</t>
  </si>
  <si>
    <t>Explanation</t>
  </si>
  <si>
    <t>Example</t>
  </si>
  <si>
    <t>TBC</t>
  </si>
  <si>
    <t>Not yet assessed</t>
  </si>
  <si>
    <r>
      <rPr>
        <u/>
        <sz val="8"/>
        <rFont val="Arial"/>
        <family val="2"/>
      </rPr>
      <t>Very Low Importance</t>
    </r>
    <r>
      <rPr>
        <sz val="8"/>
        <rFont val="Arial"/>
        <family val="2"/>
      </rPr>
      <t xml:space="preserve"> : The criterion has minimal relevance or impact on the overall decision.
</t>
    </r>
  </si>
  <si>
    <t>Scalability is not a priority for a small, static workload.</t>
  </si>
  <si>
    <r>
      <rPr>
        <u/>
        <sz val="8"/>
        <rFont val="Arial"/>
        <family val="2"/>
      </rPr>
      <t>Low Importance</t>
    </r>
    <r>
      <rPr>
        <sz val="8"/>
        <rFont val="Arial"/>
        <family val="2"/>
      </rPr>
      <t xml:space="preserve"> : The criterion has limited influence but may become relevant in specific cases.
</t>
    </r>
  </si>
  <si>
    <t>Compliance is moderately important but not a blocker for internal-use applications.</t>
  </si>
  <si>
    <r>
      <rPr>
        <u/>
        <sz val="8"/>
        <rFont val="Arial"/>
        <family val="2"/>
      </rPr>
      <t>Moderate Importance</t>
    </r>
    <r>
      <rPr>
        <sz val="8"/>
        <rFont val="Arial"/>
        <family val="2"/>
      </rPr>
      <t xml:space="preserve"> : The criterion is important but balanced equally with other factors.
</t>
    </r>
  </si>
  <si>
    <t>Performance matters, but cost and compliance are equally significant.</t>
  </si>
  <si>
    <r>
      <rPr>
        <u/>
        <sz val="8"/>
        <rFont val="Arial"/>
        <family val="2"/>
      </rPr>
      <t>High Importance</t>
    </r>
    <r>
      <rPr>
        <sz val="8"/>
        <rFont val="Arial"/>
        <family val="2"/>
      </rPr>
      <t xml:space="preserve"> : The criterion has a strong influence and is a key factor in decision-making.
</t>
    </r>
  </si>
  <si>
    <t>Cost is a major consideration for budget-conscious stakeholders.</t>
  </si>
  <si>
    <t xml:space="preserve"> </t>
  </si>
  <si>
    <r>
      <rPr>
        <u/>
        <sz val="8"/>
        <rFont val="Arial"/>
        <family val="2"/>
      </rPr>
      <t>Very High Importance</t>
    </r>
    <r>
      <rPr>
        <sz val="8"/>
        <rFont val="Arial"/>
        <family val="2"/>
      </rPr>
      <t xml:space="preserve">: The criterion is critical and significantly outweighs other considerations.
</t>
    </r>
  </si>
  <si>
    <t>Data residency is essential for compliance with government regulations.</t>
  </si>
  <si>
    <t>Scoring Criteria</t>
  </si>
  <si>
    <t>Score</t>
  </si>
  <si>
    <t>Fit Level</t>
  </si>
  <si>
    <t>Description of Organizational &amp; Strategic Alignment</t>
  </si>
  <si>
    <t>eg: Commercial &amp; Ecosystem Alignment</t>
  </si>
  <si>
    <t>Eg: Risk Profile</t>
  </si>
  <si>
    <t>Poor Fit</t>
  </si>
  <si>
    <t>Major misalignment with company strategy, operating model, or technology direction. Would require significant organizational change to adopt.</t>
  </si>
  <si>
    <t>Weak enterprise engagement. Limited partner ecosystem support in required regions/industry. Minimal commercial flexibility.</t>
  </si>
  <si>
    <t>High execution risk. Likely cost overruns, delays, and internal resistance.</t>
  </si>
  <si>
    <t>Limited Fit</t>
  </si>
  <si>
    <t>Some alignment, but meaningful gaps in industry maturity, enterprise tooling integration, or operating model compatibility.</t>
  </si>
  <si>
    <t>Commercial terms rigid. Partner ecosystem exists but lacks depth in required specialization.</t>
  </si>
  <si>
    <t>Moderate-to-high risk. Additional governance and transformation effort required.</t>
  </si>
  <si>
    <t>Adequate Fit</t>
  </si>
  <si>
    <t>Acceptable alignment with enterprise strategy and operating model. Integration feasible with manageable change effort.</t>
  </si>
  <si>
    <t>Standard enterprise agreement options available. Mature global partner ecosystem.</t>
  </si>
  <si>
    <t>Moderate risk. Manageable transformation effort with structured program oversight.</t>
  </si>
  <si>
    <t>Strong Fit</t>
  </si>
  <si>
    <t>Clear strategic alignment with digital roadmap and enterprise architecture direction. Supports target operating model with minimal friction.</t>
  </si>
  <si>
    <t>Strong account team, industry expertise, flexible commercial structuring, strong SI/ISV ecosystem.</t>
  </si>
  <si>
    <t>Low risk. High probability of successful adoption and internal buy-in.</t>
  </si>
  <si>
    <t>Strategic Advantage</t>
  </si>
  <si>
    <t>Direct accelerator of business strategy. Enables innovation, market differentiation, or regulatory leadership. High executive sponsorship alignment.</t>
  </si>
  <si>
    <t>Executive-level engagement, co-innovation programs, strong industry specialization, highly flexible commercial model.</t>
  </si>
  <si>
    <t>Very low risk. Provider becomes a strategic partner, not just a vendor.</t>
  </si>
  <si>
    <t xml:space="preserve">Expected </t>
  </si>
  <si>
    <t>Key Differentiator</t>
  </si>
  <si>
    <t>Lower Importance</t>
  </si>
  <si>
    <t>Microsoft's Response</t>
  </si>
  <si>
    <t>Microsoft's Justification for Score</t>
  </si>
  <si>
    <t>• Microsoft's standard, financially backed uptime Service Level Agreement (SLA) is 99.9% guaranteed monthly uptime.
• For Microsoft Teams, the SLA is 99.99% uptime per the Service Level Agreement for Microsoft Online Services published April 2025.
• SLAs are discussed during contract negotiations and are to be negotiated in good faith upon award of the bid.</t>
  </si>
  <si>
    <t>Microsoft offers financially backed liability for cloud services and provides reasonable financial credits pursuant to its standard SLA as a form of business risk mitigation.
If a service incident breaches the financially backed 99.9% uptime SLA, customers can claim a billing credit according to the SLA conditions; the service credit thresholds described are 25% when monthly uptime is less than 99.9%, 50% when less than 99%, and 100% when less than 95%.</t>
  </si>
  <si>
    <t>Required advance notice for maintenance
• Microsoft 365 provides advanced notification of maintenance in the Microsoft 365 message center; Message center is the primary (but not only) method used to communicate timing of individual changes in Microsoft 365.
• For Microsoft 365 planned maintenance that might affect functionality, customers are notified no later than five days in advance through Message center on the Microsoft 365 admin center.
• For Microsoft 365 unplanned downtime, customers are notified of known service incidents through Service health on the Microsoft 365 admin center.
• For patch installation maintenance, your organization receives a Maintenance notification through the Microsoft 365 Message Center; for maintenance activities that impact service use, Dynamics 365 CRM System Administrators also receive an email notification, and notifications can be viewed in the Microsoft 365 Admin mobile app and on the Microsoft 365 service health page.
• For Microsoft Azure planned maintenance that requires a reboot, customers typically receive advance notice and a ~35-day window to schedule maintenance; notifications are sent via Azure Service Health to Service Administrators and Co-Administrators by default, with additional recipients and channels (email, SMS, webhooks) configurable via Activity Log Alerts.
• For Azure SQL Managed Instance, advance notifications can be configured to send alerts 24 hours in advance of any planned event.
• For Microsoft Viva Glint, customers are informed of upcoming changes through monthly email newsletters and in-platform banners, and since February 2025 deployments no longer require platform downtime.
Is zero-downtime patching mandatory?
• Microsoft 365's maintenance and release process is designed to mitigate downtime as much as possible, and is driving towards an active/active design to prevent or reduce customer impact.
• For Dynamics 365, updates and maintenance are designed to have zero downtime, and disaster recovery procedures support patching without downtime.
• For Azure virtual machines, most platform updates do not impact hosted VMs; when VM-impacting maintenance is required it is almost always completed through a VM pause for less than 10 seconds, and reboot-required maintenance uses a self-service phase and scheduled phase.
• For Azure SQL Managed Instance, the maintenance window feature helps make impactful planned maintenance predictable and less disruptive, but it does not protect from all failover causes, and some planned maintenance may involve short connection interruptions within SLA.</t>
  </si>
  <si>
    <t>Microsoft designs the identity, DNS, and management (control plane) layers to be highly available and resilient, and we recommend treating these dependencies explicitly in the target architecture based on DMG’s outage tolerance.
Identity: DMG can use Microsoft Entra ID as the central identity control plane with policy‑driven access (e.g., Conditional Access) and strong operational monitoring. For workloads with extreme availability requirements, we will review identity dependency paths and define mitigation options (e.g., break‑glass access patterns, resilience runbooks, and tested recovery procedures) aligned to DMG’s RTO/RPO and business impact.
DNS / ingress routing: DMG can use Azure DNS and/or Azure Front Door to provide resilient name resolution and global ingress, with health probing and controlled failover routing to reduce single points of failure at the edge. Azure Front Door is Microsoft’s modern cloud CDN and global application delivery service, and is designed for high performance and secure user experiences at scale. [learn.microsoft.com]
Control plane: The Azure control plane is operated and monitored continuously; during control‑plane events the primary risk is management operations (deploy/scale/modify) rather than data‑plane continuity. We will confirm the architecture choices that minimise operational blast radius (e.g., pre‑provisioned capacity, runbooks, and separation of duties) for critical services.
Evidence / transparency: For independent validation, DMG can review Microsoft’s publicly published Post‑Incident Reviews (PIRs) and incident history for widespread Azure events, retained for 5 years on Azure Status History, and also view tenant/subscription‑scoped historical events in Azure Service Health “Health history.”</t>
  </si>
  <si>
    <t>Microsoft provides strong data durability through multiple layers of redundancy, replication, and regional resilience. For Azure Storage, data is always maintained in multiple copies to protect against transient hardware failures, power or network outages, and, where geo-redundant options are selected, regional disasters. In the primary region, locally redundant storage (LRS) maintains three copies within a single datacenter, while zone-redundant storage (ZRS) synchronously replicates data across three availability zones in the same region. For cross-region resilience, geo-redundant storage (GRS) and geo-zone-redundant storage (GZRS) replicate data to a secondary region to support disaster recovery. (Reference: https://learn.microsoft.com/en-us/azure/storage/common/storage-redundancy ).
Azure availability zones are physically separate locations within a region, with independent power, cooling, and networking infrastructure, designed to improve resilience while maintaining low-latency connectivity between zones. Zones are typically separated by several kilometres and usually remain within 100 km of each other. (Reference: https://learn.microsoft.com/en-us/azure/reliability/availability-zones-overview?tabs=azure-cli ).
For Dynamics 365 SaaS applications, Microsoft provides built-in business continuity and disaster recovery capabilities. Production environments are replicated across at least two distinct availability zones within a geography, and Microsoft automatically detects zone-level failures and switches service to healthy zones to minimise downtime and protect data integrity. (Reference: https://learn.microsoft.com/en-us/power-platform/admin/business-continuity-disaster-recovery ).
For Microsoft Fabric, OneLake uses zone-redundant storage where available, otherwise locally redundant storage. If disaster recovery is enabled on the Fabric capacity, OneLake data is duplicated to a secondary geographic region based on Azure region pairings. After a regional failover, access can continue through the global endpoint. (References: https://learn.microsoft.com/en-us/fabric/onelake/onelake-disaster-recovery , https://learn.microsoft.com/en-us/azure/reliability/reliability-fabric ).</t>
  </si>
  <si>
    <t>Azure provides backup, restore, replication, and redundancy capabilities across its services to support data integrity, availability, and recovery in the event of failure. Backup in Azure is service-specific, while Azure’s broader reliability model also includes redundancy, replication, availability zones, and multi-region support to improve resilience and recoverability. (Reference: https://learn.microsoft.com/en-us/azure/reliability/concept-redundancy-replication-backup ).
For protected workloads, Azure Backup is Azure’s built-in data protection service and supports a wide range of Azure and hybrid workloads. Microsoft recommends using zone-redundant storage as a minimum redundancy tier for backup copies where supported, and using geo-redundant storage with cross-region restore for supported data sources when regional recovery is required. (Reference: https://learn.microsoft.com/en-us/azure/reliability/reliability-backup ).
Backup frequency and retention in Azure are defined by the service and the backup policy applied to that workload. For example, Azure VM backup policies can support multiple backups per day, with enhanced VM backup supporting schedules as frequent as every 4 hours. For Azure Blob Storage, operational backup can retain data for up to 360 days, while vaulted backup provides an offsite backup copy that can be retained for up to 10 years. (References: https://learn.microsoft.com/en-us/azure/backup/backup-azure-vms-enhanced-policy?tabs=azure-portal , https://learn.microsoft.com/en-us/azure/backup/blob-backup-configure-manage?tabs=operational-backup ).
For managed platform services, Azure also includes service-native backup capabilities. As one example, Azure SQL Database provides automated backups, point-in-time restore within the configured retention period, configurable backup storage redundancy, and long-term retention options of up to 10 years. (Reference: https://learn.microsoft.com/en-us/azure/azure-sql/database/automated-backups-overview?view=azuresql ).
Because backup frequency, retention duration, restore scope, and geographical replication differ by Azure service, these values should be stated against the specific services in scope for the proposed architecture.</t>
  </si>
  <si>
    <t>Azure is designed to support high peak‑to‑average workload ratios, using autoscaling mechanisms that adapt at seconds‑to‑minutes timescales, depending on the service and execution model selected. This allows customers to align scaling behaviour with workload characteristics while minimising over‑provisioning.
For serverless and event‑driven workloads, Azure provides services that scale automatically within seconds in response to demand:
Azure Functions (Consumption and Flex Consumption) scale based on incoming events and triggers, enabling rapid scale‑out without pre‑provisioned capacity. These models are well suited to bursty, unpredictable workloads with large peak‑to‑average ratios.
Azure Container Apps support event‑driven autoscaling using KEDA, reacting to metrics such as HTTP traffic, queue depth, or custom signals. Container Apps support scale‑to‑zero and rapid scale‑out, allowing capacity to match demand closely in near‑real time.
For performance‑sensitive or latency‑critical workloads, Azure provides options to reduce scaling latency:
Azure Functions Premium supports always‑ready and pre‑warmed instances, enabling near‑instant reaction to traffic spikes while still supporting elastic scale‑out when demand exceeds baseline capacity.
Azure App Service supports autoscaling based on metrics such as CPU, memory, or request throughput, typically reacting on a minutes‑level timescale and suitable for sustained rather than spiky load patterns.
For API‑centric platforms, Azure API Management offers different scaling models:
The Consumption tier scales automatically based on traffic without capacity planning and is suitable for highly variable demand.
Dedicated and v2 tiers support Azure Monitor‑based autoscale, allowing controlled scale‑out and scale‑in aligned to predictable load increases.
For data and analytics workloads, Microsoft Fabric supports serverless autoscaling for Spark workloads using Autoscale Billing. Compute scales dynamically based on workload execution, supporting large peak spikes while allowing administrators to cap maximum capacity to manage cost exposure.</t>
  </si>
  <si>
    <t>Microsoft enables rapid, repeatable deployment into new regions through a globally available cloud platform, while providing structured mechanisms to manage regulatory and operational lead‑time constraints where applicable.
Speed of Deployment into New Regions
Microsoft Azure operates a broad global cloud footprint, enabling customers to deploy workloads in pre‑existing regions without physical infrastructure build‑out.
Regional deployment is automation‑driven using Infrastructure as Code (IaC), landing zones, and standardised architectures, allowing environments to be deployed consistently and quickly.
Where services are already available in a target region, deployment timelines are typically driven by customer change, governance, and validation processes, rather than Microsoft infrastructure availability.
Multi‑region deployments can be executed in parallel to support resilience, phased rollout, and controlled cutover strategies.
Regulatory and Operational Lead‑Time Considerations
Azure regions are launched with pre‑aligned compliance capabilities (including data residency, identity boundaries, logging, and encryption), reducing regulatory lead time for regional deployment.
Regulatory timelines are largely dependent on jurisdiction‑specific requirements and external authorities, rather than platform constraints.
Microsoft provides clear documentation, structured governance controls, and predictable service communication to support customer compliance planning.
Operational Assurance
Platform and service changes follow defined communication and governance processes.
Advance notice is provided for material service changes, supporting operational readiness in regulated or high‑availability environments.
Summary
Microsoft supports fast and repeatable deployment into new regions using globally available infrastructure and automation‑first deployment models. Regulatory and operational lead‑time constraints are managed through region‑aligned compliance capabilities, predictable governance, and transparent communication—enabling organisations to scale geographically without compromising regulatory confidence or operational control.</t>
  </si>
  <si>
    <t>Projected data growth in Azure is workload-specific rather than fixed at platform level. Azure guidance recommends capacity planning based on historical usage, forecast demand, workload objectives, and anticipated changes in usage patterns.
For archival, Dynamics 365 finance and operations apps support custom retention policies and archival of supported scenarios to Dataverse long-term retention. Administrators can schedule archival jobs and specify criteria for the supported functional scenarios. Archived data can be queried through Microsoft Fabric and viewed through application-specific inquiry pages. Restore from Dataverse long-term retention back to live tables is not supported, and full database-capacity savings require purging data from history tables. (Reference: https://learn.microsoft.com/en-us/dynamics365/fin-ops-core/dev-itpro/sysadmin/archive-data ).
For tiering, Azure Blob Storage provides Hot, Cool, Cold, and Archive access tiers, with Smart tier also available in preview. Minimum storage durations are 30 days for Cool, 90 days for Cold, and 180 days for Archive. Azure Blob lifecycle management policies can automatically move aging data to cooler tiers or delete it based on modification or access conditions. Access tiers apply to block blobs, and storage capacity limits are set at the account level rather than by tier. (References: https://learn.microsoft.com/en-us/azure/storage/blobs/access-tiers-overview , https://learn.microsoft.com/en-us/azure/storage/blobs/lifecycle-management-overview ).</t>
  </si>
  <si>
    <t>Microsoft Azure is designed to support sustained, multi year growth at hyperscale, with quota mechanisms used as governance and capacity management controls rather than hard ceilings. Over a 3–5 year horizon, these limits are acceptable and routinely managed through proactive planning and partnership engagement.
Acceptability of Quotas Over a 3–5 Year Horizon
•	Azure applies default quotas at subscription and regional level (e.g. compute, storage, network throughput) to ensure platform stability and fair capacity allocation.
•	These quotas are not fixed constraints and are routinely increased to meet customer demand, subject to regional capacity and service availability.
•	Large scale enterprise customers regularly operate well beyond default limits through planned quota management, making Azure suitable for long term growth scenarios.
Predictable Scaling Considerations
Over multi year horizons, scaling considerations are well understood and operationally manageable:
•	Regional capacity: Certain regions or VM SKUs may experience constrained availability during peak demand periods, particularly for specialized workloads (e.g. GPU or high memory compute).
•	Service specific limits: Some platform services expose configuration or throughput limits that require architectural awareness (e.g. cluster sizing, partitioning strategies).
•	Peak event demand: Extreme short term demand spikes benefit from advance planning rather than relying solely on on demand provisioning.
Importantly, these are capacity planning inputs, not blockers to growth.
Mitigation and Long Term Planning Practices
Microsoft supports multi year scale through established best practices:
•	Early quota engagement for material growth, typically aligned 3–6 months ahead of major inflection points
•	Capacity reservation options and long term commitments where appropriate
•	Autoscaling and scale testing to validate assumptions ahead of production events
•	Advisor and capacity planning tooling to surface constraints early
•	Account team and support escalation paths to manage regional or SKU specific capacity needs
These practices are standard operating procedures for customers planning growth at scale.
Enterprise Operating Model Alignment
Azure's quota model supports financial governance, platform stability, and predictable growth, aligning with enterprise change management and capacity forecasting cycles rather than encouraging uncontrolled expansion.
For organisations with known growth trajectories, quotas act as a planning mechanism that enables confidence, not friction.
Summary
Azure quota ceilings are acceptable and manageable over a 3–5 year horizon, provided growth is planned and aligned with established Azure capacity management practices. Microsoft supports long term scaling through flexible quota increases, advance capacity planning, and close engagement with enterprise customers, ensuring growth expectations can be met without material constraint.</t>
  </si>
  <si>
    <t>Certifications and independent assurance
• Microsoft maintains certifications and attestations that include ISO 27001 and SOC 1/2/3, with applicable coverage across Microsoft 365, Azure, Dynamics 365, and Power Platform, and documentation accessible via the Microsoft Service Trust Portal.
• Microsoft cloud services are independently audited, with evidence available through the Microsoft Service Trust Portal.
PCI DSS
• Microsoft Azure is certified compliant under PCI DSS version 4.0 at Service Provider Level 1, and Microsoft 365, OneDrive for Business, and SharePoint Online are certified as compliant under PCI DSS version 4.0 at Service Provider Level 1; AOC reports are available in the Service Trust Portal.
Regulatory compliance alignment (GDPR, HIPAA, CCPA)
• Microsoft complies with globally recognized standards and frameworks that include GDPR, HIPAA, HITRUST, and PCI DSS, with independently audited controls and supporting documentation available via the Microsoft Service Trust Portal.
• Many Azure services comply with external privacy standards, laws, and regulations that include GDPR, HIPAA, and HITRUST.
• Microsoft enables customers' HIPAA and HITECH Act compliance, adheres to HIPAA Security Rule requirements in its capacity as a business associate, and enters into Business Associate Agreements with covered entity and business associate customers.
• Microsoft complies with obligations of Services Providers under the CCPA, as set out in the Online Services Terms.
• Adherence to CCPA and GDPR standards is inherent in Azure products under ISO 27701 certification, supported by privacy-by-design and privacy-by-default practices and Data Protection Impact Assessments (DPIAs) reviewed by the Microsoft EU Data Protection Officer (DPO).
Breadth of industry and regional requirements
• Azure maintains the largest compliance portfolio in the industry by breadth and depth of offerings in assessment scope, with the latest list of compliance offerings available through the Microsoft Trust Center and supporting documentation available via the Microsoft Service Trust Portal.
• Azure compliance offerings include globally applicable programs such as CIS Benchmark, CSA STAR Attestation/Certification/Self-Assessment, ISO/IEC 27001, ISO/IEC 27017, ISO/IEC 27018, ISO/IEC 20000-1:2011, ISO 22301, ISO 9001, and SOC 1/2/3, which Daily Mail &amp; General Trust (DMG) can rely upon when addressing specific industry and regional compliance obligations.
Governance and ongoing compliance maintenance
• Microsoft monitors regulatory changes and maintains key compliance certifications to support customer obligations, and as specified in the Microsoft Products and Services Data Protection Addendum (DPA), it complies with applicable data protection laws and maintains appropriate technical and organizational measures on an ongoing basis, supported by governance, risk, and change management processes and independently validated through third-party assurance reports such as SOC 2 Type II.</t>
  </si>
  <si>
    <t>Microsoft provides enterprise‑grade identity, access management, and Zero Trust capabilities through Microsoft Entra ID (formerly Azure Active Directory), which acts as the central identity control plane across cloud and hybrid environments.
Microsoft Entra ID integrates natively with enterprise identity providers to support secure authentication and single sign-on across applications and services. It supports federation with on‑premises Active Directory and third‑party identity providers using industry‑standard protocols including SAML 2.0, OAuth 2.0, and OpenID Connect. This enables organisations to continue using existing identity investments while adopting cloud services, with consistent identity and access policies enforced across on‑premises and cloud workloads.
The platform supports hybrid identity models, enabling synchronisation and federation scenarios where users authenticate using existing corporate credentials, while access decisions are evaluated centrally within Entra ID based on organisational security policies.
Microsoft’s Zero Trust approach positions identity as the primary security control plane, rather than relying on network location alone. Access decisions are based on continuous verification of identity, context, and risk, following the principles of explicit verification, least‑privilege access, and continuous assessment.
Entra ID underpins this model by evaluating multiple real‑time signals at sign‑in and during sessions, including user identity, authentication strength, device trust, location, and risk indicators. This allows access to be dynamically granted, limited, or blocked based on policy, rather than assumed trust.
Microsoft Entra Conditional Access acts as the Zero Trust policy engine, enabling adaptive, risk‑based access controls to enterprise applications and data. Conditional Access policies can be configured to enforce controls such as:
	• Multi‑factor authentication for sensitive applications or risky sign‑ins
	• Device compliance or hybrid‑joined device requirements (integrating with Microsoft Intune)
	• Location‑based access controls and restrictions
	• User and sign‑in risk evaluation through identity protection signals
	• Session‑based controls to restrict download, copy, or access behaviours where required
Policies are evaluated dynamically at access time, ensuring that changes in user risk or device posture are taken into account without requiring manual intervention.
For administrative and high‑risk roles, Microsoft Entra provides Privileged Identity Management (PIM) to enforce just‑in‑time access, time‑bound role activation, approval workflows, and full auditability. This reduces standing privilege and limits exposure of critical roles.
Identity lifecycle management and governance capabilities allow organisations to manage joiner, mover, and leaver scenarios consistently, ensuring access is appropriate, auditable, and aligned to corporate security and compliance requirements.
Microsoft Entra ID and Conditional Access capabilities are designed for large‑scale enterprise environments and are aligned to recognised security frameworks and Zero Trust reference architectures. They provide centralised policy enforcement, detailed logging, and integration with Microsoft’s broader security portfolio to support monitoring, auditing, and regulatory compliance requirements.</t>
  </si>
  <si>
    <t xml:space="preserve">Microsoft provides comprehensive support for customer‑managed keys (CMK), HSM‑backed key protection, and hold‑your‑own‑key (HYOK / BYOK) scenarios across Azure services, enabling customers to retain full control over cryptographic key ownership, lifecycle management, and access policies.
Azure supports encryption at rest using customer‑managed keys, where customers own and manage the key encryption keys used to protect data. These keys are created, stored, rotated, disabled, or deleted entirely under customer control and are never exposed to Microsoft in plaintext form. Azure services use envelope encryption, where service‑managed data encryption keys are wrapped and unwrapped using the customer‑managed key.
Customer‑managed keys can be stored in:
	• Azure Key Vault
	• Azure Key Vault Managed HSM
A broad range of Azure services support CMK‑based encryption, enabling consistent key control across compute, storage, analytics, AI, and platform services.
For customers requiring hardware‑backed key storage, Azure provides Azure Key Vault Managed HSM, a dedicated, FIPS 140‑2 Level 3 validated hardware security module service. Managed HSM provides single‑tenant HSM clusters operated by Microsoft but fully controlled by the customer, with strict separation of duties and role‑based access controls
Keys generated or imported into Managed HSM are non‑exportable by default, ensuring cryptographic material remains protected within the hardware boundary. Managed HSM integrates natively with Azure services that support HSM‑protected customer‑managed keys. 
Azure supports Bring Your Own Key (BYOK) scenarios, allowing customers to import existing keys generated outside Microsoft into Azure Key Vault or Azure Managed HSM. This enables organisations to retain control over key origin, key escrow, and cryptographic separation while leveraging Azure encryption services.
In addition, Azure supports advanced key control patterns where keys remain under customer control and access can be revoked at any time by disabling or deleting the customer‑managed key, rendering data cryptographically inaccessible.
Access to keys is governed through granular role‑based access control (RBAC) and logging, enabling strict separation between key administrators, security teams, and application identities. All key usage is auditable, supporting regulatory, legal, and forensic requirements.
Azure’s key management services are aligned with enterprise and regulatory security requirements and support integration with private networking via Azure Private Link, ensuring key operations can be isolated from public internet access where required. </t>
  </si>
  <si>
    <t>Microsoft provides a mature, natively integrated SIEM and XDR capability through Microsoft Sentinel and Microsoft Defender, designed to operate at enterprise scale and integrate with existing SOC tooling and operating models.
Microsoft Sentinel is a cloud‑native SIEM and SOAR platform that provides centralised security monitoring, log ingestion, correlation, analytics, and automated response across cloud, hybrid, and on‑premises environments. It supports ingestion from Microsoft and non‑Microsoft security sources, including third‑party firewalls, network devices, identity providers, endpoints, applications, and infrastructure platforms, enabling customers to consolidate security telemetry within an existing SOC model.
Microsoft Defender delivers an integrated XDR capability across endpoints, identities, email, applications, cloud workloads, and data. Defender components correlate signals across attack surfaces to provide incident‑level visibility, automated investigation, and coordinated response actions. Sentinel and Defender are tightly integrated, allowing SOC teams to pivot seamlessly between SIEM‑level log analytics and XDR‑driven detection and response workflows.
The platform supports automation and orchestration through playbooks, enabling response actions such as isolation, alert enrichment, ticketing integration, and containment to be triggered automatically or with analyst approval. This supports scalable SOC operations and reduces mean time to detect and respond.
For organisations with existing SOC tooling, Microsoft Sentinel is designed to integrate rather than replace. It supports APIs, data connectors, and event streaming for bidirectional integration with third‑party SIEMs, SOAR tools, ticketing systems, and security platforms. This enables phased adoption, coexistence models, or use of Sentinel as a central analytics layer while retaining existing SOC processes and investments.
Microsoft’s SIEM/XDR capabilities are underpinned by global threat intelligence and continuous security research, supporting advanced detections, behavioural analytics, and threat hunting. All security events, investigations, and response actions are logged and auditable, supporting regulatory and operational requirements common in large enterprise and media organisations.
This approach allows customers to either operate a fully native Microsoft SIEM/XDR stack or integrate Microsoft’s security capabilities into an existing SOC ecosystem, depending on organisational maturity and operating model.</t>
  </si>
  <si>
    <t>Microsoft provides a comprehensive set of built‑in security capabilities across the Azure platform designed to protect workloads and continuously assess security and compliance posture across cloud, hybrid, and on‑premises environments.
Azure applies a defence‑in‑depth security model with protections embedded at every layer, from physical datacentres and infrastructure through to network, identity, data, and applications. Security controls are enabled by default on many services, ensuring baseline protection from the moment workloads are deployed.
Encryption is enabled by default for data at rest across core Azure services, with support for encryption in transit using industry‑standard protocols. Customers can choose between platform‑managed keys or customer‑managed keys backed by Azure Key Vault or Managed HSM to meet regulatory and data protection requirements. 
Identity and access management is provided through Microsoft Entra ID, enabling centralised authentication, role‑based access control, least‑privilege enforcement, and conditional access policies across all Azure services. This supports strong access governance across users, applications, and service identities in both cloud and hybrid environments. 
Threat detection and protection is delivered through Microsoft Defender for Cloud and Defender services, which provide continuous assessment of security posture, vulnerability identification, misconfiguration detection, and advanced threat detection across workloads. These services monitor resource behaviour and configuration state to identify suspicious activity and prioritise remediation actions.
DDoS protection is natively integrated into the Azure network and automatically protects Azure resources from distributed denial‑of‑service attacks. Azure DDoS Protection provides continuous traffic monitoring and automatic mitigation without requiring customer intervention, helping maintain workload availability during attacks.
Continuous compliance monitoring is supported through Azure Policy, Microsoft Defender for Cloud, and Microsoft’s security baselines. These services continuously evaluate deployed resources against defined security and compliance requirements, highlighting deviations and enabling enforcement through policy and automation. This allows organisations to monitor compliance posture continuously rather than relying on periodic audits.</t>
  </si>
  <si>
    <t>Microsoft supports clearly defined latency targets and provides global backbone, edge, and localized deployment options to meet application performance requirements across a range of workload types.
Maximum Acceptable Latency
•  For most browser based and business applications, Microsoft recommends a round trip latency of ≤150 ms between the end user and the Azure region hosting the workload to maintain optimal user experience.
•  Applications remain functional up to 250–300 ms, depending on interaction pattern, but higher latency may introduce perceptible delay for real time or highly interactive workloads.
•  Within a single Azure region, Availability Zones typically experience &lt;2 ms round trip latency, enabling low latency, zone resilient architectures.
•  For virtualized or session based desktops (e.g. Azure Virtual Desktop), user experience is generally unaffected below 150 ms, while experiences involving media, rendering, or real time interaction may degrade beyond 200 ms.
Microsoft works with customers to align latency budgets to specific application behaviors (transactional, collaborative, real time media) rather than applying a single fixed threshold.
Requirement for Edge Locations or Local Zones
•  Microsoft operates a global edge network, routing user traffic to the nearest service entry point via local DNS and optimizing ingress onto the Microsoft Global Network to minimize latency and jitter.
•  Edge optimization is typically sufficient for the majority of enterprise workloads, particularly for collaboration, web, and API driven services.
•  Where workloads require sub regional proximity—such as low latency media processing, real time analytics, or location constrained services—Microsoft supports local zone and regional pairing strategies to place compute closer to end users or data sources.
•  Dedicated connectivity options, such as Azure ExpressRoute, are available where consistent, predictable, low latency connectivity is required and public internet paths cannot meet performance thresholds.
Network Design Flexibility
•  Customers can combine regional deployments, Availability Zones, edge routing, and private connectivity into a single architecture tailored to user distribution and application sensitivity.
•  Latency, resilience, and cost trade offs are explicitly designed rather than implicitly assumed, enabling organizations to optimize performance without over constraining deployment choices.
Summary
Microsoft supports enterprise and digital platforms with clearly defined latency operating envelopes, global edge routing, and optional local zone proximity where required. This allows DMG to meet performance expectations for both standard and latency sensitive workloads, while retaining architectural flexibility as user distribution and application demands evolve.</t>
  </si>
  <si>
    <t>Azure offers purpose-built GPU VM families designed for tightly coupled distributed AI training and HPC, with high-bandwidth intra-node and inter-node interconnect. 
ND H100 v5 starts with 8x NVIDIA H100 80 GB GPUs (640 GB total) with NVLink 4.0 inside the VM and up to 3.2 Tbps of interconnect bandwidth per VM; each GPU has a dedicated, topology-agnostic 400 Gb/s NVIDIA Quantum-2 InfiniBand connection, supporting GPU Direct RDMA and scaling to thousands of GPUs via VM scale sets. 
ND MI300X v5 provides 8x AMD Instinct MI300X 192 GB GPUs (approximately 1.5 TB total), with intra-node AMD Infinity Fabric links and the same 3.2 Tb/s scale-out interconnect bandwidth model, including per-GPU 400 Gb/s InfiniBand and GPU Direct RDMA support.
For CPU-only MPI and memory bandwidth intensive HPC, HBv5 provides 800 Gb/s InfiniBand per node and is connected in a nonblocking fat tree; HBv4 provides 400 Gb/s NDR InfiniBand and similar supercomputer-scale design intent.
Availability is region and quota dependent and should be confirmed for required geographies and scale targets.
Supporting Links
ND H100 v5 VM series specifications. https://learn.microsoft.com/en-us/azure/virtual-machines/sizes/gpu-accelerated/ndh100v5-series
ND MI300X v5 VM series specifications. https://learn.microsoft.com/en-us/azure/virtual-machines/sizes/gpu-accelerated/ndmi300xv5-series
HBv5 VM series, 800 Gb/s InfiniBand and nonblocking fat tree. https://learn.microsoft.com/en-us/azure/virtual-machines/sizes/high-performance-compute/hbv5-series
HB family overview, HBv4 InfiniBand capability.  https://learn.microsoft.com/en-us/azure/virtual-machines/sizes/high-performance-compute/hb-family
Interconnect benchmarking and guidance for Azure HPC and AI VMs. https://techcommunity.microsoft.com/blog/azurehighperformancecomputingblog/performance-at-scale-the-role-of-interconnects-in-azure-hpc--ai-infrastructure/4427238</t>
  </si>
  <si>
    <t>Required IOPS and throughput for core databases and analytics platforms in Azure should be determined from a measured workload baseline rather than assumed from platform limits. Microsoft recommends collecting performance data under the highest stress conditions and sizing storage based on observed IOPS and throughput requirements, with a 20% buffer for future growth. (References: https://learn.microsoft.com/en-us/azure/azure-sql/virtual-machines/windows/performance-guidelines-best-practices-vm-size?view=azuresql , https://learn.microsoft.com/en-us/azure/azure-sql/virtual-machines/windows/performance-guidelines-best-practices-collect-baseline?view=azuresql ).
For Azure database and analytics workloads running on virtual machines, the achievable storage performance depends on both the selected VM series and the attached disk configuration, because Azure applies IOPS and throughput limits at both the VM and disk layers. (Reference: https://learn.microsoft.com/en-us/azure/virtual-machines/disks-performance ).
As examples of Azure platform capability, the Mbdsv3 series supports up to 650,000 IOPS and 10 GBps of remote disk throughput with Premium SSD v2 or Ultra Disk. The Ebsv5 and Ebdsv5 series support up to 260,000 IOPS and 8,000 MBps of remote disk throughput. The Lsv4 series supports local NVMe storage performance of up to 6,600,000 IOPS and 36,000 MBps, which is relevant for storage-optimized workloads that can use local NVMe. (References: https://learn.microsoft.com/en-us/azure/virtual-machines/sizes/memory-optimized/mbdsv3-series?tabs=sizebasic , https://learn.microsoft.com/en-us/azure/virtual-machines/ebdsv5-ebsv5-series , https://learn.microsoft.com/en-us/azure/virtual-machines/sizes/storage-optimized/lsv4-series?tabs=sizebasic ).
Accordingly, the required IOPS and throughput should be specified against the actual database or analytics workload in scope, while Azure VM and storage selections should then be matched to those measured requirements.</t>
  </si>
  <si>
    <t>Microsoft Fabric is designed to provide tight integration between the data lake, data integration and transformation, and business intelligence layers within a single SaaS analytics platform. Fabric brings together Data Factory, Data Engineering, Data Warehouse, Real-Time Intelligence, and Power BI over a shared compute and storage model, with OneLake acting as the unified logical data lake across all workloads. (Reference: https://learn.microsoft.com/en-us/fabric/fundamentals/microsoft-fabric-overview ).
OneLake is Fabric’s single, unified logical data lake for the organization and is designed to be the single place for analytics data. Fabric workloads such as lakehouses, warehouses, and other items store data in OneLake, which reduces fragmentation and supports shared access across analytical engines without requiring separate lake infrastructure. (Reference: https://learn.microsoft.com/en-us/fabric/onelake/onelake-overview ).
For ingestion, orchestration, and transformation, Fabric includes Data Factory capabilities within the same platform, enabling data movement and transformation directly into OneLake as part of an integrated end-to-end workflow.
For business intelligence, Fabric supports tight Power BI integration through Direct Lake and OneLake integration for semantic models. Direct Lake allows Power BI semantic models to work directly over Delta tables in OneLake, while OneLake integration can automatically write semantic model data into Delta tables in OneLake for broader reuse across Fabric workloads. (References: https://learn.microsoft.com/en-us/fabric/fundamentals/direct-lake-overview , https://learn.microsoft.com/en-us/fabric/enterprise/powerbi/onelake-integration-overview ).
Where low-latency integration is required, Fabric Mirroring provides near real-time replication of data into OneLake and is designed to avoid complex ETL pipelines, enabling analytics and reporting over current data in Fabric. (Reference: https://learn.microsoft.com/en-us/fabric/mirroring/overview ).
OneLake shortcuts can also be used as logical pointers to data in other storage locations without moving the original data. Shortcuts are logical pointers to other storage locations, can connect to sources such as Azure, other hyperscalers, and a wide range of third party sources, and help eliminate data copies and reduce latency associated with staging. (Reference: https://learn.microsoft.com/en-us/fabric/onelake/onelake-shortcuts ).</t>
  </si>
  <si>
    <t>Microsoft supports both prebuilt AI APIs and managed model hosting, alongside full custom model lifecycle management.
Microsoft Foundry provides a unified environment for building AI apps and agents. This includes Foundry Tools for prebuilt AI APIs, Foundry Models for managed model deployments, and Foundry Agent Service for deploying and scaling managed agents, alongside evaluation and monitoring capabilities needed for production Agentic AI operations.
Prebuilt AI capabilities are provided through Foundry Tools (formerly Azure AI services), offering fully managed APIs for common enterprise use cases such as Speech, Language, Vision, Document Intelligence, and Content Safety. These capabilities are exposed through REST APIs and SDKs, and Foundry Tools deployments are already available for use once connected to a Foundry project, so customers do not manage model hosting infrastructure.
For managed foundation model hosting and broader model choice, Foundry Models provides a model catalog and managed deployments. Deployment types allow customers to select pay-per-token versus reserved throughput, and choose processing scope options (global, data zone, or regional) depending on compliance and latency needs. Where third-party models are selected, licensing and commercial terms may be governed via Azure Marketplace and vary by model provider.
For custom models and enterprise MLOps requirements, Azure Machine Learning supports model development and operationalisation with reproducible pipelines, reusable environments, model registry and versioning, lineage and monitoring, event-driven automation, and CI/CD integration for continuous testing and deployment.
Supporting Links
What is Microsoft Foundry: https://learn.microsoft.com/en-us/azure/foundry/what-is-foundry
Foundry Tools positioning and scope.  https://azure.microsoft.com/en-gb/products/ai-foundry/tools
How Foundry Tools are connected and used, including that tools are already deployed and ready to use. https://learn.microsoft.com/en-us/azure/ai-services/connect-services-foundry-portal
Foundry Models deployment types, including pay-per-token versus reserved throughput and data processing scope options. https://learn.microsoft.com/en-us/azure/foundry/foundry-models/concepts/deployment-types
Foundry Models from partners and community, licensing and Azure Marketplace dependency. https://learn.microsoft.com/en-us/azure/foundry/foundry-models/concepts/models-from-partners
Azure Machine Learning MLOps capabilities, including pipelines, environments, registry, lineage, monitoring, and CI/CD integration. https://learn.microsoft.com/en-us/azure/machine-learning/concept-model-management-and-deployment?view=azureml-api-2
Machine learning operations architectures and CI/CD patterns. https://learn.microsoft.com/en-us/azure/architecture/ai-ml/guide/machine-learning-operations-v2
Prompt flow DevOps integration guidance for LLM-based applications. https://learn.microsoft.com/en-us/azure/machine-learning/prompt-flow/how-to-integrate-with-llm-app-devops?view=azureml-api-2</t>
  </si>
  <si>
    <t>Microsoft Fabric Real-Time Intelligence is an end-to-end solution for event-driven scenarios, streaming data, and data logs. It supports low-latency event-based streaming through Eventstream and Eventhouse, enabling organisations to ingest, transform, route, store, and analyse data in motion within a unified Fabric experience. (Reference: https://learn.microsoft.com/en-us/fabric/real-time-intelligence/overview ).
Within Real-Time Intelligence, Eventstream acts as the real-time ingestion and processing pipeline. It can ingest real-time events, apply optional no-code stream processing and transformations, and route the resulting streams to supported destinations. Eventhouse provides the analytical store for streamed events, allowing KQL-based querying and analysis at scale. Eventstream supports configurable throughput levels of Low (&lt;10 MB/s), Medium (10–100 MB/s), and High (&gt;100 MB/s), enabling the streaming layer to be aligned to expected event volume and parallelism requirements. (Reference: https://learn.microsoft.com/en-us/fabric/real-time-intelligence/event-streams/overview?tabs=enhancedcapabilities ).
In addition to ingestion and analysis, Microsoft Fabric RTI also supports multiple ways to consume and act on streaming data. Real-Time Dashboard is Fabric’s live monitoring and visualization experience for data in motion, dashboards can update continuously or at refresh intervals as low as 10 seconds. (Reference: https://learn.microsoft.com/en-us/fabric/real-time-intelligence/real-time-dashboards-overview ).
For event-driven actions, Fabric Activator is the no-code and low-latency event detection engine in the RTI stack. Activator continuously monitors its data sources with subsecond latency and can automatically trigger actions such as email or Teams notifications, Power Automate flows, and Fabric items including pipelines, notebooks, functions, and Spark jobs when defined conditions or patterns are detected. (Reference: https://learn.microsoft.com/en-us/fabric/real-time-intelligence/data-activator/activator-introduction ).
For conversational consumption, Fabric data agents can be configured to answer natural-language questions over data stored in lakehouses, warehouses, Power BI semantic models, KQL databases, and ontologies in Fabric. This means streamed data that is landed into RTI analytical stores such as KQL databases, or curated into other Fabric data stores, can also be exposed through a governed conversational interface for business users. (Reference: https://learn.microsoft.com/en-us/fabric/data-science/concept-data-agent ).</t>
  </si>
  <si>
    <t>Across Azure and Microsoft data services, lineage tracking and metadata catalog capabilities are primarily delivered through Microsoft Purview. Microsoft Purview Data Map scans assets and multicloud sources to capture metadata, while Microsoft Purview Unified Catalog provides a searchable SaaS catalog for governance, curation, and discovery. The catalog connects with data processing, storage, and analytics systems to extract lineage information. (References: https://learn.microsoft.com/en-us/purview/data-governance-overview , https://learn.microsoft.com/en-us/purview/unified-catalog ).
For Microsoft Fabric specifically, built-in lineage view provides workspace-level dependency tracing, and scanning a Fabric tenant automatically brings metadata and lineage from Fabric items, including Power BI, into Microsoft Purview Unified Catalog. This gives a more Azure-wide governance view while still supporting service-level lineage where needed. (References: https://learn.microsoft.com/en-us/fabric/governance/lineage , https://learn.microsoft.com/en-us/purview/data-map-lineage-fabric ).
For governance enforcement, Microsoft Purview Information Protection and Data Loss Prevention policies extend to Fabric and Power BI. Sensitivity labels can be applied to Fabric items and remain protected on supported export paths, while DLP policies can trigger policy tips, alerts, email notifications, and access restrictions when supported item types contain sensitive information. (References: https://learn.microsoft.com/en-us/fabric/governance/microsoft-purview-fabric , https://learn.microsoft.com/en-us/purview/dlp-powerbi-get-started ).
For audit and monitoring, Microsoft Purview provides searchable audit logs, and Microsoft Fabric activity can be searched through the audit log in the Microsoft Purview portal. Where programmatic inventory is required, Fabric metadata scanning APIs can extract metadata such as item name, owner, sensitivity label, applied tags, and endorsement status for centralized reporting and governance. (References: https://learn.microsoft.com/en-us/fabric/admin/track-user-activities , https://learn.microsoft.com/en-us/fabric/governance/metadata-scanning-overview ).</t>
  </si>
  <si>
    <t>Microsoft considers public roadmap clarity and structured customer influence to be critical components of enterprise trust, adoption planning, and long term platform partnership.
Importance of Public Roadmap Clarity
•  Microsoft maintains publicly accessible, continuously updated roadmaps to provide customers with transparency on upcoming features, service changes, and innovation direction.
•  These roadmaps are designed to support investment planning and risk assessment, while clearly stating that timelines and content may evolve as offerings move from preview to general availability.
•  Roadmap communication is delivered through established, authoritative channels such as Azure Updates and the Microsoft 365 Roadmap, enabling customers to track changes, subscribe to updates, and align internal planning cycles accordingly.
•  This approach balances forward visibility with responsible expectations management, ensuring customers are informed without creating dependency on uncommitted delivery dates.
Customer Influence on Roadmap Direction
•  Customer influence is embedded through multiple formal and continuous feedback mechanisms, ensuring input is captured at scale and at different stages of product development.
•  These include direct engagement models such as Customer Advisory Boards, product roundtables, structured surveys, user research programs, and private preview initiatives, where customers actively shape early feature design and prioritization.
•  Feedback is also channelled through technical advocacy paths, including FastTrack architects, technical feedback teams, and account teams who escalate validated customer requirements directly to engineering backlogs.
•  Community driven platforms (e.g. Microsoft Ideas portals) provide an additional transparent mechanism for customers to propose, discuss, and vote on enhancements, with visibility into product team responses.
Governance and Feedback Integration
•  Customer feedback is actively tracked, prioritized, and reviewed as part of Microsoft's product planning lifecycle, rather than treated as informal input.
•  Roadmap decisions balance customer demand with platform integrity, security, scalability, and regulatory obligations, ensuring sustainable delivery across the global customer base.
Product Specific Transparency (Viva Glint)
•  For Viva Glint, customers have access to clear release scheduling, advance visibility of upcoming features, and detailed release notes through dedicated community channels.
•  In product feedback mechanisms allow customers to submit enhancement requests and issues directly into the product improvement pipeline, ensuring high signal feedback from active users.
Summary
Microsoft places high importance on roadmap transparency and meaningful customer influence, providing clear forward visibility through public roadmaps while enabling customers to actively shape product direction via structured, governed feedback channels. This ensures customers such as DMG can plan with confidence, influence outcomes, and engage as long term platform partners rather than passive consumers.</t>
  </si>
  <si>
    <t>Microsoft places high importance on incident transparency and meaningful Root Cause Analysis (RCA) as essential components of trust, operational learning, and service resilience.
Root Cause Analysis (RCA) Depth
•  For service-impacting incidents, Microsoft supports structured RCA processes that identify underlying technical causes, contributing factors, and preventive actions.
•  RCAs are conducted using established engineering and service reliability methodologies, examining system design, dependencies, operational signals, and failure modes rather than surface symptoms alone.
•  Where applicable, RCAs include: 
o  Clear description of what occurred and why
o  Scope and duration of impact
o  Recovery actions taken
o  Preventive measures to reduce recurrence
•  RCA delivery timelines are aligned with incident severity and complexity, with formal RCA reports typically provided within a defined post resolution window for qualifying incidents.
Microsoft works collaboratively with customers during RCA investigations, incorporating relevant diagnostic data and ensuring findings are actionable rather than purely descriptive.
Incident Transparency and Communication
•  Microsoft operates continuous monitoring and incident detection across its cloud and security services.
•  Upon identification of a significant service or security incident, customers are promptly notified through designated communication channels, with ongoing updates provided throughout investigation and remediation.
•  Incident communications include: 
o  Nature and classification of the incident
o  Affected services or systems
o  Customer impact assessment
o  Immediate and longer term mitigation actions
•  Communication remains open and continuous until resolution, supporting coordinated response between Microsoft and customer incident response teams.
Security Incident Transparency
•  For security incidents, Microsoft follows defined disclosure and response processes aligned to industry standards.
•  Customers receive detailed incident reports covering impact, risk evaluation, containment steps, and remediation guidance, supporting integration into customer security, risk, and compliance workflows.
Ongoing Reporting and Assurance
•  Microsoft provides regular incident trend reporting, including classifications and patterns, to support customer risk assessment and continuous improvement.
•  Lessons learned from incidents are fed back into service reliability engineering, platform hardening, and operational controls, improving resilience at scale rather than on a one off basis.
Summary
Microsoft delivers deep, structured RCA and high levels of incident transparency, grounded in operational rigor and continuous improvement. Customers benefit from timely communications, actionable post incident analysis, and ongoing insight into service reliability trends, enabling informed risk management and confident long term platform adoption.</t>
  </si>
  <si>
    <t>Microsoft provides near‑real‑time cost visibility and allocation at workload, application, and business dimension level through Microsoft Cost Management, which is natively integrated into the Azure platform and available at no additional cost.
Azure usage and cost data is ingested continuously into Microsoft’s commerce and billing pipeline and is made available for analysis with a short processing delay. This enables near‑real‑time visibility into cloud spend trends during the billing period, rather than relying solely on retrospective invoice data. 
Within the Azure portal, Cost Management provides interactive views that allow customers to monitor accumulated and daily costs, identify spending anomalies, and track consumption trends as they occur, supporting proactive cost management and governance during the month rather than post‑billing review.
Azure Cost Management enables cost breakdown and analysis across multiple scopes, including management group, subscription, resource group, and individual resource. Costs can be grouped and filtered by resource tags, allowing organisations to attribute spend directly to workloads, applications, environments, business units, or cost centres, provided a consistent tagging strategy is applied. 
Tags such as application name, workload, environment, owner, or cost centre can be used to create workload‑level cost views, enabling accurate chargeback or showback and clear accountability for spend across teams and projects. 
Microsoft Cost Management supports budgets and automated alerts that can be defined at various scopes and filtered by tags. This enables teams to receive early warnings when workload‑level or project‑level spend approaches defined thresholds, supporting active cost control throughout the billing period rather than reactive correction at month‑end.
Cost anomaly detection and trend analysis further support early identification of unexpected changes in consumption, enabling remediation actions such as rightsizing, shutdown of idle resources, or policy enforcement.
Cost data can be exported on a scheduled basis to storage accounts for downstream analysis or integration with external financial systems and FinOps tooling. Microsoft Cost Management also integrates with Power BI through a native connector, enabling customised, workload‑specific dashboards and reporting aligned to organisational reporting requirements. 
As part of Azure’s Cloud Adoption Framework and enterprise‑scale landing zone guidance, Microsoft recommends enforcing tagging standards and cost governance through policy and automation. This ensures that workload‑ and tag‑level cost visibility is consistently available and reliable across large, multi‑subscription enterprise environments.</t>
  </si>
  <si>
    <t>3-year expense and value view (available estimate)
A 3-year risk-adjusted financial summary shows total benefits (PV) of $696,876, total costs (PV) of ($444,455), and net present value (NPV) of $252,421, with 57% ROT.
Migration-related expenses and timeline
Migration timeframes vary based on workload complexity and size, and follow key steps including workload assessment, migration targeting, and execution; Microsoft would set a goal of completing migrations within 24 months, with investments aligned to support that goal.
Licensing and upgrade-related expenses
License and installation of the software are covered under an active M&amp;S contract, with potential additional data migration and/or Professional Services charges associated with an upgrade.
Operational expenses (run and maintain)
Moving from on-premises to Azure shifts costs from high upfront capital expenditure (e.g., owning infrastructure, annual license renewals, and hardware refreshes) to consumption-based operational expenditure where customers pay only for what they use, with minimal maintenance and always-up-to-date services. Migration to Azure replaces fixed on-premises costs (e.g., servers, physical space, power, and dedicated staff) with consumption-based pricing, increased automation, and elastic resources, and industry benchmarks indicate up to a 27% reduction in annual IT spending for existing infrastructure hosted on Azure through reduced infrastructure costs, elimination of inefficiencies, and rightsizing resources. Microsoft releases regular software updates that automatically deploy, so organizations do not need to facilitate manual updates; alternatively, Microsoft can provide a Microsoft Unified contract for support to make additions, changes, and deletions.
Scaling costs (as spend grows)
Microsoft Unified uses graduated pricing rates where the percentage rate decreases as annual spend increases across categories such as On-Prem Server, Azure, and On-Prem User, and the minimum annual contract price is $50.000.
Cost governance and ongoing optimization (supports expense control)
Microsoft Cost Management (formerly Azure Cost Management) is available at no additional cost and provides reporting and analytics for cost and usage patterns, with capabilities including cost breakdowns by resource and metered service, always-on integration in the Azure Portal, and integration with Azure Advisor for cost optimization through reservations, rightsizing, or removing idle resources.</t>
  </si>
  <si>
    <t>Microsoft supports both fully elastic consumption and reserved/committed purchasing options to align with different workload predictability and cost-optimization goals.
Fully elastic consumption (pay-as-you-go): Pay-as-you-go is available as a flexible purchasing model for Azure services.
Reserved/committed pricing options:
• Reserved instances/capacity are available as purchasing options, and Azure Reserved VM Instances can provide savings of up to 72% compared to pay-as-you-go by committing to one-year or three-year terms for Windows or Linux VMs.
• Commitments are available as purchasing options, including Microsoft Azure Consumption Commitment with a pre-defined Azure commitment that can include negotiable discounts.
• Under the Microsoft Azure Consumption Commitment (MACC) / SCE agreement, Daily Mail &amp; General Trust (DMG) may achieve significant discounts on Azure resources, with one-year and three-year Azure Consumption Commitment options, and Azure services pricing locked at signature for a one- or three-year period as Baseline Pricing with capped maximum prices for services available at the time of signature and automatic downward adjustments when applicable.
• Under a Microsoft Enterprise Agreement, pricing is protected for the duration of the agreement, with any price decreases during the term passed on to the customer.
Spot pricing: Azure Spot Virtual Machines provide access to unused Azure compute capacity at discounts of up to 90% compared to pay-as-you-go prices, with actual discounts varying by region, VM type, and available capacity, and customers can set a maximum price and monitor price history and eviction rates.
Pricing efficiency approaches (applicable across models): Microsoft recommends volume commitment, tiered pricing, Azure prepayment, and evaluation of modernization opportunities to help drive pricing efficiencies without compromising scope.
Pricing references: Purchase options and calculators are available at https://azure.microsoft.com/en-us/pricing/purchase-options/ and https://azure.microsoft.com/en-us/pricing/calculator/.</t>
  </si>
  <si>
    <t>Azure data egress costs for ongoing workloads are governed by standard Azure Bandwidth pricing. Microsoft publishes separate pricing for inter-region data transfer, internet egress routed via the Microsoft Premium Global Network, and internet egress routed via Routing Preference transit ISP network. Pricing varies by source geography and transfer tier, so any egress cost comparison should be based on the expected monthly outbound volume and destination pattern. For internet egress, Azure includes the first 100 GB per month free. Beyond that threshold, pricing differs by source continent and routing option, so cross-cloud traffic costs should be modelled against the relevant Azure bandwidth pricing table rather than treated as a single flat rate. Inter-region and inter-continental transfer pricing should also be considered where traffic moves between Azure regions before leaving the platform. Specialised connectivity and delivery services such as ExpressRoute, VPN, Azure Front Door, Azure CDN, and Peering are priced separately and are not covered by standard bandwidth pricing. If the target architecture uses any of these services, they should be assessed separately in the egress cost comparison.  (Reference: https://azure.microsoft.com/en-us/pricing/details/bandwidth/ ).</t>
  </si>
  <si>
    <t>Microsoft does not require new or incremental Enterprise Agreement (EA) leverage, increased committed spend, or additional commercial commitments as a prerequisite for delivering the proposed services. Existing agreements and commitments can be leveraged where beneficial, but they are not mandatory.
Use of Existing Enterprise Agreements
Microsoft operates fully within a customer's current commercial construct (including EA, MCA, or equivalent), ensuring continuity and avoiding unnecessary contractual change.
Delivery of the proposed services does not require renegotiation, extension, or restructuring of existing enterprise agreements.
Where commercial optimisation is advantageous, Microsoft engages collaboratively with the customer to align architecture and deployment timing—but participation in such optimisation is optional.
Committed Spend and Incentive Considerations (MACC)
Any incentives, credits, or commercial benefits linked to Microsoft Azure Consumption Commitment (MACC) are governed by the terms, scope, eligibility, and active period of the existing commitment.
Eligible consumption contributes toward MACC where:
The purchase occurs within the active commitment term, and
The service or solution is designated as Azure benefit‑eligible at the time of purchase.
No new MACC commitment or uplift is required in order to proceed.
Commercial Flexibility and Partnership Approach
Microsoft takes a customer‑first, flexibility‑led approach, ensuring that incentives support business objectives rather than driving artificial consumption or accelerated spend.
Account teams work proactively with customers to:
Optimise drawdown of existing commitments where appropriate
Align deployment phasing with commercial timelines
Maintain long‑term commercial efficiency and optionality
This approach avoids lock‑in and preserves freedom to adapt consumption over time.
Summary
Enterprise agreement leverage or committed spend incentives are not required. Microsoft supports full delivery within existing commercial agreements while enabling optional optimisation of current commitments where it adds value. This ensures customers such as DMG retain maximum commercial flexibility, transparency, and control—without being forced into new commitments or future constraints.</t>
  </si>
  <si>
    <t>Microsoft's Azure migration approach is designed to minimise one time migration costs, accelerate data centre exit, and reduce delivery risk through a structured, tool led methodology and funded migration programs.
Migration Tools and One Time Tooling Costs
Microsoft provides a comprehensive set of migration and assessment tools, the majority of which are included at no additional licence cost, significantly reducing up front tooling expenditure:
•  Azure Migrate – discovery, dependency mapping, cost modelling, and migration tracking
•  Azure Database Migration Assistant and Azure Database Migration Service (DMS) – schema and data migration
•  Azure App Service Migration Assistant – application portability and readiness assessment
•  Azure VMware Solution (AVS) – supported lift and shift of VMware workloads to meet data centre exit timelines
•  Azure Migrate App Containerization – container readiness and modernisation pathways
•  Azure Data Box – fixed cost offline data transfer for large data volumes
Where appropriate, Microsoft supports the controlled use of open source and third party tools (e.g. Ora2PG, Turbonomic, UnifyCloud, RackWare) to optimise migration outcomes without unnecessary vendor dependency.
Impact on one time costs:
Tooling costs are largely predictable and non additive, avoiding upfront licence purchases and reducing migration cost variability.
Labour and Migration Delivery Costs
Microsoft reduces one time migration labour costs through a combination of funded programs, partner delivery, and architectural guidance:
•  The Azure Migration &amp; Modernization Program (AMMP) provides funded: 
o  Discovery and assessment
o  Business case and TCO modelling
o  Partner led migration execution for eligible workloads
•  Application and App Modernization Assessments (typically 4–6 weeks) deliver: 
o  Deep technical and code level analysis
o  Clear recommendations to rehost, replatform, refactor, or re architect
o  Financial analysis to prioritise cost effective migration paths
•  Delivery is supported by a Microsoft Customer Success team, along with Azure migration and product specialists through pre migration, migration, and post migration optimisation phases.
Impact on one time costs:
A significant proportion of migration planning and execution effort can be funded or co funded, materially reducing professional services costs borne by DMG.
Re Architecture and Modernisation Costs
Microsoft supports a phased and value led modernisation strategy to control re architecting costs:
•  Initial lift and shift (e.g. via AVS or IaaS) can be used to enable rapid data centre exit
•  Selective re platforming and PaaS adoption is applied where it delivers clear operational or cost benefits
•  Full refactoring is prioritised only where there is a strong business and ROI justification
These decisions are informed by dependency mapping, workload criticality, and cost modelling to avoid unnecessary upfront spend.
Impact on one time costs:
Re architecting is targeted, optional, and sequenced over time—preventing excessive upfront investment.
Data Centre Exit Incentives and Funding Programs
Microsoft offers multiple funding and incentive mechanisms to offset one time migration and data centre exit costs, including:
•  Azure Migration &amp; Modernization Program (AMMP) funding
•  Azure investment and incentive funding (e.g. ECIF, where applicable) for strategic or complex migrations
•  FastTrack for Azure – architecture design and best practice guidance at no cost
•  Commercial flexibility aligned to migration milestones and phased consumption
Funding eligibility is assessed transparently based on workload scope, complexity, and strategic importance.
Impact on one time costs:
Microsoft incentives directly reduce upfront cash outlay while accelerating time to value and data centre exit.
Overall One Time Cost Profile
Microsoft's approach enables DMG to achieve data centre exit with:
•  Minimal upfront tooling costs
•  Funded or co funded migration labour
•  Controlled, phased re architecture investment
•  Clear and proven funding mechanisms to offset migration effort
This results in a predictable, optimised, and risk managed one time migration cost profile, while establishing a strong foundation for long term operational efficiency on Azure.</t>
  </si>
  <si>
    <t>Microsoft Cost Management (integrated with Azure Advisor) provides native cost optimization capabilities, including actionable recommendations (e.g., applying reservations or Azure Savings Plans, rightsizing underutilized resources, and removing idle resources), plus a unified view across all clouds to support operational and financial insights for proactive cost control.
Microsoft Cost Management for Azure is available at no additional cost and includes continuous monitoring and reporting, tailored optimization recommendations, and customization via Power BI connectors and Cost Management APIs.
If external integration is required for your operating model, Microsoft supports extending and automating cost management by integrating cost into external tools and business processes through exports and automation approaches (including building custom tools to retrieve and manage cost data for offline analysis).
For broader FinOps analytics and reporting outside of Power BI, Azure Data Lake Storage can act as a central repository for FinOps data and supports connectivity from multiple tools and services, including Azure Data Explorer (ADX), Microsoft Fabric, Azure Synapse Analytics, Azure Databricks, Azure Machine Learning, and custom applications and APIs.</t>
  </si>
  <si>
    <t>Azure supports mandated data storage countries or regions for most regional services by allowing customers to choose the Azure region where the service is deployed. Microsoft states that most Azure services enable customers to specify the region where customer data will be stored and processed. Microsoft also states that, while data may be replicated to other regions for resiliency, it will not store or process customer data outside the selected Geo for those services. (Reference: https://azure.microsoft.com/en-us/explore/global-infrastructure/data-residency ).
For a London-based requirement specifically, Azure provides the UK South region, whose physical location is listed as London in the United Kingdom geography. Azure also provides UK West, whose physical location is Cardiff, which may be relevant for resilience or secondary deployment patterns. (Reference: https://learn.microsoft.com/en-us/azure/reliability/regions-list ).</t>
  </si>
  <si>
    <t>Microsoft fully supports in country operational requirements for support and administration through a flexible global operating model that can be aligned to local, regional, or global delivery, based on customer, contractual, regulatory, and assurance needs.
Support and Administration Operating Model
•  Microsoft operates 24x7x365 enterprise support services, delivered through a globally distributed support organisation with service delivery capabilities across more than 100 countries.
•  This model enables follow the sun support, ensuring continuous coverage, rapid incident response, and operational resilience across all time zones.
•  Support and administration services are delivered via a combination of regional and global support centres, selected based on service type, severity level, and required technical expertise.
In Country and Regional Support Alignment
Microsoft is able to provide in country or regionally aligned support and administration where required, including where this is:
•  Mandated by regulatory, data sovereignty, or contractual obligations
•  Required for governance, operational assurance, or stakeholder confidence
•  Requested to support local operational alignment or escalation models
Such requirements can be addressed through specific contractual and service arrangements, which may include:
•  Regionally aligned or named support teams
•  Local time zone aligned service delivery
•  On site or in country presence where scoped and agreed
Microsoft does not mandate in country delivery by default, but fully supports it where required.
Language, Accessibility, and Local Alignment
•  Foundational and reactive support services are delivered primarily in English, with additional language support available depending on service and region.
•  Where feasible, Microsoft makes reasonable efforts to provide support in the customer's spoken language, while ensuring access to the appropriate technical expertise.
•  Support models can be aligned to local business hours, escalation paths, and operational processes.
Security, Compliance, and Governance
•  All Microsoft support personnel operate under consistent security, confidentiality, and compliance controls, regardless of geographic location.
•  Access to customer environments is governed by least privilege principles, role based access controls, logging, and auditing.
•  This ensures consistent protection of customer environments across both global and in country delivery models.
Summary
Microsoft supports in country operations for support and administration where required, while also offering a globally optimised model for scale, resilience, and efficiency. Customers such as DMG can specify in country, regional, or global delivery to meet regulatory, operational, or assurance needs—without compromising service quality, continuity, or security.</t>
  </si>
  <si>
    <t>Acceptable Exposure to Foreign Extraterritorial Legislation
Microsoft recognises the importance of limiting exposure to foreign extraterritorial legislation and addresses this through a combination of data residency commitments, contractual safeguards, technical controls, and transparency obligations, in compliance with applicable UK, EU, and international data protection laws.
Data Residency and Data Transfer Controls
For Microsoft enterprise online services, customer data storage and transfer commitments are defined in the Microsoft Data Protection Addendum (DPA) and Product Terms:
•  Customers can specify the geographic region in which Customer Data is stored at rest.
•  Microsoft contractually commits not to transfer Customer Data to third parties for storage purposes.
•  Any transfer of Customer Data outside the defined region occurs only under limited and controlled circumstances, such as: 
o  Providing customer support or service troubleshooting
o  Meeting legal or regulatory obligations
o  When customers configure or enable external or cross regional services
All such transfers are governed by documented contractual and technical safeguards.
EU Data Boundary and UK GDPR Compliance
Microsoft's EU Data Boundary provides additional assurance by committing to store and process Customer Data and personal data for Microsoft enterprise online services within the EU boundary, subject to clearly defined and limited exceptions.
For the UK:
•  Transfers of personal data outside the UK are permitted under UK GDPR and the Data Protection Act 2018, subject to appropriate safeguards.
•  Microsoft contractually commits that any such transfers will be conducted strictly in accordance with applicable UK data protection laws.
•  Microsoft uses approved mechanisms such as Standard Contractual Clauses (SCCs) and equivalent contractual protections to govern international data transfers.
Contractual Safeguards and Transparency
Microsoft provides strong contractual assurances to mitigate exposure to foreign extraterritorial legislation, including:
•  Binding commitments within the DPA and Product Terms governing handling, transfer, and disclosure of Customer Data
•  Publication and maintenance of a sub processor list, including processing locations
•  Advance customer notification of material changes to sub processors, enabling informed governance decisions
These measures ensure customers retain visibility and control over where and how their data is processed.
Law Enforcement and Government Access Requests
Microsoft has established policies and procedures to manage government and law enforcement data access requests:
•  Requests are reviewed for legal validity and jurisdictional appropriateness
•  Microsoft challenges unlawful or over broad requests where permitted by law
•  Data disclosures are limited to the minimum legally required scope
Microsoft also publishes transparency reports detailing the nature and volume of such requests.
Export Controls and Trade Compliance
Microsoft technologies, products, and services are subject to applicable U.S. export control laws (including EAR and OFAC), as well as international trade compliance requirements.
Microsoft maintains comprehensive policies, processes, and internal controls to:
•  Ensure lawful classification and export of products and services
•  Comply with international trade restrictions and sanctions regimes
•  Minimise impact on customers while meeting legal obligations
Summary
Microsoft's approach ensures that exposure to foreign extraterritorial legislation is limited, governed, and transparent, supported by:
•  Strong data residency commitments
•  Contractual and legal safeguards aligned to UK GDPR and EU requirements
•  Controlled and auditable access processes
•  Clear customer visibility over data processing and sub processors
This enables customers such as DMG to operate with confidence that their data is protected against inappropriate foreign jurisdictional reach, while remaining compliant with applicable international laws.</t>
  </si>
  <si>
    <t>• ERP platform alignment (Dynamics 365): Microsoft’s proposal for ERP Finance Transformation is built on the Microsoft Dynamics 365 platform, a cloud-based solution that helps Daily Mail &amp; General Trust (DMG) deploy solutions and onboard users quickly and collaboratively, accelerating results across the business.
• ERP capabilities coverage: Dynamics 365 Finance and SCM provides out-of-box functionality with adaptable, sustainable customized solutions for Finance, Supply Chain Management (SCM), Commerce/Loyalty, Project Management and Accounting, Assets Management, and Human Resources, including front-end and user-interface components to support adoption, change management, extensibility to organizational-specific processes, and insights at financial and operational levels to support decision-making.
• Data foundation and modularity: Dataverse provides a normalized data foundation to enable headless/modular use of Microsoft’s first party and partner third-party solutions, and supports seamless integration to the Power Platform so Daily Mail &amp; General Trust (DMG) staff and associates can securely interact with data.
• Low-code, automation, analytics extensibility: Power Platform provides tools spanning low-code, automation, dashboarding, and reporting, enabling flexibility and extensibility for business processes that may not fall into a typical ERP process.
• Cloud hosting backbone: Azure Cloud and IoT (Internet of Things) serves as the hosting backbone for the solution, supporting future-proof alignment to Daily Mail &amp; General Trust (DMG)’s established technology architecture.
• Enterprise productivity alignment (Microsoft 365): Microsoft 365 for enterprise includes Microsoft 365 Apps for enterprise (for example, Word, Excel, PowerPoint, Outlook), online services for email, file storage and collaboration, and meetings.
• Endpoint management and security services: Microsoft 365 for enterprise includes Microsoft Intune for cloud-based enterprise mobility management and Microsoft Defender for Endpoint for advanced threat protection and endpoint security, along with antispam and antimalware protection for email content.
• Identity platform alignment (Microsoft Entra): Microsoft Entra is positioned as Microsoft’s identity and access management vision to provide secure access for everyone and everything as new needs emerge, evolving identity into an omnipresent trust fabric across the digital environment, with expansion into multicloud permissions management, support for non-human (workload) identities, and identities verification.
• Standards-based SSO support: The Microsoft identity platform uses the SAML 2.0 protocol to enable applications to provide a single sign-on experience, with Microsoft Entra ID SAML profiles detailing how assertions, protocols, and bindings are used.
• Application authentication integration for Dynamics 365: Dynamics 365 uses Microsoft Entra ID (Azure Active Directory) login credentials as part of the user profile and links them to employee and contractor details; Microsoft Entra ID manages password-length and requirements policies.
• Identity governance for complex authorization models: Microsoft Entra ID Governance can consume and understand entitlements from applications with complex authorization models such as Epic Systems, Oracle E-Business Suite (EBS), and SAP; integration can be enhanced by the partner solution Pathlock, extending capabilities including fine-grained access control, separation of duties (SoD), and compliance automation.</t>
  </si>
  <si>
    <t>Azure supports end-to-end CI/CD across application code, infrastructure, and platform configuration using native DevOps platforms and cloud-native deployment targets.
CI/CD toolchain options include GitHub Actions and Azure DevOps (Azure Pipelines), supporting YAML-based workflows, build and test automation, and staged deployments with release management controls such as approvals and gates. Azure-native and industry-standard IaC approaches are supported, including Bicep, ARM templates, and Terraform, all of which can be executed from these CI/CD systems.
Cloud-native deployment options include Azure Kubernetes Service for Kubernetes workloads, Azure Container Apps for serverless containers with event-driven autoscaling, Azure Functions for serverless event-driven code, and Azure App Service for fully managed web and API hosting. 
Supporting Links:
GitHub Actions overview and documentation. https://docs.github.com/articles/getting-started-with-github-actions
Azure Pipelines overview and release pipeline features. https://learn.microsoft.com/en-us/azure/devops/pipelines/get-started/what-is-azure-pipelines?view=azure-devops
Bicep and ARM templates documentation. https://learn.microsoft.com/en-us/azure/azure-resource-manager/bicep/                        https://learn.microsoft.com/en-us/azure/developer/terraform/
Terraform on Azure documentation. 
Azure Container Apps overview and autoscaling model. https://learn.microsoft.com/en-us/azure/container-apps/overview
Azure Functions overview (hosting and scaling options). https://learn.microsoft.com/en-us/azure/azure-functions/functions-overview
App Service as PaaS hosting environment. https://learn.microsoft.com/en-us/azure/well-architected/service-guides/app-service-web-apps
Prompt flow DevOps integration guidance for LLM apps. https://learn.microsoft.com/en-us/azure/machine-learning/prompt-flow/how-to-integrate-with-llm-app-devops?view=azureml-api-2</t>
  </si>
  <si>
    <t>Azure provides native content delivery capabilities through Azure Front Door and Azure CDN, offering global edge presence for acceleration, caching, and secure application delivery. Azure Front Door operates at the Microsoft global edge and provides Layer 7 load balancing, dynamic site acceleration, TLS termination, and integrated web application firewall capabilities, enabling low‑latency access and protection for internet‑facing applications. Azure CDN supports multiple native profiles with edge caching, origin shielding, and HTTPS support for static and dynamic content.
Azure DNS provides a globally distributed, highly available, and low‑latency DNS service for hosting public and private DNS zones. It integrates natively with Azure virtual networks for private name resolution and supports DNS‑based traffic routing scenarios when combined with Azure Front Door and Traffic Manager. DNS configuration and access are managed using Azure’s role‑based access control and governance framework.
Azure Key Vault provides native certificate lifecycle management, enabling creation or import of X.509 certificates (including certificates issued by external certificate authorities), policy‑driven lifecycle control, automatic renewal with supported issuers, and expiration tracking. Managed certificate integrations are available with trusted third‑party certificate authorities, and certificates can be consumed directly by Azure services such as Azure Front Door, Application Gateway, and App Services without manual key handling.
Azure Web Application Firewall (WAF) is available natively on Azure Front Door and Azure Application Gateway, providing centralized protection against common web exploits and vulnerabilities using the OWASP Core Rule Set with automatic rule updates. Azure also provides Azure Firewall for network‑level control, and supports chaining or integration with third‑party network security appliances where required. These services can be combined to enforce layered application and network security policies within a single Azure environment.</t>
  </si>
  <si>
    <t>Microsoft provides deep, industry specific compliance blueprints, validated reference architectures, and extensive audit support experience, enabling customers to adopt cloud services with confidence in regulated and high assurance environments.
Industry Specific Compliance Blueprints
•  Microsoft cloud services are designed to meet industry specific security, privacy, and compliance requirements across sectors including government, financial services, healthcare, education, manufacturing, and media.
•  Microsoft maintains a broad portfolio of globally recognised certifications and attestations, including ISO/IEC 27001, 27017, 27018, 27701; SOC 1, SOC 2, SOC 3; PCI DSS; HIPAA; GDPR; and others, enabling customers to inherit controls and reduce compliance effort.
•  Azure and Microsoft 365 security controls are aligned to established frameworks such as NIST, CSA Cloud Security Alliance controls, OWASP, and WASC, and are integrated into Microsoft's enterprise risk and governance models.
•  Compliance documentation, mappings, and control descriptions are made available through structured artefacts rather than ad hoc guidance, enabling consistent regulatory alignment across environments.
Validated Reference Architectures
•  Microsoft provides validated, production ready reference architectures via the Cloud Adoption Framework and Azure Architecture Center, covering common enterprise and regulated industry deployment patterns.
•  Architectures include guidance on: 
o  Security and identity boundaries
o  Network segmentation and data flows
o  High availability and resilience
o  Horizontal and vertical scalability
o  Integration with on premises and third party services
•  Platform specific diagrams, including authorization boundaries and data flow models, are available through the Service Trust Portal and relevant solution architecture centers, supporting design assurance and regulatory review where NDA access is in place.
Audit Support and Assurance Experience
•  Microsoft has extensive experience supporting customer audits across industries and jurisdictions.
•  While customers do not audit Microsoft facilities directly, Microsoft undergoes regular independent third party audits conducted by qualified external assessors, at least annually where required.
•  Resulting audit reports (e.g. SOC, ISO, compliance attestations) and supporting evidence are made available to customers via the Microsoft Service Trust Portal, ensuring transparency and repeatability.
•  Microsoft's audit model is well understood by regulators and auditors globally, reducing friction during customer led assurance, risk assessments, and regulatory engagement.
Summary
Microsoft provides deep, regulator tested compliance blueprints, well validated reference architectures, and mature audit support processes. These capabilities allow customers such as DMG to adopt cloud services efficiently while maintaining confidence in compliance, assurance, and audit readiness across industry and regulatory landscapes.</t>
  </si>
  <si>
    <t>Microsoft operates one of the largest partner ecosystems in the world, with over 400,000 partners globally supporting solutions across Azure, Microsoft 365, Dynamics 365, and other platforms.
Validated and tiered MSP programs include Azure Expert Managed Service Providers, which are validated partners and represent Microsoft's most capable and high-fidelity Azure MSPs.
Azure Expert Managed Service Providers can help with automation, cloud service operations, and optimization, with Azure expertise that includes end-to-end lifecycle management, repeatable highly automated solutions for hyper-scale cloud implementations, and skillsets across DevOps and sysops, architecting cloud solutions, and technical professional consulting.
Enrollment in the Azure Expert MSP program requires meeting qualification requirements (including aligned Solutions Partner designation, Performance, Skilling, Support Program, and CSP Program requirements), submitting and obtaining approval of an application (or customer references) after qualification requirements are met, and scheduling and passing an audit after application approval.
Partner ecosystem maturity includes rigorously validated Azure Expert Managed Services Providers (MSPs), Azure Advanced Specialization Partners (e.g., app modernization, cloud migration, and data and AI), and thousands of solution providers on the Azure Marketplace, with a searchable directory available via Find an Azure Partner.
Microsoft also describes partner categories that include technology partners (ready-made solutions built on Azure), service partners (design, build, install, and manage customized Azure solutions), and marketplace partners (software available via Azure Marketplace and Microsoft AppSource).
Microsoft has a global network of 15,000 technical certified partners, including ISVs, system integrators, MSSPs, and licensing specialists, recognized through the Microsoft Partner Network based on technical capabilities with silver and gold competencies.
In Canada, Microsoft cites a network of over 15,000 Canadian partners and states that its partner ecosystem includes Canadian companies of all forms and sizes.
For local skilled labor, Microsoft states that employee profiles include broad experience levels across technology, spanning areas such as data science, software development lifecycle, programming, industry, consulting, and program governance across Microsoft products.
Microsoft requires employees and third-party suppliers to complete mandatory security/privacy awareness training upon hire, annually thereafter, and when significant system or policy changes occur, with completion required before accessing Microsoft systems or performing assigned duties, and role-based security training provided through the STRIKE program for engineering personnel.
Microsoft provides ongoing learning, training, and development opportunities, including internal training via Viva Learning, access to LinkedIn Learning, self-paced learning options and MS Library resources, and broader skills development resources such as Microsoft Learn.
As of June 30, 2025, Microsoft employed approximately 228,000 people on a full-time basis, including 125,000 in the U.S. and 103,000 internationally.</t>
  </si>
  <si>
    <t>Microsoft demonstrates executive engagement through a governance framework with Daily Mail &amp; General Trust (DMG) that includes Quarterly "Heads Of" Business Reviews (QBRs) to evaluate progress and align on strategic priorities, a quarterly Governance Steering Committee (GSC) with equal senior leadership representation to set strategic direction and resolve escalations, and biannual executive sponsor meetings to champion the partnership and guide strategic alignment.
Microsoft provides named account team coverage through an Account Team Unit and Customer Success Unit, supported by a Specialist Team Unit that provides deep technical expertise. The strategic accounts program also includes dedicated roles such as Account Executive, Account Technology Strategist, Azure Specialist, and Customer Success Account Managers to provide insights and guidance, with the account team aligning to customers' goals using deep industry knowledge.</t>
  </si>
  <si>
    <t>Microsoft aligns its internal teams' skills closely with provider certifications, operating models, and the tooling ecosystem, ensuring consistent, secure, and well governed delivery of cloud services.
Skills, Training, and Certification Alignment
•  Microsoft enforces mandatory, role based training for all employees, including security, privacy, and compliance training upon hire, at least annually, and following material policy or system changes. Completion is required before system access is granted.
•  Engineering and operations roles undergo additional role specific security training prior to assuming responsibilities, with training completion tracked and governed through Microsoft's internal learning management systems.
•  Continuous professional development is embedded into Microsoft's operating culture through structured learning pathways, including Microsoft Learn, Viva Learning, LinkedIn Learning, and training delivered by Microsoft Certified Trainers and partners.
•  Skills validation is supported through Microsoft role based certifications, aligned to cloud architecture, security, DevOps, data, and application platforms.
Operational Model Alignment
•  Microsoft's operating model guidance emphasises leadership alignment, product centric delivery, and shared accountability across development, operations, security, and governance.
•  Teams operate using modern cloud and DevOps practices, shifting from project based to product based models with cross functional ownership of build, run, and security responsibilities.
•  Service operations align with recognised standards, including ITIL based practices, and are governed under certified management systems such as ISO/IEC 27001 and ISO/IEC 20000 1.
Tooling Ecosystem Alignment
•  Microsoft's internal delivery and operations teams use the same tooling ecosystem recommended to customers, including: 
o  Visual Studio Code for development
o  GitHub and Azure DevOps for source control and CI/CD
o  Azure for hosting, monitoring, and operations
o  Azure Arc for policy, governance, and hybrid management
•  Microsoft acts as a "customer zero" for its tooling platforms, applying lessons learned and best practice blueprints directly to customer guidance and reference implementations.
Summary
Microsoft ensures strong alignment between internal team skills, certifications, operating models, and tooling, supported by mandatory training, continuous skills development, certified operational practices, and first party use of its own cloud and DevOps ecosystem. This alignment provides customers such as DMG with confidence in consistent, secure, and mature service delivery.</t>
  </si>
  <si>
    <t>DMG demonstrates a strong and credible ability to enforce a new operating model and materially reduce shadow IT across all hypervisors through standardised platforms, policy‑driven governance, and centralised oversight. This approach ensures consistent enforcement rather than reliance on manual controls or local team discipline.
Operating Model Enforcement
DMG enforces a standardised operating model and baseline configuration across environments, ensuring consistency in identity, networking, security, and management regardless of underlying hypervisor.
Baselines are formally defined, versioned, and governed through a controlled lifecycle that includes:
Definition and approval of standards
Implementation via approved deployment mechanisms
Continuous compliance scanning and configuration assessment
Centralised reporting and governance review
Remediation, optimisation, and controlled evolution of standards
This lifecycle ensures that configuration drift and non‑standard deployments are systematically identified and addressed, rather than tolerated or discovered retrospectively.
Policy‑Driven Governance and Control
The operating model is enforced using policy‑as‑code and role‑based access controls, ensuring that workloads must meet approved standards before they can be deployed or modified.
Preventative guardrails are applied to control:
Where workloads can be deployed
Which services, configurations, and architectures are permitted
Who can provision, modify, or administer resources
This shifts governance from reactive review to proactive enforcement, significantly reducing the opportunity for shadow IT to emerge across hypervisors.
Reduction of Shadow IT
Centralised identity, access management, logging, and monitoring provides end‑to‑end visibility of provisioning and operational activity across environments.
Standard landing zones, deployment templates, and approved service patterns make compliant deployment the fastest and easiest path, removing the incentive for teams to bypass governance.
Where exceptions are required, they are managed through formal, auditable approval processes, ensuring transparency and preventing the creation of unmanaged or informal platforms.
Cross‑Hypervisor and Hybrid Consistency
DMG applies consistent security hardening standards and governance principles across hypervisors, enabling parity of control in hybrid and multi‑platform environments.
Centralised management and monitoring capabilities provide uniform visibility and oversight, reducing fragmentation, operational risk, and configuration divergence.
This enables a single, coherent operating model even where legacy platforms or multiple hypervisors remain in use.
Summary
DMG is well positioned to enforce a new operating model and significantly reduce shadow IT across hypervisors through standardised baselines, policy‑driven enforcement, centralised visibility, and controlled exception handling. This approach balances strong governance with operational agility, enabling teams to deliver at pace while remaining fully aligned to security, compliance, and architectural guardrails.</t>
  </si>
  <si>
    <t>Microsoft's sustainability commitments include becoming carbon negative, water positive, zero waste, and protecting ecosystems by 2030, and these commitments are rooted in science.
Microsoft maintains an approved near-term science-based target aligned with a 1.5° Celsius pathway and the Paris Agreement, and the target and methodology have been validated by the Science Based Targets initiative (SBTi).
Microsoft continues to work with SBTi and maintains a near-term SBTi-validated target that is aligned with the Paris Agreement.</t>
  </si>
  <si>
    <t>Microsoft provides native workload-level carbon reporting for Azure. Carbon optimization in Azure enables organisations to measure and analyse emissions across Azure resources using dimensions such as subscription, resource group, resource, resource type, and location, giving visibility at workload level rather than only at total-estate level. Microsoft also states that Carbon optimization is available at no cost for Azure customers. (Reference: https://learn.microsoft.com/en-us/azure/carbon-optimization/overview , https://learn.microsoft.com/en-us/azure/carbon-optimization/view-emissions ).
This capability is designed for operational reporting and optimisation. Microsoft states that Carbon optimization tracks emissions for all Azure resource types based on billing and usage, supports filtering across workload-relevant dimensions, and allows emissions data export to CSV for downstream analysis or reporting.
For enterprise sustainability reporting beyond Azure workloads, Microsoft Sustainability Manager provides broader emissions dashboards and analytics. Microsoft states that its Executive dashboard provides an overview of total emissions, revenue intensity, and renewable energy by scope, geography, organisational unit, and facility, while the Emissions insights dashboard supports trend and category analysis across emissions data. This makes it suitable for combining workload-level cloud emissions data with wider ESG reporting needs. (Reference: https://learn.microsoft.com/en-us/industry/sustainability/sustainability-manager-overview ).</t>
  </si>
  <si>
    <t>Microsoft announced in February 2026 that it reached its goal to match 100% of annual global electricity consumption with renewable energy by 2025 through Power Purchase Agreements (PPAs) and other long-term agreements for green energy covering electricity consumed by all datacenters, buildings, and campuses.
By region, FY23 electricity consumption (MWh) was matched by FY23 renewable electricity purchased (MWh) for the following regions:
• Asia: 3,580,261 consumed and 3,580,261 renewable purchased.
• Europe, Middle East, Africa: 5,730,263 consumed and 5,730,263 renewable purchased.
• Latin America: 481,758 consumed and 481,758 renewable purchased.
• North America: 13,775,220 consumed and 13,775,220 renewable purchased.
• Total: 23,567,502 consumed and 23,567,502 renewable purchased.</t>
  </si>
  <si>
    <t>Microsoft provides strong support for porting existing enterprise licenses without financial, contractual, or operational penalty, enabling customers to maximise the value of their current investments while transitioning to Azure.
Enterprise Agreement and License Portability
•  Microsoft supports the continued use of existing Enterprise Agreement (EA) and volume licensing investments where eligible, avoiding the need for license repurchase or duplication.
•  Licensing options are flexible and can be aligned to the customer's existing commercial constructs, enabling a smooth transition with no forced commercial reset.
Bring Your Own License (BYOL) Capabilities
•  Azure Virtual Machines fully support Bring Your Own License (BYOL) models, including: 
o  Azure Hybrid Benefit for Windows Server
o  Azure Hybrid Benefit for SQL Server
o  Marketplace BYOL offerings
•  These options allow customers to reuse eligible on premises licenses in Azure, significantly reducing or eliminating additional licensing costs.
SQL Server License Flexibility
•  For SQL Server running on Azure Virtual Machines, license models can be switched dynamically (e.g. PAYG to BYOL, or vice versa) with: 
o  No downtime
o  No restart of the virtual machine
o  No restart of the SQL Server service
o  No additional cost
•  Changes take effect immediately, allowing customers to optimise licensing decisions without operational disruption.
No Penalty, No Lock In
•  There are no financial penalties associated with porting eligible licenses to Azure.
•  There is no technical lock in introduced by the licensing model, enabling customers to maintain commercial and architectural flexibility over time.
•  This approach supports phased migration, hybrid operating models, and ongoing optimisation without licensing constraints.
Summary
Microsoft demonstrates a strong ability to support the porting of existing enterprise licenses without penalty through Azure Hybrid Benefit, BYOL support, and flexible Enterprise Agreement alignment. Customers retain full value from existing investments while benefiting from Azure's operational and commercial flexibility, with no service disruption or additional licensing overhead.</t>
  </si>
  <si>
    <t>Microsoft offers several cost-optimization advantages for hybrid/on-premises integrated usage, including:
• Azure Hybrid Benefit, which allows reuse of eligible on-premises Windows Server and SQL Server licenses in Azure to reduce licensing costs, including up to 40% savings on Azure Virtual Machines and up to 55% on Azure SQL Database and SQL Server on Azure Virtual Machines, increasing to up to 80% when combined with Azure Reserved Instances.
• Extended Security Updates (ESUs) at no additional cost for workloads migrated to Azure, helping extend the life of legacy systems securely.
• Azure Reservations and Savings Plans for predictable workloads, providing discounts over pay-as-you-go pricing, including reservations with discounts up to 72%.
• Spot virtual machines for interruptible workloads, enabling deep discounts for suitable scenarios such as batch processing and dev/test environments.
• Azure Dev/Test pricing with discounted rates for development and testing, including Microsoft software charges on Azure Virtual Machines and special dev/test pricing on other services.
• Azure Cost Management and Billing for monitoring, budgeting, and optimizing cloud spend to help avoid overprovisioning and identify cost-saving opportunities.
• Native connectors and third-party integrations supporting interoperability across Azure, AWS, GCP, and on-premises, helping maintain centralized visibility and control across hybrid and multicloud environments.</t>
  </si>
  <si>
    <t>Microsoft fully supports the procurement of third party software through Azure Marketplace to meet enterprise compliance requirements, providing a controlled, auditable, and policy enforced procurement model aligned to security, legal, and financial governance standards.
Marketplace Based Procurement and Compliance
•  Azure Marketplace provides a fully managed, enterprise grade marketplace for procuring approved third party software without the need for separate procurement channels.
•  Marketplace purchases are: 
o  Transacted directly through Microsoft
o  Included on a single, consolidated monthly Microsoft invoice alongside Azure consumption
o  Governed by standardised legal terms and publisher certification requirements
•  This model simplifies compliance, vendor management, and financial oversight for enterprise customers.
Governance, Control, and Policy Enforcement
•  Procurement and usage of third party software can be governed using: 
o  Private Azure Marketplace, allowing organisations to restrict which third party solutions are visible and purchasable
o  Role Based Access Control (RBAC) to control who can procure or deploy marketplace solutions
o  Azure Policy to enforce where and how marketplace solutions can be deployed
•  These controls ensure that third party software usage aligns with organisational security, compliance, and architectural standards.
Visibility, Auditability, and Cost Management
•  Marketplace activity is fully auditable using: 
o  Azure Activity Logs
o  Microsoft Cost Management + Billing
o  Consumption and usage visibility through standard Azure consumption APIs
•  This provides procurement, legal, security, and finance teams with end to end transparency of third party software usage and spend.
Enterprise Risk and Compliance Assurance
•  Marketplace publishers are subject to Microsoft onboarding and certification requirements, supporting assurance around: 
o  Security posture and vulnerability management
o  Licensing clarity and consolidation
o  Accessibility and regulatory considerations
•  This significantly reduces procurement risk compared to unmanaged or ad hoc third party software adoption.
Summary
Microsoft enables compliant third party software procurement through Azure Marketplace by providing a centrally governed, auditable, and policy controlled procurement channel. This approach meets enterprise compliance requirements while simplifying procurement operations, ensuring visibility, and enforcing consistent governance across third party software usage.</t>
  </si>
  <si>
    <t>Microsoft supports native CI/CD and DevOps pipeline integration across GitHub, GitHub Actions, and Azure DevOps.
• GitHub + GitHub Actions: GitHub provides CI/CD via GitHub Actions, along with version control and build/release pipeline capabilities as part of the broader GitHub platform.
• Azure DevOps (Azure Repos + Azure Pipelines): Azure DevOps provides native CI/CD via Azure Pipelines and source control via Azure Repos (Git or TFVC), with additional services including Azure Boards, Azure Test Plans, and Azure Artifacts.
• Enterprise workflow alignment: Pull request workflows, branch-based deployments, automated testing, and automated promotion across dev/test/prod are supported through GitHub Actions and Azure Pipelines capabilities, including parallel job execution on Microsoft-hosted or self-hosted agents.
Microsoft Fabric supports workspace-level Git integration with GitHub for version control of Fabric items (for example, notebooks, lakehouses, pipelines), and GitHub Actions can trigger deployment pipelines and REST APIs to automate promotion across dev, test, and prod environments.
For Power Apps and the Power Platform, source control and ALM workflows integrate with GitHub and Azure DevOps, including pipeline composition via Microsoft Power Platform Build Tools tasks in Azure DevOps.
Power Apps, Power Automate, Power Pages, and Copilot Studio offer a native experience for synchronizing Power Platform solutions with source control via Azure DevOps repositories, with native pipelines and Git integration. https://learn.microsoft.com/en-us/power-platform/alm/git-integration/overview
For Azure Landing Zones and broader enterprise DevOps standardization, Microsoft provides reference guidance for a full-stack Azure DevOps toolchain and an Azure DevOps and GitHub toolchain spanning planning, CI/CD, operations, and collaboration.
Supporting Links
GitHub Actions documentation and overview. https://docs.github.com/actions
Azure Pipelines overview. https://learn.microsoft.com/en-us/azure/devops/pipelines/get-started/what-is-azure-pipelines?view=azure-devops
Fabric Git integration overview, including preview warning for some items. https://learn.microsoft.com/en-us/fabric/cicd/git-integration/intro-to-git-integration
Fabric lakehouse Git integration and deployment pipeline behaviour, metadata only and does not overwrite data. https://learn.microsoft.com/en-us/fabric/data-engineering/lakehouse-git-deployment-pipelines
Dataverse Git integration overview, including CI/CD workflow guidance. https://learn.microsoft.com/en-us/power-platform/alm/git-integration/overview
Power Platform native source code integration release plan item. https://learn.microsoft.com/en-us/power-platform/release-plan/2024wave2/power-apps/connect-environment-source-control</t>
  </si>
  <si>
    <t>Microsoft provides a mature, enterprise‑grade Infrastructure as Code (IaC) ecosystem, combining deeply integrated native tooling with first‑class support for industry‑standard third‑party frameworks, enabling consistent, repeatable, and scalable infrastructure deployment across cloud, hybrid, and multicloud environments.
Azure’s native IaC foundation is built on Azure Resource Manager (ARM), which provides a declarative, idempotent control plane for all Azure resources. IaC definitions can be authored using ARM templates or Bicep, a domain‑specific language designed to simplify and modularise infrastructure definitions while maintaining full ARM compatibility. These templates support version control, parameterisation, policy enforcement, and seamless integration into CI/CD pipelines, enabling consistent environment provisioning and drift‑free deployments.
Infrastructure provisioning and automation are further supported through Azure CLI, Azure PowerShell, and REST APIs, enabling both imperative and declarative workflows and supporting automation across development, testing, and production environments.
Azure maintains first‑class support for third‑party IaC tooling, including Terraform, Pulumi, and Ansible, with official provider support and deep integration into the Azure platform. Terraform is widely adopted for Azure deployments and is fully supported using both the AzureRM and AzAPI providers, enabling coverage of new and advanced Azure capabilities. This allows customers to adopt Azure‑native IaC, industry‑standard tooling, or a hybrid approach aligned to organisational standards.
Azure DevOps and GitHub Actions provide enterprise CI/CD capabilities with native support for IaC pipelines, enabling infrastructure deployment, validation, and promotion through environments using ARM, Bicep, Terraform, or scripting tools. Azure DevOps supports repository management, pipeline orchestration, artefact management, and policy‑driven approvals, while remaining interoperable with external CI/CD platforms such as Jenkins.
For hybrid and multicloud scenarios, Azure Arc extends Azure’s control plane and IaC model beyond Azure, enabling declarative provisioning and governance of servers, Kubernetes clusters, and services across on‑premises and other cloud environments using ARM, Bicep, Terraform, and scripted automation. This supports consistent deployment and governance regardless of workload location.
Microsoft also provides IaC support across platform and service‑specific domains. Examples include identity governance managed declaratively through Terraform integrations, enabling scalable and secure access control models, and platform services such as Microsoft Fabric, which provide REST APIs and Terraform‑based automation to support environment provisioning, workspace management, and controlled deployment promotion via CI/CD.</t>
  </si>
  <si>
    <t>Microsoft supports SaaS, PaaS, and IaaS deployment models within Azure, while explicitly enabling PaaS‑first and serverless architectures intended to reduce infrastructure management overhead, improve scalability, and accelerate application delivery. IaaS deployment options remain available for specialised or legacy requirements, but Azure platform services are designed to minimise the need for VM‑centric operating models in modern application and data architectures.
Azure App Service provides a Platform‑as‑a‑Service (PaaS) hosting environment for web applications and APIs in which Azure manages the underlying operating system and application stack. Customers manage only their application code and data, while OS patching and runtime updates are applied automatically by the platform.
For serverless compute, Azure Functions supports event‑driven execution and automatically scales resources by adding or removing instances based on the number of triggering events in Consumption, Flex Consumption, and Premium hosting plans. In the Consumption plan, instances can scale down to zero when idle, while Premium plans provide pre‑warmed instances to mitigate cold start latency where required.
Azure Container Apps provides fully managed hosting for containerised applications and supports automatic horizontal scaling through declarative rules. Scaling behaviour is powered by Kubernetes Event‑Driven Autoscaling (KEDA), enabling applications to scale based on HTTP traffic, queue messages, or other event sources. Container Apps can scale to zero replicas when idle, reducing compute consumption for event‑driven workloads. 
For API‑centric architectures, Azure API Management offers a Consumption tier that scales automatically with traffic without requiring manual configuration or capacity planning.
For data engineering and analytics workloads, Microsoft Fabric provides Autoscale Billing for Spark, enabling Apache Spark jobs to run on dedicated serverless resources that scale independently and are billed on a pay‑as‑you‑go basis without consuming provisioned Fabric capacity. 
Across these services, Azure provides managed, event‑driven, and autoscaling runtime environments that support application delivery without requiring infrastructure provisioning or cluster management. Where lower‑level control is required, Azure continues to support IaaS deployment models, but these are not mandated for modern application or data platforms.</t>
  </si>
  <si>
    <t>Microsoft solutions are designed to enable rapid deployment of Minimum Viable Product (MVP) workloads, with the majority of MVP implementations deployable in days rather than weeks, depending on the workload scope and data dependencies.
MVP Deployment Timeframes
•  Many MVP workloads can be deployed same day or within a few days, particularly where standard configurations and out of the box capabilities are utilised.
•  Examples include: 
o  Defender External Attack Surface Management (EASM) can be deployed in under 10 minutes, with a personalised attack surface inventory available within 24–48 hours.
o  For most cloud native services, initial configuration and enablement can be completed within minutes to hours, enabling rapid validation of functionality and value.
•  These MVP deployments focus on proving capability, integrating with core services, and validating outcomes—without waiting for full enterprise hardening or large scale data migration.
MVP vs Full Implementation
•  While MVP workloads are typically delivered in days, full production implementations may extend into weeks where additional requirements apply, such as: 
o  Complex integrations
o  Historical data imports
o  Formal governance, resilience, and compliance hardening
•  For example: 
o  A full enterprise implementation may take 8–12 weeks, depending on scope.
o  Scenarios involving significant historical data loads or domain specific solutions may extend further based on data volume and external dependencies.
•  These timelines do not prevent early MVP deployment and value realisation.
Migration Context
•  Large scale migrations are treated separately from MVP delivery.
•  Migration programmes are typically executed in phases, with MVP workloads deployed early to accelerate learning and value, while broader migrations may be planned over longer time horizons.
Summary
Microsoft enables rapid MVP deployment, with most MVP workloads deployable in days rather than weeks using standardised, cloud native services and pre configured capabilities. This allows customers to validate outcomes quickly, demonstrate value early, and iterate toward full production implementations without delay.</t>
  </si>
  <si>
    <t xml:space="preserve">Microsoft provides integrated cloud-native AI development tooling that supports AI-assisted coding, enterprise governance, and deployment to Azure.
For AI-assisted development in the IDE, GitHub Copilot provides cloud agent (autonomously works in your repo), agent mode (autonomous edits), code suggestions and chat-based assistance and is integrated into common developer environments including Visual Studio Code and Visual Studio. For enterprise governance, administrators can manage Copilot feature availability and policies for Copilot Business and Enterprise plans, and GitHub states that it does not use Copilot Business or Enterprise customer data to train AI models.
Github Copilot now supports the latest, most advanced models such as Claude Opus 4.6 and Codex 5.4, beating all benchmarks in coding capabilities. It is also surfaced through common 3P IDEs such as JetBrains, Eclipse, Vim/Neovim.
For cloud-native scaffolding and repeatable delivery, Azure Developer CLI templates are standard code repositories that include application code plus infrastructure definitions, enabling developers to provision Azure resources, deploy applications, and configure CI/CD workflows.
For AI application development, Microsoft Foundry provides a unified environment for building AI apps and agents. This includes Foundry Tools for prebuilt AI APIs, Foundry Models for managed model deployments, and Foundry Agent Service for deploying and scaling managed agents, alongside evaluation and monitoring capabilities needed for production GenAI operations.
Supporting Links 
About Github Copilot Cloud Agent: https://docs.github.com/en/copilot/concepts/agents/coding-agent/about-coding-agent
Agent mode 101: https://github.blog/ai-and-ml/github-copilot/agent-mode-101-all-about-github-copilots-powerful-mode/
GitHub Copilot code suggestions in IDEs. https://docs.github.com/copilot/using-github-copilot/getting-code-suggestions-in-your-ide-with-github-copilot
GitHub Copilot in Visual Studio Code (capabilities overview). https://code.visualstudio.com/docs/copilot/overview
Copilot policy and feature controls for organisations. https://docs.github.com/copilot/managing-github-copilot-in-your-organization/managing-policies-and-features-for-copilot-in-your-organization
Copilot Trust Center statement on Business and Enterprise training data. https://copilot.github.trust.page/faq
Azure Developer CLI templates overview and quickstart. https://learn.microsoft.com/en-us/azure/developer/azure-developer-cli/azd-templates
Microsoft Foundry documentation entry point. https://learn.microsoft.com/en-us/azure/foundry/
Foundry Tools positioning. https://azure.microsoft.com/en-gb/products/ai-foundry/tools
Foundry Agent Service overview. https://learn.microsoft.com/en-us/azure/foundry/agents/overview
</t>
  </si>
  <si>
    <r>
      <rPr>
        <b/>
        <sz val="11"/>
        <color theme="1"/>
        <rFont val="Aptos Narrow"/>
        <family val="2"/>
      </rPr>
      <t xml:space="preserve">• </t>
    </r>
    <r>
      <rPr>
        <sz val="11"/>
        <color theme="1"/>
        <rFont val="Calibri"/>
        <family val="2"/>
        <scheme val="minor"/>
      </rPr>
      <t xml:space="preserve">Microsoft online services provide a financially backed monthly uptime SLA (99.9% standard; Microsoft Teams 99.99% per published SLA) 
</t>
    </r>
    <r>
      <rPr>
        <b/>
        <sz val="11"/>
        <color theme="1"/>
        <rFont val="Calibri"/>
        <family val="2"/>
        <scheme val="minor"/>
      </rPr>
      <t xml:space="preserve">• </t>
    </r>
    <r>
      <rPr>
        <sz val="11"/>
        <color theme="1"/>
        <rFont val="Calibri"/>
        <family val="2"/>
        <scheme val="minor"/>
      </rPr>
      <t>SLA terms and applicable credits are defined in the standard SLA and can be contractually aligned during negotiation</t>
    </r>
  </si>
  <si>
    <t>Microsoft cloud services back SLAs with service credits as financial risk mitigation when uptime falls below SLA thresholds
Credit tiers are defined in the SLA (graduated credits at 99.9%/99%/95% monthly uptime levels) and are claimable per SLA conditions</t>
  </si>
  <si>
    <t>Azure Site Recovery supports customer-defined RPO/RTO via replication policies and recovery plans, including automated failover/failback orchestration 
Microsoft online services are engineered for regional resiliency (active/active or better, zone/datacenter fault tolerance with intelligent routing/failover)</t>
  </si>
  <si>
    <t>Microsoft 365 planned maintenance communications are delivered via the Microsoft 365 admin center (Message center / Service health), including advance notice for impactful changes
Azure planned maintenance notifications are delivered through Azure Service Health with configurable alerting channels (email/SMS/webhooks via Activity Log Alerts) 
Most Azure platform updates avoid VM impact; when reboot-required events occur, customers typically receive advance notice and a scheduling window</t>
  </si>
  <si>
    <t>Microsoft Entra ID can act as the identity control plane with policy-driven access (Conditional Access) and operational monitoring 
Azure DNS and/or Azure Front Door provide resilient name resolution and global ingress with health probing and failover routing to reduce edge single points of failure
Azure control-plane events primarily affect management operations (deploy/scale/modify), while data-plane continuity is designed separately; mitigation uses runbooks/pre-provisioning where needed</t>
  </si>
  <si>
    <t xml:space="preserve">Azure Storage always maintains multiple copies of customer data to protect against planned and unplanned events such as hardware failures, network outages, or regional disasters. Zone‑redundant storage (ZRS) replicates data synchronously across three or more availability zones within a region, offering durability of at least 99.9999999999% (12 nines) over a given year. 
For protection against large‑scale regional failures, geo‑redundant storage (GRS) and geo‑zone‑redundant storage (GZRS) replicate data asynchronously to a geographically distant secondary region, with GZRS providing durability of at least 99.99999999999999% (16 nines) annually
Availability zones themselves consist of physically separate datacentres with independent power, cooling, and networking infrastructure, allowing services to continue operating in unaffected zones during outages and enabling automatic failover where zone‑redundant deployments are configured. 
At the SaaS layer, Dynamics 365 production environments are replicated across at least two availability zones within a geography, with automated detection of zone‑level failures and near‑zero recovery point objective (RPO) and recovery time objective (RTO) of less than five minutes through synchronous replication. 
Similarly, Microsoft Fabric uses zone‑redundant storage where available to synchronously copy data across three availability zones, with cross‑region replication optionally enabled to duplicate data across geographic regions for disaster recovery. </t>
  </si>
  <si>
    <t>Azure has integrated backup platform, configurable recovery policies, and support for geographically redundant storage designed to ensure recoverability and data availability during infrastructure or regional failures.
Azure Backup is a built‑in service that provides protection for both cloud and on‑premises workloads, with native integration across Azure virtual machines, databases, storage accounts, Azure Kubernetes Service, and hybrid environments. Backup policies define configuration such as backup schedules and retention periods, enabling organisations to tailor recovery objectives to workload‑specific availability requirements.
For Azure virtual machines, backup policies can support multiple backups per day, with schedules configured as frequently as every four hours, providing a minimum recovery point objective (RPO) of four hours. Retention policies can be configured across daily, weekly, monthly, and yearly backup points, with long‑term retention supported for up to 10 years.
Azure Blob Storage supports both operational and vaulted backup models. Operational backup enables retention of restore data for up to 360 days, while vaulted backup provides managed offsite protection with configurable retention of recovery points for up to 10 years.
Backup vaults automatically replicate stored recovery points, and resilience is determined by the selected storage redundancy level. Zone‑redundant storage replicates backup data synchronously across multiple availability zones, while geo‑redundant storage replicates backup copies to a paired Azure region to support restoration during regional outages. Cross‑region restore capabilities enable backup data replicated to the secondary region to be restored at any time for supported workloads. 
Azure Backup also includes built‑in safeguards such as soft delete, which allows recovery of deleted backup data within a configurable retention period, and immutable vault support using write‑once‑read‑many (WORM) storage to prevent malicious or accidental deletion of recovery points</t>
  </si>
  <si>
    <t>Azure publishes incident transparency through Azure Status History (including PIRs retained for 5 years) enabling independent review by service/region/date
Azure Service Health “Health history” provides subscription/tenant-scoped historical events (service issues, maintenance, advisories, security notices) for impacted resources 
Microsoft 365 service incidents and history are available via Service health in the Microsoft 365 admin center for tenant-level visibility</t>
  </si>
  <si>
    <t>Azure’s global region footprint enables deployment into existing regions without customer hardware build-out
Repeatable regional rollouts are supported via Infrastructure-as-Code patterns and standardized landing zones
Regulatory lead time can be reduced where regions provide pre-aligned compliance capabilities; customer governance/validation often drives timelines</t>
  </si>
  <si>
    <t>Azure has a multi‑tiered storage architecture and automated lifecycle management capabilities designed to support long‑term TB‑ to PB‑scale data expansion.
Azure Blob Storage provides multiple access tiers including Hot, Cool, Cold, and Archive tiers, enabling organisations to store data in the most cost‑effective manner based on access frequency and retention requirements. Minimum storage durations are defined at 30 days for Cool, 90 days for Cold, and 180 days for Archive tiers.
Storage capacity limits are configured at the storage account level rather than per‑tier, allowing data to grow across access tiers without requiring architectural reconfiguration as volumes increase. 
Azure Blob lifecycle management enables rule‑based policies that automatically transition data to cooler storage tiers or delete data at the end of its lifecycle based on creation time, modification time, or last access time. Lifecycle policies can be applied across entire storage accounts or targeted datasets, allowing cost‑optimised storage management to scale alongside growing data volumes. 
For application workloads such as Dynamics 365 Finance and Operations, custom retention policies support long‑term archival of historical data to Dataverse long‑term retention with no limit on active data, enabling organisations to securely retain historical data for compliance while reducing live application database capacity requirements</t>
  </si>
  <si>
    <t>Azure applies default quotas at subscription/region level as governance and capacity controls and supports quota increases for enterprise growth
Multi-year scaling is supported via proactive quota engagement, capacity reservations, autoscaling, and capacity planning tooling 
Some regional/SKU capacity constraints can apply (e.g., specialized VM families), requiring advance planning rather than relying on on-demand allocation</t>
  </si>
  <si>
    <t>Compliance evidence is available through the Microsoft Service Trust Portal (ISO 27001, SOC 1/2/3 and additional attestations across Azure/Microsoft 365/Dynamics/Power Platform) 
PCI DSS 4.0 Service Provider Level 1 compliance is supported for Azure and key Microsoft 365 services, with AOC reports accessible via STP
Regulatory frameworks (e.g., GDPR, HIPAA with BAAs, CCPA obligations in Online Services Terms) are supported through contractual terms and audited controls</t>
  </si>
  <si>
    <t>Azure has the ability to provide both integrated HSM‑backed encryption services and dedicated, customer‑controlled hardware security module environments.
Azure Key Vault Managed HSM delivers a single‑tenant, fully managed HSM service, using FIPS 140‑3 Level 3 validated hardware to safeguard cryptographic keys for Azure workloads. This enables enterprise customers to retain full administrative control over key lifecycle, usage permissions, and access governance while meeting stringent security and compliance requirements. 
For scenarios requiring greater administrative separation, Azure Cloud HSM provides a customer‑dedicated HSM cluster with complete administrative authority over the hardware security module, delivered as a FIPS 140‑3 Level 3 validated single‑tenant service. This enables customers to securely manage cryptographic keys and perform cryptographic operations within their own dedicated HSM environment
Azure also supports Bring Your Own Key (BYOK) models, allowing keys generated within an on‑premises customer‑controlled HSM to be imported into Azure Managed HSM while remaining within an HSM protection boundary throughout the transfer and import process. Keys generated or imported into Managed HSM are non‑exportable by default, ensuring that no clear version of the key exists outside the hardware boundary.
Taken together, Azure’s support for customer‑managed keys, HSM‑backed protection, BYOK import from external HSMs, and customer‑dedicated HSM clusters provides comprehensive enterprise key ownership and lifecycle control without reliance on third‑party key management platforms.</t>
  </si>
  <si>
    <t>Azure provides GPU VM families and HPC/AI interconnect options designed for distributed training and tightly coupled workloads (e.g., InfiniBand/RDMA-capable SKUs) 
Current-generation GPU offerings include high-bandwidth intra-node GPU interconnect and high-throughput scale-out networking for multi-VM training
Availability can be region/quota dependent for specialized GPU SKUs, requiring capacity planning for target geographies and scale
Coverage depends on selected service tier/region and customer configuration (e.g., SKU availability, quota approvals, reservation strategy)</t>
  </si>
  <si>
    <t>Azure guidance recommends sizing IOPS/throughput based on measured baselines under peak conditions, then selecting VM+disk combos to meet requirements
Azure enforces performance limits at both VM and disk layers; Premium SSD v2/Ultra Disk options enable high IOPS/throughput configurations 
Example VM families provide scaled storage performance ranges suitable for database/analytics workloads; final sizing is workload-dependent</t>
  </si>
  <si>
    <t>Private backbone options include VNet peering, Private Endpoints (private IP to PaaS), and ExpressRoute for dedicated private connectivity
Hub-and-spoke with gateway transit supports centralised routing through shared services (e.g., firewalls/NVAs) on Microsoft’s backbone
Routing Preference provides control over internet-bound path selection (Microsoft Global Network vs ISP transit) for egress characteristics/cost</t>
  </si>
  <si>
    <t>Microsoft Fabric unifies Data Factory (ingestion/ETL), lakehouse/warehouse engines, and Power BI on a shared SaaS platform with OneLake as the logical lake 
Direct Lake enables Power BI semantic models to query Delta tables in OneLake without separate import pipelines 
Mirroring and OneLake shortcuts reduce ETL duplication by enabling near-real-time replication or logical pointers to external data locations</t>
  </si>
  <si>
    <t>Microsoft Foundry Tools provide prebuilt AI APIs (Speech/Language/Vision/Document Intelligence/Content Safety) as managed endpoints without customer-hosted inference infrastructure 
Foundry Models support managed foundation model deployments with selectable processing scope (global/data zone/regional) and throughput models 
Azure Machine Learning supports MLOps (pipelines, registry/versioning, lineage, monitoring, CI/CD integration) for custom model lifecycle management.</t>
  </si>
  <si>
    <t>Fabric Real-Time Intelligence supports low-latency streaming via Eventstream (ingest/transform/route) and Eventhouse (KQL analytics store) 
Real-Time Dashboards support rapid refresh intervals (as low as 10 seconds) for live monitoring over in-motion data
Fabric Activator supports sub-second event detection and can trigger actions (Teams/email/Power Automate) based on defined conditions</t>
  </si>
  <si>
    <t>Microsoft Purview provides metadata cataloging and lineage via Data Map scanning and Unified Catalog across Azure/multicloud sources
Fabric lineage view provides workspace-level dependency tracing; Fabric-to-Purview integration surfaces Fabric metadata/lineage in Purview 
Purview Information Protection/DLP policies extend to Fabric/Power BI to enforce governance controls (labels, policy tips, alerts, restrictions)</t>
  </si>
  <si>
    <t>Microsoft publishes public, continuously updated product roadmaps (e.g., Azure Updates and Microsoft 365 Roadmap) for forward visibility and planning 
Structured customer influence mechanisms include advisory boards, previews, surveys, and formal feedback paths via account teams/FastTrack/engineering backlogs</t>
  </si>
  <si>
    <t>Microsoft provides incident communications through service health surfaces and supports structured RCA elements (what/why, scope/duration, mitigations, preventative actions)
Post-incident transparency is supported through published incident history/PIR mechanisms for Azure where applicable</t>
  </si>
  <si>
    <t>Azure Cost Management’s native capability to monitor and analyse consumption‑based spend continuously during the billing period, rather than relying solely on retrospective invoice data. Azure services emit measured usage into Microsoft’s commerce data pipeline on an ongoing basis, enabling organisations to track mid‑month spending trends and usage patterns through Cost Management dashboards and APIs. 
Within Cost Analysis, costs can be grouped and filtered by resource tags to provide workload‑, application‑, or business‑unit‑level cost attribution, supporting chargeback or showback models when consistent tagging is applied. Microsoft Cost Management also enables proactive governance through budgets, anomaly detection, and automated alerts, notifying teams when consumption reaches defined thresholds during the billing cycle.
Taken together, Azure provides native workload‑level cost visibility, tag‑based allocation, and proactive budget enforcement within the platform without requiring third‑party FinOps tooling, supporting enterprise‑scale financial governance across multi‑subscription environments.</t>
  </si>
  <si>
    <t>Microsoft Cost Management (with Azure Advisor integration) supports ongoing optimisation through recommendations (reservations, rightsizing, idle cleanup) and reporting 
Migration and operational cost modelling is supported through structured assessment and migration programs; timelines/costs remain workload-dependent 
Cost governance is supported via unified reporting, budgeting, and integration patterns (exports/Power BI) for multi-stakeholder visibility</t>
  </si>
  <si>
    <t>Azure supports pay-as-you-go consumption plus reserved/committed models (Reserved VM Instances, MACC) to align cost with predictability 
Azure Spot VMs enable deep discounts for interruptible workloads with customer-managed eviction/price constraints 
Enterprise commercial constructs (EA/MCA) can provide pricing protections and structured discounting mechanisms</t>
  </si>
  <si>
    <t>Azure publishes bandwidth/egress pricing by geography and routing option (Microsoft Global Network vs routing preference ISP transit) to support modelling 
First 100 GB/month of internet egress is included; broader egress costs depend on outbound volume/destination and inter-region transfers 
Additional services (ExpressRoute, Front Door/CDN, VPN, peering) are priced separately and must be included if used in the target architecture</t>
  </si>
  <si>
    <t>Delivery can proceed under existing commercial agreements (EA/MCA) without requiring new commitments as prerequisites 
Where MACC incentives apply, eligibility is governed by existing commitment terms and benefit-eligible services at time of purchase 
Account teams can optimise drawdown and phasing against existing commitments without forcing contractual restructuring</t>
  </si>
  <si>
    <t>Azure Migrate and Azure Database Migration tooling reduce upfront assessment/migration tooling cost while supporting discovery, dependency mapping, and tracking 
Azure Migration &amp; Modernization Program (AMMP) can fund eligible discovery/assessment and partner-led execution to offset one-time labour costs 
Data transfer and migration acceleration options (e.g., Azure Data Box, FastTrack for Azure) reduce risk and time-to-migrate without bespoke tooling</t>
  </si>
  <si>
    <t>Microsoft Cost Management + Azure Advisor provide native optimisation insights and recommendations without additional tooling cost 
APIs/exports and Power BI connectors support integration into external FinOps tooling and business processes if required 
Azure Data Lake Storage can centralise FinOps datasets for analytics in Fabric/ADX/Synapse/Databricks where broader reporting is needed</t>
  </si>
  <si>
    <t>Azure supports in-country data residency by allowing region selection for many services; regional services commit to storing/processing within the selected Geo 
UK regions include UK South (London) and UK West (Cardiff), enabling London-based deployment and regional resilience patterns</t>
  </si>
  <si>
    <t>Microsoft provides 24x7x365 enterprise support with a follow-the-sun model across a global delivery organization 
In-country or regionally aligned support models can be contractually scoped where mandated by regulatory/assurance requirements</t>
  </si>
  <si>
    <t>Data residency and transfer commitments are defined contractually (DPA/Product Terms), with controlled transfer circumstances and documented safeguards 
EU Data Boundary commitments and UK GDPR-aligned transfer mechanisms (e.g., SCCs) support regulated operating requirements 
Government access requests are handled via defined legal review/challenge processes and transparency reporting to limit over-broad disclosures</t>
  </si>
  <si>
    <t xml:space="preserve">
Dynamics 365 integrates with Microsoft Entra ID for user authentication, enabling centralised identity management, single sign‑on, and conditional access across ERP workloads and other Microsoft 365 services. This allows users to access enterprise applications using existing Microsoft 365 credentials within a unified identity system. 
Microsoft 365 can also be integrated with existing on‑premises Active Directory environments to synchronise user accounts and enable single sign‑on across cloud and on‑premises services. Within the Power Platform, Microsoft Entra ID acts as the identity provider for workload authentication and authorisation, supporting strict and auditable identity and access management across enterprise applications. 
Dataverse‑based applications such as Dynamics 365 authenticate through Microsoft Entra ID to access business data using industry‑standard protocols including OAuth 2.0. This enables consistent identity governance and secure access across ERP, low‑code, analytics, and productivity platforms. 
Taken together, Azure provides integrated alignment between ERP (Dynamics 365), productivity (Microsoft 365), and identity (Microsoft Entra ID) platforms within a single operational ecosystem, supporting enterprise‑wide authentication, authorisation, and collaboration without requiring third‑party identity or integration tooling.</t>
  </si>
  <si>
    <t>GitHub Actions and Azure DevOps (Azure Pipelines) support CI/CD workflows with YAML pipelines, approvals, and staged deployments 
Azure supports IaC execution via Bicep/ARM/Terraform from CI/CD pipelines for repeatable environment provisioning 
Cloud-native deployment targets include AKS, Azure Container Apps, Azure Functions, and Azure App Service for modern application delivery</t>
  </si>
  <si>
    <t xml:space="preserve">The native support of different application‑layer tools that Azyre showcases throught integrated capabilities across global content delivery, DNS, certificate lifecycle management, and web application firewall services.
Azure Front Door provides content caching and delivery, TLS termination, advanced routing, and integrated Web Application Firewall (WAF) capabilities at the global edge, enabling secure application delivery and Layer 7 load balancing within a single service. 
Azure DNS provides a globally distributed DNS hosting service for public and private zones, supporting traffic routing scenarios when combined with Azure application delivery services such as Front Door or Traffic Manager.
Azure Key Vault provides native management of X.509 certificates with automated lifecycle management capabilities, including integration with trusted certificate authorities and support for automatic renewal and expiration tracking. 
Azure Web Application Firewall (WAF), available on Azure Front Door and Application Gateway, provides centralized protection against common web exploits using automatically updated rule sets, supporting layered application‑level security within the Azure platform. 
</t>
  </si>
  <si>
    <t>Cloud Adoption Framework and Azure Architecture Center provide validated reference architectures for enterprise and regulated-industry patterns 
Microsoft supports audit readiness via independently audited certifications and evidence access through the Service Trust Portal 
Security/compliance mappings align to common frameworks (e.g., ISO/SOC/PCI) enabling inherited controls and repeatable assurance processes</t>
  </si>
  <si>
    <t>Microsoft’s partner ecosystem includes validated programs (e.g., Azure Expert MSP) and specializations for migration, modernization, and managed operations 
Azure Marketplace provides access to a broad ecosystem of software and service offerings with enterprise procurement models 
Microsoft’s internal training and certification pathways support delivery of Azure/M365/Dynamics/Power Platform solutions at scale</t>
  </si>
  <si>
    <t>Executive governance cadence (QBRs, steering committee, executive sponsor engagement) supports multi-year strategy alignment and escalation paths 
Named account team roles (AE/ATS/Azure Specialist/CSAM) provide aligned coverage across commercial, technical strategy, and delivery success</t>
  </si>
  <si>
    <t>Microsoft enforces mandatory security/privacy training and role-based skilling for delivery/operations roles, supporting consistent assurance practices 
Tooling alignment includes first-party use of GitHub/Azure DevOps/Azure/Azure Arc with patterns reusable in customer delivery 
Certified management systems and operational practices (e.g., ISO-aligned, ITIL-based operations) support mature delivery governance</t>
  </si>
  <si>
    <t>Cloud Readiness Assessment approach evaluates Day 0/1/2 readiness using structured checkpoints across architecture, security, automation, and operations 
Outputs include evidence-based gap analysis and a remediation plan defining which actions are Microsoft/partner-enabled vs customer-owned</t>
  </si>
  <si>
    <t>Policy-driven governance (policy-as-code, RBAC) supports preventative controls on where/how workloads are deployed to reduce non-standard provisioning 
Centralised identity/access/logging provides visibility to detect and remediate configuration drift and shadow IT behaviors 
Standard landing zones and approved templates make compliant deployments repeatable and auditable across environments/hypervisors</t>
  </si>
  <si>
    <t>Microsoft has stated commitments to become carbon negative, water positive, and zero waste by 2030 
Microsoft maintains a science-based target validated by SBTi aligned to a 1.5°C pathway and the Paris Agreement</t>
  </si>
  <si>
    <t>Azure Carbon Optimization provides workload-level emissions reporting by subscription/resource group/resource/type/location and supports export 
Microsoft Sustainability Manager supports broader enterprise ESG dashboards beyond Azure workloads (scopes/geographies/org units)</t>
  </si>
  <si>
    <t>Microsoft stated it matched 100% of annual global electricity consumption with renewable energy by 2025 via PPAs and long-term agreements 
Regional reporting includes EMEA renewable matching figures (consumption matched by renewable purchases) to evidence coverage in required operating regions</t>
  </si>
  <si>
    <t>Azure Hybrid Benefit supports license portability for Windows Server and SQL Server to Azure, reducing or avoiding repurchase costs 
SQL Server on Azure VMs supports switching licensing models without downtime/restarts, enabling ongoing optimisation without operational disruption 
Existing EA/volume licensing investments can be leveraged without forced commercial reset when eligible</t>
  </si>
  <si>
    <t>Azure Hybrid Benefit plus Reservations/Savings Plans provide material cost advantages for hybrid estates; ESUs can be included for workloads moved to Azure 
Azure Cost Management supports budgeting and optimisation to prevent overprovisioning and manage hybrid consumption over time 
Spot VMs and Dev/Test pricing enable further savings for suitable workload classes (interruptible, non-production</t>
  </si>
  <si>
    <t>Azure Marketplace supports enterprise procurement of third-party software via a consolidated Microsoft transaction and invoice model
Private Marketplace, RBAC, and Azure Policy enable governance on what can be purchased/deployed and where it can run
Activity Logs and Cost Management provide auditability and financial visibility of marketplace procurement and usage</t>
  </si>
  <si>
    <t>GitHub Actions and Azure DevOps provide native CI/CD integration options; both support enterprise release controls (approvals/gates) 
Microsoft Fabric provides workspace-level Git integration for source control of Fabric items and supports deployment automation patterns
Power Platform ALM integrates with GitHub and Azure DevOps using supported build tools and pipeline patterns</t>
  </si>
  <si>
    <t xml:space="preserve">Azure-native IaC is delivered via ARM templates and Bicep, enabling declarative, idempotent deployments across Azure resources 
Terraform (and other IaC frameworks) are supported with first-class Azure providers and integrate into GitHub Actions/Azure DevOps pipelines 
Azure Arc extends Azure control-plane and governance/IaC patterns to hybrid and multicloud resources for consistent deployment standardsAzure has a great declarative resource deployment model and integrated support for both platform‑native and industry‑standard automation frameworks.
Azure’s control plane enables declarative and repeatable creation of infrastructure resources using Azure Resource Manager (ARM), allowing organisations to consistently deploy and update environments through infrastructure definitions managed in source control. Bicep, Azure’s domain‑specific IaC language, provides declarative syntax for defining infrastructure and supports reuse of modular components to ensure consistent deployments across environments. 
Infrastructure definitions can be deployed programmatically using Azure CLI, PowerShell, or REST APIs, and integrated into CI/CD workflows using GitHub Actions to automate deployment of ARM‑based infrastructure templates. Azure also provides reference implementations for managing infrastructure using Terraform through GitHub Actions‑based workflows, enabling preview, validation, and drift detection prior to deployment. 
Enterprise landing zone accelerators further support deployment of Azure environments using either Bicep or Terraform modules and integrate with Azure DevOps or GitHub for continuous delivery of infrastructure changes. </t>
  </si>
  <si>
    <t>Azure App Service provides managed PaaS for web/apps/APIs with built-in scaling and platform maintenance (reduced VM operations)
Azure Functions and Azure Container Apps provide serverless execution with event-driven autoscaling and consumption-based pricing models 
API Management includes a Consumption tier for elastic API gateway scaling without capacity planning 
Coverage depends on selected service tier/region and customer configuration (e.g., VNet integration requirements, runtime constraints, cold-start mitigation choices)</t>
  </si>
  <si>
    <t>MVP workloads can be deployed rapidly using standard Azure services and configurations (often days rather than weeks) 
Example: Defender External Attack Surface Management can be enabled quickly with initial inventory available within 24–48 hours 
Full production implementations can extend into weeks where integrations, data loads, and compliance hardening are required</t>
  </si>
  <si>
    <t>GitHub Copilot integrates into developer IDEs (VS Code/Visual Studio and 3P IDEs such as JetBrains, Eclipse, Vim/Neovim) to support AI-assisted development with enterprise policy controls.
GitHub Copilot supports AI-assisted autonomous development outside of the IDE through cloud agents.
Azure Developer CLI templates enable repeatable provisioning and deployment workflows (app + infrastructure definitions) 
Microsoft Foundry supports building AI apps/agents with managed tools/models/agent service plus evaluation and monitoring 
Coverage depends on selected service tier/region and customer configuration (e.g., Copilot plan/policies, Foundry model licensing and processing scope)</t>
  </si>
  <si>
    <t xml:space="preserve">Azure’s supports high peak‑to‑average workload ratios through native serverless and event‑driven scaling models. Services such as Azure Functions and Azure Container Apps automatically scale in response to incoming workload events, with Azure Container Apps using KEDA to continuously monitor event sources and dynamically scale instances up or down based on demand. 
This enables rapid capacity adjustment for burst‑heavy workloads without requiring pre‑provisioned infrastructure. For sustained application workloads, Azure Monitor autoscale evaluates scaling rules at regular intervals and adjusts instance count accordingly, supporting predictable scaling behaviour aligned to performance metrics.
</t>
  </si>
  <si>
    <t>Microsoft Azure provides options to keep traffic on Microsoft's private backbone or route it to the public internet via secure measures, dependent the on routing choice.
Private backbone routing (keep traffic private and off the public internet)
• VNet peering enables low-latency, high-bandwidth connectivity across the Microsoft backbone.
• In hub-and-spoke designs, VNet peering combined with gateway transit allows spokes to use the hub's VPN or ExpressRoute gateway, which supports centralized routing through shared services such as firewalls or Network Virtual Appliances (NVAs) in the hub.
• Private Endpoints connect to Azure PaaS services over a private IP within a virtual network so that traffic between the virtual network and the service remains on the Microsoft backbone network, eliminating the need for public IP addresses and reducing exposure to the internet.
• Azure ExpressRoute provides private, dedicated connections between on-premises infrastructure and Azure datacenters that bypass the public internet.
Public internet transit (internet-bound routing choice)
• Azure Routing Preference allows selection of the underlying network path for internet-bound traffic to and from Azure, including Microsoft Global Network (Cold Potato Routing) or ISP Transit Network (Hot Potato Routing).
• Internet egress pricing varies depending on whether traffic is routed via the Microsoft Premium Global Network or Routing preference transit ISP network.
Operational characteristics
• All Azure traffic between Microsoft services and datacenters remains on Microsoft's private network and does not traverse the public internet.
• Microsoft has built dedicated backbone infrastructure with redundancy, including physically redundant paths and redundant network hardware, supported by Microsoft AS8075 peering architecture with multiple transit providers and numerous peers.</t>
  </si>
  <si>
    <t>Microsoft publishes Post‑Incident Reviews (PIRs) for broad Azure service issues through Azure Status History, with publicly communicated regional or multi‑service incidents retained for five years. These records include impacted services and regions, incident scope, duration, root cause, and remediation actions, enabling customers to independently assess historical platform stability over multi‑year timeframes.
Azure (widespread incidents + PIRs): Microsoft publishes Post‑Incident Reviews (PIRs) for previous service issues on Azure Status History, and retains these for 5 years. DMG can filter by date and review each PIR for impact, timeline, and remediation actions. [https://azure.status.microsoft/en-gb/status]
Azure (DMG‑scoped impact): In the Azure portal, Azure Service Health → Health history provides an archive of past health events (service issues, planned maintenance, advisories, security notices) that affected resources tied to DMG subscriptions/tenant, with filtering by time range and event type. [learn.microsoft.com]
Microsoft 365: Microsoft 365 admins can view current and historical service incident information via Service health in the Microsoft 365 admin center; Microsoft states it aims to provide transparency so customers can “track issues” and have a “historical view of availability.”</t>
  </si>
  <si>
    <t>As part of the Cloud Readiness Assessment, Microsoft will work with DMG to validate and support Day 0 (design), Day 1 (deployment), and Day 2 (operational) capabilities using structured checkpoints aligned to Azure Landing Zone and Cloud Adoption Framework guidance.
Day 0 (Design &amp; readiness): Assess DMG’s architecture standards, security governance, identity/network patterns, landing zone readiness, and design review processes; confirm ownership model and escalation paths.
Day 1 (Deploy &amp; stabilise): Validate deployment automation (IaC), CI/CD release controls, environment promotion, monitoring/alerting coverage, and go‑live runbooks; confirm operational acceptance criteria.
Day 2 (Run &amp; optimise): Review incident/problem/change processes, observability maturity, FinOps governance (tagging/cost allocation), security operations integration, backup/DR operations, and continuous improvement cadence.
Outcome for DMG: A clear, evidence‑based statement of “DMG is ready now vs needs uplift” for each lifecycle phase, plus the minimum set of actions to operate reliably at scale — including where Microsoft and partners provide enablement vs where DMG retains ownership.</t>
  </si>
  <si>
    <t xml:space="preserve">The maturity of Microsoft Entra ID as a unified identity control plane across cloud and hybrid environments. Its integrated Conditional Access enables real‑time, risk‑based access decisions using identity, device, and contextual signals, supporting Zero Trust principles such as least privilege and continuous verification.
Additional governance capabilities, including Privileged Identity Management (PIM), support just‑in‑time access and auditability for high‑risk roles, reducing standing privilege and improving enterprise security posture. </t>
  </si>
  <si>
    <t>Microsoft provide native integration between Microsoft Sentinel (SIEM/SOAR) and Microsoft Defender XDR, which together provide unified threat detection and response across endpoints, identities, email, applications, and cloud workloads.
Incidents, alerts, and investigation data are automatically correlated and bi‑directionally synchronised between Defender XDR and Sentinel, enabling cross‑domain visibility and automated remediation from a single operational platform. Defender XDR data can also be streamed into third‑party SIEM tools via REST APIs or Azure Event Hubs where coexistence with existing SOC tooling is required.
This combination of native end‑to‑end SOC capability and interoperability with existing security platforms supports enterprise‑scale security operations without reliance on third‑party orchestration layers.</t>
  </si>
  <si>
    <t xml:space="preserve">Azure has a comprehensive set of native security capabilities across identity, network, data, and workload protection layers. These include integrated identity and access management through Azure RBAC, platform‑managed and customer‑managed encryption, always‑on DDoS mitigation at network layers, and threat detection and security posture management via Microsoft Defender for Cloud.
Microsoft Defender for Cloud also provides continuous assessment of workload configurations against regulatory standards, mapping Azure Policy evaluations to compliance controls and enabling real‑time visibility into compliance posture across supported frameworks.
</t>
  </si>
  <si>
    <t>Azure enables latency‑sensitive workloads to be architected across regional, zonal, and metro‑proximate deployment environments, allowing infrastructure placement to be aligned with application interaction patterns and maximum acceptable latency thresholds rather than constrained to region‑level deployment models.
Within a single Azure region, Availability Zones are interconnected by a high‑performance network with a target round‑trip latency of less than approximately 2 milliseconds, supporting low‑latency communication between zonal resources and enabling synchronous replication or real‑time interaction patterns where required.
Customer traffic enters the Microsoft Global Network through strategically placed global edge‑nodes and is routed across Microsoft‑owned backbone infrastructure designed to minimise network hops, jitter, and transit‑provider variability by keeping traffic on Microsoft‑managed paths wherever possible.
Where regional deployment alone cannot meet application‑level latency budgets, Azure supports Local Zones and Extended Zones that extend compute, storage, and networking services into metropolitan locations. These deployment options are designed to support latency‑sensitive and throughput‑intensive workloads by placing compute resources closer to end users or data sources. 
This architectural flexibility allows standard enterprise workloads to operate within regional latency envelopes while supporting single‑digit millisecond latency requirements for real‑time analytics, media processing, or interaction‑sensitive services through proximity‑based deployment strategies.</t>
  </si>
  <si>
    <t>For Azure-based disaster recovery services, Microsoft enables customer-defined Recovery Time Objective (RTO) and Recovery Point Objective (RPO) through Azure Site Recovery replication policies and recovery plans, supporting active-active or active-passive multi-region failover architectures aligned to workload-specific business continuity requirements.
For Microsoft 365, resiliency is engineered to tolerate failures up to and including datacenter or Availability Zone outages through active/active designs and intelligent traffic routing, with customer commitments aligned to financially backed SLAs.
For Azure cloud-based disaster recovery services, Azure supports client-specific RPO and RTO, including per-customer configuration via Azure Site Recovery replication policies and recovery plans to achieve customer-specific desired RTO.
For Microsoft online services, resiliency is implemented to tolerate failures up to and including full datacenter or Availability Zone outages by deploying services in an Active/Active or better configuration across locations within a geographic region, with intelligent traffic routing and failover to alternate locations.
Recovery orchestration options include automated failover and structured recovery sequencing through Azure Site Recovery recovery plans, which define systematic, automated recovery processes for failover and failback.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</si>
</sst>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2"/>
      <color theme="0"/>
      <name val="Calibri"/>
      <family val="2"/>
      <scheme val="minor"/>
    </font>
    <font>
      <sz val="12"/>
      <color rgb="FFFF0000"/>
      <name val="Calibri"/>
      <family val="2"/>
      <scheme val="minor"/>
    </font>
    <font>
      <sz val="12"/>
      <color theme="0"/>
      <name val="Calibri"/>
      <family val="2"/>
      <scheme val="minor"/>
    </font>
    <font>
      <b/>
      <sz val="24"/>
      <color theme="1"/>
      <name val="Calibri"/>
      <family val="2"/>
      <scheme val="minor"/>
    </font>
    <font>
      <sz val="12"/>
      <color theme="1"/>
      <name val="Calibri (Body)"/>
    </font>
    <font>
      <sz val="11"/>
      <color rgb="FF000000"/>
      <name val="Calibri"/>
      <family val="2"/>
      <scheme val="minor"/>
    </font>
    <font>
      <sz val="8"/>
      <name val="Arial"/>
      <family val="2"/>
    </font>
    <font>
      <b/>
      <sz val="15"/>
      <color rgb="FF000000"/>
      <name val="Arial"/>
      <family val="2"/>
    </font>
    <font>
      <b/>
      <sz val="15"/>
      <color rgb="FFEB0000"/>
      <name val="Arial"/>
      <family val="2"/>
    </font>
    <font>
      <sz val="9"/>
      <name val="Arial"/>
      <family val="2"/>
    </font>
    <font>
      <b/>
      <sz val="8"/>
      <name val="Arial"/>
      <family val="2"/>
    </font>
    <font>
      <b/>
      <sz val="8"/>
      <color rgb="FFEB0000"/>
      <name val="Arial"/>
      <family val="2"/>
    </font>
    <font>
      <u/>
      <sz val="8"/>
      <name val="Arial"/>
      <family val="2"/>
    </font>
    <font>
      <b/>
      <sz val="11"/>
      <color theme="1"/>
      <name val="Calibri"/>
      <family val="2"/>
      <scheme val="minor"/>
    </font>
    <font>
      <sz val="8"/>
      <name val="Calibri"/>
      <family val="2"/>
      <scheme val="minor"/>
    </font>
    <font>
      <sz val="11"/>
      <name val="Calibri"/>
      <family val="2"/>
      <scheme val="minor"/>
    </font>
    <font>
      <b/>
      <sz val="11"/>
      <color theme="1"/>
      <name val="Aptos Narrow"/>
      <family val="2"/>
    </font>
    <font>
      <sz val="10.5"/>
      <color theme="1"/>
      <name val="Segoe UI"/>
      <family val="2"/>
    </font>
  </fonts>
  <fills count="5">
    <fill>
      <patternFill patternType="none"/>
    </fill>
    <fill>
      <patternFill patternType="gray125"/>
    </fill>
    <fill>
      <patternFill patternType="solid">
        <fgColor theme="0" tint="-4.9989318521683403E-2"/>
        <bgColor indexed="64"/>
      </patternFill>
    </fill>
    <fill>
      <patternFill patternType="solid">
        <fgColor rgb="FFD9D9D9"/>
        <bgColor rgb="FF6DB068"/>
      </patternFill>
    </fill>
    <fill>
      <patternFill patternType="solid">
        <fgColor theme="0" tint="-0.499984740745262"/>
        <bgColor indexed="64"/>
      </patternFill>
    </fill>
  </fills>
  <borders count="5">
    <border>
      <left/>
      <right/>
      <top/>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s>
  <cellStyleXfs count="2">
    <xf numFmtId="0" fontId="0" fillId="0" borderId="0"/>
    <xf numFmtId="0" fontId="6" fillId="0" borderId="0"/>
  </cellStyleXfs>
  <cellXfs count="37">
    <xf numFmtId="0" fontId="0" fillId="0" borderId="0" xfId="0"/>
    <xf numFmtId="0" fontId="7" fillId="0" borderId="0" xfId="1" applyFont="1"/>
    <xf numFmtId="0" fontId="10" fillId="0" borderId="0" xfId="1" applyFont="1" applyAlignment="1">
      <alignment horizontal="left" vertical="center"/>
    </xf>
    <xf numFmtId="0" fontId="11" fillId="3" borderId="1" xfId="1" applyFont="1" applyFill="1" applyBorder="1" applyAlignment="1">
      <alignment vertical="center" readingOrder="1"/>
    </xf>
    <xf numFmtId="0" fontId="11" fillId="3" borderId="2" xfId="1" applyFont="1" applyFill="1" applyBorder="1" applyAlignment="1">
      <alignment vertical="center" readingOrder="1"/>
    </xf>
    <xf numFmtId="0" fontId="7" fillId="0" borderId="0" xfId="1" applyFont="1" applyAlignment="1">
      <alignment horizontal="left" vertical="top"/>
    </xf>
    <xf numFmtId="0" fontId="12" fillId="0" borderId="3" xfId="1" applyFont="1" applyBorder="1" applyAlignment="1">
      <alignment horizontal="center" vertical="top" wrapText="1" readingOrder="1"/>
    </xf>
    <xf numFmtId="14" fontId="11" fillId="0" borderId="3" xfId="1" applyNumberFormat="1" applyFont="1" applyBorder="1" applyAlignment="1">
      <alignment horizontal="left" vertical="top" wrapText="1" readingOrder="1"/>
    </xf>
    <xf numFmtId="14" fontId="7" fillId="0" borderId="3" xfId="1" applyNumberFormat="1" applyFont="1" applyBorder="1" applyAlignment="1">
      <alignment horizontal="left" vertical="top" wrapText="1" readingOrder="1"/>
    </xf>
    <xf numFmtId="0" fontId="12" fillId="2" borderId="3" xfId="1" applyFont="1" applyFill="1" applyBorder="1" applyAlignment="1">
      <alignment horizontal="center" vertical="top" wrapText="1" readingOrder="1"/>
    </xf>
    <xf numFmtId="14" fontId="11" fillId="2" borderId="3" xfId="1" applyNumberFormat="1" applyFont="1" applyFill="1" applyBorder="1" applyAlignment="1">
      <alignment horizontal="left" vertical="top" wrapText="1" readingOrder="1"/>
    </xf>
    <xf numFmtId="14" fontId="7" fillId="2" borderId="3" xfId="1" applyNumberFormat="1" applyFont="1" applyFill="1" applyBorder="1" applyAlignment="1">
      <alignment horizontal="left" vertical="top" wrapText="1" readingOrder="1"/>
    </xf>
    <xf numFmtId="14" fontId="11" fillId="2" borderId="3" xfId="1" applyNumberFormat="1" applyFont="1" applyFill="1" applyBorder="1" applyAlignment="1">
      <alignment horizontal="left" vertical="top" readingOrder="1"/>
    </xf>
    <xf numFmtId="14" fontId="11" fillId="0" borderId="3" xfId="1" applyNumberFormat="1" applyFont="1" applyBorder="1" applyAlignment="1">
      <alignment horizontal="left" vertical="top" readingOrder="1"/>
    </xf>
    <xf numFmtId="0" fontId="14" fillId="0" borderId="0" xfId="0" applyFont="1"/>
    <xf numFmtId="14" fontId="7" fillId="2" borderId="4" xfId="1" applyNumberFormat="1" applyFont="1" applyFill="1" applyBorder="1" applyAlignment="1">
      <alignment horizontal="left" vertical="center" readingOrder="1"/>
    </xf>
    <xf numFmtId="0" fontId="2" fillId="2" borderId="0" xfId="0" applyFont="1" applyFill="1" applyAlignment="1">
      <alignment vertical="center"/>
    </xf>
    <xf numFmtId="0" fontId="2" fillId="0" borderId="0" xfId="0" applyFont="1" applyAlignment="1">
      <alignment vertical="center"/>
    </xf>
    <xf numFmtId="0" fontId="6" fillId="0" borderId="0" xfId="0" applyFont="1" applyAlignment="1">
      <alignment vertical="top" wrapText="1"/>
    </xf>
    <xf numFmtId="0" fontId="0" fillId="0" borderId="0" xfId="0" applyAlignment="1">
      <alignment vertical="top" wrapText="1"/>
    </xf>
    <xf numFmtId="0" fontId="16" fillId="0" borderId="0" xfId="0" applyFont="1" applyAlignment="1">
      <alignment vertical="top" wrapText="1"/>
    </xf>
    <xf numFmtId="0" fontId="18" fillId="0" borderId="0" xfId="0" applyFont="1" applyAlignment="1">
      <alignment vertical="top" wrapText="1"/>
    </xf>
    <xf numFmtId="0" fontId="5" fillId="2" borderId="0" xfId="0" applyFont="1" applyFill="1" applyAlignment="1">
      <alignment horizontal="center" vertical="top" wrapText="1"/>
    </xf>
    <xf numFmtId="0" fontId="5" fillId="0" borderId="0" xfId="0" applyFont="1" applyAlignment="1">
      <alignment horizontal="center" vertical="top" wrapText="1"/>
    </xf>
    <xf numFmtId="0" fontId="0" fillId="0" borderId="0" xfId="0" applyAlignment="1">
      <alignment horizontal="center" vertical="top" wrapText="1"/>
    </xf>
    <xf numFmtId="0" fontId="1" fillId="4" borderId="0" xfId="0" applyFont="1" applyFill="1" applyAlignment="1">
      <alignment vertical="top" wrapText="1"/>
    </xf>
    <xf numFmtId="0" fontId="1" fillId="4" borderId="0" xfId="0" applyFont="1" applyFill="1" applyAlignment="1">
      <alignment horizontal="center" vertical="top" wrapText="1"/>
    </xf>
    <xf numFmtId="0" fontId="5" fillId="2" borderId="0" xfId="0" applyFont="1" applyFill="1" applyAlignment="1">
      <alignment vertical="top" wrapText="1"/>
    </xf>
    <xf numFmtId="0" fontId="5" fillId="0" borderId="0" xfId="0" applyFont="1" applyAlignment="1">
      <alignment vertical="top" wrapText="1"/>
    </xf>
    <xf numFmtId="0" fontId="3" fillId="4" borderId="0" xfId="0" applyFont="1" applyFill="1" applyAlignment="1">
      <alignment vertical="top" wrapText="1"/>
    </xf>
    <xf numFmtId="0" fontId="3" fillId="4" borderId="0" xfId="0" applyFont="1" applyFill="1" applyAlignment="1">
      <alignment horizontal="center"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4" fillId="0" borderId="0" xfId="0" applyFont="1" applyAlignment="1">
      <alignment horizontal="center" vertical="top" wrapText="1"/>
    </xf>
    <xf numFmtId="0" fontId="2" fillId="2" borderId="0" xfId="0" applyFont="1" applyFill="1" applyAlignment="1">
      <alignment horizontal="center" vertical="top" wrapText="1"/>
    </xf>
    <xf numFmtId="0" fontId="8" fillId="0" borderId="0" xfId="1" applyFont="1" applyAlignment="1">
      <alignment horizontal="left" vertical="top" readingOrder="1"/>
    </xf>
    <xf numFmtId="0" fontId="9" fillId="0" borderId="0" xfId="1" applyFont="1" applyAlignment="1">
      <alignment horizontal="left" vertical="top" readingOrder="1"/>
    </xf>
  </cellXfs>
  <cellStyles count="2">
    <cellStyle name="Normal" xfId="0" builtinId="0"/>
    <cellStyle name="Normal 7" xfId="1" xr:uid="{B2D26A5C-605A-524F-AE0D-A9BE886E4879}"/>
  </cellStyles>
  <dxfs count="19">
    <dxf>
      <font>
        <b val="0"/>
        <i val="0"/>
        <strike val="0"/>
        <condense val="0"/>
        <extend val="0"/>
        <outline val="0"/>
        <shadow val="0"/>
        <u val="none"/>
        <vertAlign val="baseline"/>
        <sz val="8"/>
        <color auto="1"/>
        <name val="Arial"/>
        <family val="2"/>
        <scheme val="none"/>
      </font>
      <numFmt numFmtId="19" formatCode="dd/mm/yyyy"/>
      <alignment horizontal="left" vertical="center" textRotation="0" wrapText="0" indent="0" justifyLastLine="0" shrinkToFit="0" readingOrder="1"/>
      <border diagonalUp="0" diagonalDown="0">
        <left style="thin">
          <color rgb="FF808080"/>
        </left>
        <right style="thin">
          <color rgb="FF808080"/>
        </right>
        <top style="thin">
          <color rgb="FF808080"/>
        </top>
        <bottom style="thin">
          <color rgb="FF808080"/>
        </bottom>
      </border>
    </dxf>
    <dxf>
      <font>
        <b val="0"/>
        <i val="0"/>
        <strike val="0"/>
        <condense val="0"/>
        <extend val="0"/>
        <outline val="0"/>
        <shadow val="0"/>
        <u val="none"/>
        <vertAlign val="baseline"/>
        <sz val="8"/>
        <color auto="1"/>
        <name val="Arial"/>
        <family val="2"/>
        <scheme val="none"/>
      </font>
      <numFmt numFmtId="19" formatCode="dd/mm/yyyy"/>
      <alignment horizontal="left" vertical="center" textRotation="0" wrapText="0" indent="0" justifyLastLine="0" shrinkToFit="0" readingOrder="1"/>
      <border diagonalUp="0" diagonalDown="0">
        <left style="thin">
          <color rgb="FF808080"/>
        </left>
        <right style="thin">
          <color rgb="FF808080"/>
        </right>
        <top style="thin">
          <color rgb="FF808080"/>
        </top>
        <bottom style="thin">
          <color rgb="FF808080"/>
        </bottom>
      </border>
    </dxf>
    <dxf>
      <font>
        <b val="0"/>
        <i val="0"/>
        <strike val="0"/>
        <condense val="0"/>
        <extend val="0"/>
        <outline val="0"/>
        <shadow val="0"/>
        <u val="none"/>
        <vertAlign val="baseline"/>
        <sz val="8"/>
        <color auto="1"/>
        <name val="Arial"/>
        <family val="2"/>
        <scheme val="none"/>
      </font>
      <numFmt numFmtId="19" formatCode="dd/mm/yyyy"/>
      <alignment horizontal="left" vertical="center" textRotation="0" wrapText="0" indent="0" justifyLastLine="0" shrinkToFit="0" readingOrder="1"/>
      <border diagonalUp="0" diagonalDown="0" outline="0">
        <left style="thin">
          <color rgb="FF808080"/>
        </left>
        <right style="thin">
          <color rgb="FF808080"/>
        </right>
        <top style="thin">
          <color rgb="FF808080"/>
        </top>
        <bottom style="thin">
          <color rgb="FF808080"/>
        </bottom>
      </border>
    </dxf>
    <dxf>
      <font>
        <b val="0"/>
        <i val="0"/>
        <strike val="0"/>
        <condense val="0"/>
        <extend val="0"/>
        <outline val="0"/>
        <shadow val="0"/>
        <u val="none"/>
        <vertAlign val="baseline"/>
        <sz val="8"/>
        <color auto="1"/>
        <name val="Arial"/>
        <family val="2"/>
        <scheme val="none"/>
      </font>
      <numFmt numFmtId="19" formatCode="dd/mm/yyyy"/>
      <alignment horizontal="left" vertical="center" textRotation="0" wrapText="0" indent="0" justifyLastLine="0" shrinkToFit="0" readingOrder="1"/>
      <border diagonalUp="0" diagonalDown="0" outline="0">
        <left style="thin">
          <color rgb="FF808080"/>
        </left>
        <right style="thin">
          <color rgb="FF808080"/>
        </right>
        <top style="thin">
          <color rgb="FF808080"/>
        </top>
        <bottom style="thin">
          <color rgb="FF808080"/>
        </bottom>
      </border>
    </dxf>
    <dxf>
      <font>
        <b/>
        <i val="0"/>
        <strike val="0"/>
        <condense val="0"/>
        <extend val="0"/>
        <outline val="0"/>
        <shadow val="0"/>
        <u val="none"/>
        <vertAlign val="baseline"/>
        <sz val="8"/>
        <color rgb="FFEB0000"/>
        <name val="Arial"/>
        <family val="2"/>
        <scheme val="none"/>
      </font>
      <numFmt numFmtId="19" formatCode="dd/mm/yyyy"/>
      <alignment horizontal="center" vertical="top" textRotation="0" wrapText="1" indent="0" justifyLastLine="0" shrinkToFit="0" readingOrder="1"/>
      <border diagonalUp="0" diagonalDown="0">
        <left/>
        <right style="thin">
          <color rgb="FF808080"/>
        </right>
        <top style="thin">
          <color rgb="FF808080"/>
        </top>
        <bottom style="thin">
          <color rgb="FF808080"/>
        </bottom>
        <vertical/>
        <horizontal/>
      </border>
    </dxf>
    <dxf>
      <border outline="0">
        <top style="thin">
          <color rgb="FF808080"/>
        </top>
      </border>
    </dxf>
    <dxf>
      <border outline="0">
        <left style="thin">
          <color rgb="FF808080"/>
        </left>
        <right style="thin">
          <color rgb="FF808080"/>
        </right>
        <top style="thin">
          <color rgb="FF808080"/>
        </top>
        <bottom style="thin">
          <color rgb="FF808080"/>
        </bottom>
      </border>
    </dxf>
    <dxf>
      <alignment horizontal="left" vertical="center" textRotation="0" indent="0" justifyLastLine="0" shrinkToFit="0" readingOrder="1"/>
    </dxf>
    <dxf>
      <border outline="0">
        <bottom style="thin">
          <color rgb="FF808080"/>
        </bottom>
      </border>
    </dxf>
    <dxf>
      <font>
        <b/>
        <i val="0"/>
        <strike val="0"/>
        <condense val="0"/>
        <extend val="0"/>
        <outline val="0"/>
        <shadow val="0"/>
        <u val="none"/>
        <vertAlign val="baseline"/>
        <sz val="8"/>
        <color auto="1"/>
        <name val="Arial"/>
        <family val="2"/>
        <scheme val="none"/>
      </font>
      <fill>
        <patternFill patternType="solid">
          <fgColor rgb="FF6DB068"/>
          <bgColor rgb="FFD9D9D9"/>
        </patternFill>
      </fill>
      <alignment horizontal="general" vertical="center" textRotation="0" wrapText="0" indent="0" justifyLastLine="0" shrinkToFit="0" readingOrder="1"/>
    </dxf>
    <dxf>
      <font>
        <b val="0"/>
        <i val="0"/>
        <strike val="0"/>
        <condense val="0"/>
        <extend val="0"/>
        <outline val="0"/>
        <shadow val="0"/>
        <u val="none"/>
        <vertAlign val="baseline"/>
        <sz val="8"/>
        <color auto="1"/>
        <name val="Arial"/>
        <family val="2"/>
        <scheme val="none"/>
      </font>
      <numFmt numFmtId="19" formatCode="dd/mm/yyyy"/>
      <alignment horizontal="left" vertical="center" textRotation="0" wrapText="0" indent="0" justifyLastLine="0" shrinkToFit="0" readingOrder="1"/>
      <border diagonalUp="0" diagonalDown="0" outline="0">
        <left style="thin">
          <color rgb="FF808080"/>
        </left>
        <right style="thin">
          <color rgb="FF808080"/>
        </right>
        <top style="thin">
          <color rgb="FF808080"/>
        </top>
        <bottom style="thin">
          <color rgb="FF808080"/>
        </bottom>
      </border>
    </dxf>
    <dxf>
      <font>
        <b val="0"/>
        <i val="0"/>
        <strike val="0"/>
        <condense val="0"/>
        <extend val="0"/>
        <outline val="0"/>
        <shadow val="0"/>
        <u val="none"/>
        <vertAlign val="baseline"/>
        <sz val="8"/>
        <color auto="1"/>
        <name val="Arial"/>
        <family val="2"/>
        <scheme val="none"/>
      </font>
      <numFmt numFmtId="19" formatCode="dd/mm/yyyy"/>
      <alignment horizontal="left" vertical="center" textRotation="0" wrapText="0" indent="0" justifyLastLine="0" shrinkToFit="0" readingOrder="1"/>
      <border diagonalUp="0" diagonalDown="0" outline="0">
        <left style="thin">
          <color rgb="FF808080"/>
        </left>
        <right style="thin">
          <color rgb="FF808080"/>
        </right>
        <top style="thin">
          <color rgb="FF808080"/>
        </top>
        <bottom style="thin">
          <color rgb="FF808080"/>
        </bottom>
      </border>
    </dxf>
    <dxf>
      <font>
        <b val="0"/>
        <i val="0"/>
        <strike val="0"/>
        <condense val="0"/>
        <extend val="0"/>
        <outline val="0"/>
        <shadow val="0"/>
        <u val="none"/>
        <vertAlign val="baseline"/>
        <sz val="8"/>
        <color auto="1"/>
        <name val="Arial"/>
        <family val="2"/>
        <scheme val="none"/>
      </font>
      <numFmt numFmtId="19" formatCode="dd/mm/yyyy"/>
      <alignment horizontal="left" vertical="center" textRotation="0" wrapText="0" indent="0" justifyLastLine="0" shrinkToFit="0" readingOrder="1"/>
      <border diagonalUp="0" diagonalDown="0" outline="0">
        <left style="thin">
          <color rgb="FF808080"/>
        </left>
        <right style="thin">
          <color rgb="FF808080"/>
        </right>
        <top style="thin">
          <color rgb="FF808080"/>
        </top>
        <bottom style="thin">
          <color rgb="FF808080"/>
        </bottom>
      </border>
    </dxf>
    <dxf>
      <font>
        <b val="0"/>
        <i val="0"/>
        <strike val="0"/>
        <condense val="0"/>
        <extend val="0"/>
        <outline val="0"/>
        <shadow val="0"/>
        <u val="none"/>
        <vertAlign val="baseline"/>
        <sz val="8"/>
        <color rgb="FFEB0000"/>
        <name val="Arial"/>
        <family val="2"/>
        <scheme val="none"/>
      </font>
      <numFmt numFmtId="19" formatCode="dd/mm/yyyy"/>
      <alignment horizontal="center" vertical="top" textRotation="0" wrapText="1" indent="0" justifyLastLine="0" shrinkToFit="0" readingOrder="1"/>
      <border diagonalUp="0" diagonalDown="0" outline="0">
        <left/>
        <right/>
        <top style="thin">
          <color rgb="FF808080"/>
        </top>
        <bottom style="thin">
          <color rgb="FF808080"/>
        </bottom>
      </border>
    </dxf>
    <dxf>
      <border outline="0">
        <top style="thin">
          <color rgb="FF808080"/>
        </top>
      </border>
    </dxf>
    <dxf>
      <border outline="0">
        <left style="thin">
          <color rgb="FF808080"/>
        </left>
        <right style="thin">
          <color rgb="FF808080"/>
        </right>
        <top style="thin">
          <color rgb="FF808080"/>
        </top>
        <bottom style="thin">
          <color rgb="FF808080"/>
        </bottom>
      </border>
    </dxf>
    <dxf>
      <alignment horizontal="left" vertical="center" textRotation="0" indent="0" justifyLastLine="0" shrinkToFit="0" readingOrder="1"/>
    </dxf>
    <dxf>
      <border outline="0">
        <bottom style="thin">
          <color rgb="FF808080"/>
        </bottom>
      </border>
    </dxf>
    <dxf>
      <font>
        <b/>
        <i val="0"/>
        <strike val="0"/>
        <condense val="0"/>
        <extend val="0"/>
        <outline val="0"/>
        <shadow val="0"/>
        <u val="none"/>
        <vertAlign val="baseline"/>
        <sz val="8"/>
        <color auto="1"/>
        <name val="Arial"/>
        <family val="2"/>
        <scheme val="none"/>
      </font>
      <fill>
        <patternFill patternType="solid">
          <fgColor rgb="FF6DB068"/>
          <bgColor rgb="FFD9D9D9"/>
        </patternFill>
      </fill>
      <alignment horizontal="general" vertical="center" textRotation="0" wrapText="0" indent="0" justifyLastLine="0" shrinkToFit="0" readingOrder="1"/>
      <border diagonalUp="0" diagonalDown="0" outline="0">
        <left style="thin">
          <color rgb="FF808080"/>
        </left>
        <right style="thin">
          <color rgb="FF80808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838200</xdr:colOff>
      <xdr:row>1</xdr:row>
      <xdr:rowOff>200025</xdr:rowOff>
    </xdr:from>
    <xdr:to>
      <xdr:col>14</xdr:col>
      <xdr:colOff>95250</xdr:colOff>
      <xdr:row>11</xdr:row>
      <xdr:rowOff>19050</xdr:rowOff>
    </xdr:to>
    <xdr:pic>
      <xdr:nvPicPr>
        <xdr:cNvPr id="2" name="Picture 1">
          <a:extLst>
            <a:ext uri="{FF2B5EF4-FFF2-40B4-BE49-F238E27FC236}">
              <a16:creationId xmlns:a16="http://schemas.microsoft.com/office/drawing/2014/main" id="{CBA48E83-86CC-6091-4DF4-39562334F30A}"/>
            </a:ext>
          </a:extLst>
        </xdr:cNvPr>
        <xdr:cNvPicPr>
          <a:picLocks noChangeAspect="1"/>
        </xdr:cNvPicPr>
      </xdr:nvPicPr>
      <xdr:blipFill>
        <a:blip xmlns:r="http://schemas.openxmlformats.org/officeDocument/2006/relationships" r:embed="rId1"/>
        <a:stretch>
          <a:fillRect/>
        </a:stretch>
      </xdr:blipFill>
      <xdr:spPr>
        <a:xfrm>
          <a:off x="8543925" y="333375"/>
          <a:ext cx="6438900" cy="3019425"/>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06FF45-5E23-D745-9B86-64BE11A0F578}" name="Table134" displayName="Table134" ref="B5:E11" totalsRowShown="0" headerRowDxfId="18" dataDxfId="16" headerRowBorderDxfId="17" tableBorderDxfId="15" totalsRowBorderDxfId="14" headerRowCellStyle="Normal 7">
  <autoFilter ref="B5:E11" xr:uid="{8108D81C-BC39-4D48-8C39-73E516561C9F}"/>
  <tableColumns count="4">
    <tableColumn id="1" xr3:uid="{E6C167DF-DAFC-3443-91CE-D35F96A31A48}" name="Weighting Multiplier" dataDxfId="13" dataCellStyle="Normal 7"/>
    <tableColumn id="2" xr3:uid="{46F3EAD4-CCF1-494D-A6DE-7CFE45912309}" name="Weighting Meaning" dataDxfId="12" dataCellStyle="Normal 7"/>
    <tableColumn id="10" xr3:uid="{538BF520-16CF-9241-A695-FC79BDE4DBB1}" name="Explanation" dataDxfId="11" dataCellStyle="Normal 7"/>
    <tableColumn id="3" xr3:uid="{F24AD5CF-2B1C-1D4B-9E37-896BFE8717D3}" name="Example" dataDxfId="10" dataCellStyle="Normal 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ED2148-8B5E-394A-BA66-E52E995E974C}" name="Table1343" displayName="Table1343" ref="B18:F24" totalsRowShown="0" headerRowDxfId="9" dataDxfId="7" headerRowBorderDxfId="8" tableBorderDxfId="6" totalsRowBorderDxfId="5" headerRowCellStyle="Normal 7">
  <autoFilter ref="B18:F24" xr:uid="{A6ED2148-8B5E-394A-BA66-E52E995E974C}"/>
  <tableColumns count="5">
    <tableColumn id="1" xr3:uid="{26DA157E-C705-7B46-97AE-1FFB353DC9E0}" name="Score" dataDxfId="4" dataCellStyle="Normal 7"/>
    <tableColumn id="2" xr3:uid="{61782E0B-923F-7F47-BF68-11A8C7F57FAA}" name="Fit Level" dataDxfId="3" dataCellStyle="Normal 7"/>
    <tableColumn id="10" xr3:uid="{8F91E230-1EDE-C940-B77F-0E0ABBAA554A}" name="Description of Organizational &amp; Strategic Alignment" dataDxfId="2" dataCellStyle="Normal 7"/>
    <tableColumn id="3" xr3:uid="{FA25A531-3251-9E4F-8627-1B59D0FEEB9F}" name="eg: Commercial &amp; Ecosystem Alignment" dataDxfId="1" dataCellStyle="Normal 7"/>
    <tableColumn id="4" xr3:uid="{1EB931A8-F75F-6B44-8886-8A77B032D1F0}" name="Eg: Risk Profile" dataDxfId="0" dataCellStyle="Normal 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1"/>
  <sheetViews>
    <sheetView tabSelected="1" zoomScale="85" zoomScaleNormal="85" workbookViewId="0">
      <selection sqref="A1:B1"/>
    </sheetView>
  </sheetViews>
  <sheetFormatPr defaultColWidth="8.81640625" defaultRowHeight="14.5"/>
  <cols>
    <col min="1" max="1" width="16.26953125" style="19" bestFit="1" customWidth="1"/>
    <col min="2" max="2" width="8.81640625" style="19"/>
    <col min="3" max="3" width="47.7265625" style="19" bestFit="1" customWidth="1"/>
    <col min="4" max="4" width="106.81640625" style="19" customWidth="1"/>
    <col min="5" max="5" width="21.81640625" style="19" customWidth="1"/>
    <col min="6" max="6" width="15.54296875" style="24" bestFit="1" customWidth="1"/>
    <col min="7" max="7" width="20.453125" style="19" hidden="1" customWidth="1"/>
    <col min="8" max="8" width="13.7265625" style="19" hidden="1" customWidth="1"/>
    <col min="9" max="9" width="22.6328125" style="19" bestFit="1" customWidth="1"/>
    <col min="10" max="10" width="21.81640625" style="19" bestFit="1" customWidth="1"/>
    <col min="11" max="11" width="14" style="19" hidden="1" customWidth="1"/>
    <col min="12" max="12" width="13" style="19" hidden="1" customWidth="1"/>
    <col min="13" max="13" width="76.453125" style="19" customWidth="1"/>
    <col min="14" max="14" width="60.26953125" style="19" customWidth="1"/>
    <col min="15" max="16384" width="8.81640625" style="19"/>
  </cols>
  <sheetData>
    <row r="1" spans="1:14" ht="31">
      <c r="A1" s="32" t="e" vm="1">
        <v>#VALUE!</v>
      </c>
      <c r="B1" s="32"/>
      <c r="C1" s="33" t="s">
        <v>0</v>
      </c>
      <c r="D1" s="33"/>
      <c r="E1" s="33"/>
      <c r="F1" s="33"/>
      <c r="G1" s="33"/>
      <c r="H1" s="33"/>
      <c r="I1" s="33"/>
      <c r="J1" s="33"/>
      <c r="K1" s="32" t="e" vm="2">
        <v>#VALUE!</v>
      </c>
      <c r="L1" s="32"/>
    </row>
    <row r="2" spans="1:14" ht="31">
      <c r="A2" s="25" t="s">
        <v>1</v>
      </c>
      <c r="B2" s="25" t="s">
        <v>2</v>
      </c>
      <c r="C2" s="25" t="s">
        <v>3</v>
      </c>
      <c r="D2" s="25" t="s">
        <v>4</v>
      </c>
      <c r="E2" s="25" t="s">
        <v>5</v>
      </c>
      <c r="F2" s="26" t="s">
        <v>6</v>
      </c>
      <c r="G2" s="26" t="s">
        <v>7</v>
      </c>
      <c r="H2" s="26" t="s">
        <v>8</v>
      </c>
      <c r="I2" s="26" t="s">
        <v>9</v>
      </c>
      <c r="J2" s="26" t="s">
        <v>10</v>
      </c>
      <c r="K2" s="26" t="s">
        <v>11</v>
      </c>
      <c r="L2" s="26" t="s">
        <v>12</v>
      </c>
      <c r="M2" s="26" t="s">
        <v>251</v>
      </c>
      <c r="N2" s="26" t="s">
        <v>252</v>
      </c>
    </row>
    <row r="3" spans="1:14" ht="87">
      <c r="A3" s="34" t="s">
        <v>13</v>
      </c>
      <c r="B3" s="27" t="s">
        <v>14</v>
      </c>
      <c r="C3" s="27" t="s">
        <v>15</v>
      </c>
      <c r="D3" s="27" t="s">
        <v>16</v>
      </c>
      <c r="E3" s="27" t="s">
        <v>17</v>
      </c>
      <c r="F3" s="22" cm="1">
        <f t="array" ref="F3">_xlfn.XLOOKUP(E3,Table134[Weighting Meaning],Table134[Weighting Multiplier],NOTFOUND,0)</f>
        <v>3</v>
      </c>
      <c r="G3" s="22">
        <v>5</v>
      </c>
      <c r="H3" s="22">
        <f>F3*G3</f>
        <v>15</v>
      </c>
      <c r="I3" s="22">
        <v>5</v>
      </c>
      <c r="J3" s="22">
        <f>F3*I3</f>
        <v>15</v>
      </c>
      <c r="K3" s="22">
        <v>5</v>
      </c>
      <c r="L3" s="22">
        <f>F3*K3</f>
        <v>15</v>
      </c>
      <c r="M3" s="18" t="s">
        <v>253</v>
      </c>
      <c r="N3" s="19" t="s">
        <v>306</v>
      </c>
    </row>
    <row r="4" spans="1:14" ht="87">
      <c r="A4" s="34"/>
      <c r="B4" s="27" t="s">
        <v>18</v>
      </c>
      <c r="C4" s="27" t="s">
        <v>19</v>
      </c>
      <c r="D4" s="27" t="s">
        <v>20</v>
      </c>
      <c r="E4" s="27" t="s">
        <v>21</v>
      </c>
      <c r="F4" s="22" cm="1">
        <f t="array" ref="F4">_xlfn.XLOOKUP(E4,Table134[Weighting Meaning],Table134[Weighting Multiplier],NOTFOUND,0)</f>
        <v>2</v>
      </c>
      <c r="G4" s="22"/>
      <c r="H4" s="22">
        <f>F4*G4</f>
        <v>0</v>
      </c>
      <c r="I4" s="22">
        <v>5</v>
      </c>
      <c r="J4" s="22">
        <f t="shared" ref="J4:J59" si="0">F4*I4</f>
        <v>10</v>
      </c>
      <c r="K4" s="22"/>
      <c r="L4" s="22">
        <f t="shared" ref="L4:L59" si="1">F4*K4</f>
        <v>0</v>
      </c>
      <c r="M4" s="18" t="s">
        <v>254</v>
      </c>
      <c r="N4" s="19" t="s">
        <v>307</v>
      </c>
    </row>
    <row r="5" spans="1:14" ht="261">
      <c r="A5" s="34"/>
      <c r="B5" s="27" t="s">
        <v>22</v>
      </c>
      <c r="C5" s="27" t="s">
        <v>23</v>
      </c>
      <c r="D5" s="27" t="s">
        <v>24</v>
      </c>
      <c r="E5" s="27" t="s">
        <v>25</v>
      </c>
      <c r="F5" s="22" cm="1">
        <f t="array" ref="F5">_xlfn.XLOOKUP(E5,Table134[Weighting Meaning],Table134[Weighting Multiplier],NOTFOUND,0)</f>
        <v>4</v>
      </c>
      <c r="G5" s="22"/>
      <c r="H5" s="22">
        <f t="shared" ref="H5:H59" si="2">F5*G5</f>
        <v>0</v>
      </c>
      <c r="I5" s="22">
        <v>5</v>
      </c>
      <c r="J5" s="22">
        <f t="shared" si="0"/>
        <v>20</v>
      </c>
      <c r="K5" s="22"/>
      <c r="L5" s="22">
        <f t="shared" si="1"/>
        <v>0</v>
      </c>
      <c r="M5" s="18" t="s">
        <v>366</v>
      </c>
      <c r="N5" s="19" t="s">
        <v>308</v>
      </c>
    </row>
    <row r="6" spans="1:14" ht="409.5">
      <c r="A6" s="34"/>
      <c r="B6" s="27" t="s">
        <v>26</v>
      </c>
      <c r="C6" s="27" t="s">
        <v>27</v>
      </c>
      <c r="D6" s="27" t="s">
        <v>28</v>
      </c>
      <c r="E6" s="27" t="s">
        <v>25</v>
      </c>
      <c r="F6" s="22" cm="1">
        <f t="array" ref="F6">_xlfn.XLOOKUP(E6,Table134[Weighting Meaning],Table134[Weighting Multiplier],NOTFOUND,0)</f>
        <v>4</v>
      </c>
      <c r="G6" s="22"/>
      <c r="H6" s="22">
        <f t="shared" si="2"/>
        <v>0</v>
      </c>
      <c r="I6" s="22">
        <v>5</v>
      </c>
      <c r="J6" s="22">
        <f t="shared" si="0"/>
        <v>20</v>
      </c>
      <c r="K6" s="22"/>
      <c r="L6" s="22">
        <f t="shared" si="1"/>
        <v>0</v>
      </c>
      <c r="M6" s="18" t="s">
        <v>255</v>
      </c>
      <c r="N6" s="19" t="s">
        <v>309</v>
      </c>
    </row>
    <row r="7" spans="1:14" ht="362.5">
      <c r="A7" s="34"/>
      <c r="B7" s="27" t="s">
        <v>29</v>
      </c>
      <c r="C7" s="27" t="s">
        <v>30</v>
      </c>
      <c r="D7" s="27" t="s">
        <v>31</v>
      </c>
      <c r="E7" s="27" t="s">
        <v>25</v>
      </c>
      <c r="F7" s="22" cm="1">
        <f t="array" ref="F7">_xlfn.XLOOKUP(E7,Table134[Weighting Meaning],Table134[Weighting Multiplier],NOTFOUND,0)</f>
        <v>4</v>
      </c>
      <c r="G7" s="22"/>
      <c r="H7" s="22">
        <f t="shared" si="2"/>
        <v>0</v>
      </c>
      <c r="I7" s="22">
        <v>5</v>
      </c>
      <c r="J7" s="22">
        <f t="shared" si="0"/>
        <v>20</v>
      </c>
      <c r="K7" s="22"/>
      <c r="L7" s="22">
        <f t="shared" si="1"/>
        <v>0</v>
      </c>
      <c r="M7" s="18" t="s">
        <v>256</v>
      </c>
      <c r="N7" s="19" t="s">
        <v>310</v>
      </c>
    </row>
    <row r="8" spans="1:14" ht="409.6" customHeight="1">
      <c r="A8" s="31" t="s">
        <v>32</v>
      </c>
      <c r="B8" s="28" t="s">
        <v>33</v>
      </c>
      <c r="C8" s="28" t="s">
        <v>34</v>
      </c>
      <c r="D8" s="28" t="s">
        <v>35</v>
      </c>
      <c r="E8" s="28" t="s">
        <v>25</v>
      </c>
      <c r="F8" s="23" cm="1">
        <f t="array" ref="F8">_xlfn.XLOOKUP(E8,Table134[Weighting Meaning],Table134[Weighting Multiplier],NOTFOUND,0)</f>
        <v>4</v>
      </c>
      <c r="G8" s="23"/>
      <c r="H8" s="23">
        <f t="shared" si="2"/>
        <v>0</v>
      </c>
      <c r="I8" s="22">
        <v>5</v>
      </c>
      <c r="J8" s="23">
        <f t="shared" si="0"/>
        <v>20</v>
      </c>
      <c r="K8" s="23"/>
      <c r="L8" s="23">
        <f t="shared" si="1"/>
        <v>0</v>
      </c>
      <c r="M8" s="19" t="s">
        <v>257</v>
      </c>
      <c r="N8" s="19" t="s">
        <v>311</v>
      </c>
    </row>
    <row r="9" spans="1:14" ht="409.5">
      <c r="A9" s="31"/>
      <c r="B9" s="28" t="s">
        <v>36</v>
      </c>
      <c r="C9" s="28" t="s">
        <v>37</v>
      </c>
      <c r="D9" s="28" t="s">
        <v>38</v>
      </c>
      <c r="E9" s="28" t="s">
        <v>25</v>
      </c>
      <c r="F9" s="23" cm="1">
        <f t="array" ref="F9">_xlfn.XLOOKUP(E9,Table134[Weighting Meaning],Table134[Weighting Multiplier],NOTFOUND,0)</f>
        <v>4</v>
      </c>
      <c r="G9" s="23"/>
      <c r="H9" s="23">
        <f t="shared" si="2"/>
        <v>0</v>
      </c>
      <c r="I9" s="22">
        <v>5</v>
      </c>
      <c r="J9" s="23">
        <f t="shared" si="0"/>
        <v>20</v>
      </c>
      <c r="K9" s="23"/>
      <c r="L9" s="23">
        <f t="shared" si="1"/>
        <v>0</v>
      </c>
      <c r="M9" s="19" t="s">
        <v>258</v>
      </c>
      <c r="N9" s="19" t="s">
        <v>312</v>
      </c>
    </row>
    <row r="10" spans="1:14" ht="261">
      <c r="A10" s="31"/>
      <c r="B10" s="28" t="s">
        <v>39</v>
      </c>
      <c r="C10" s="28" t="s">
        <v>40</v>
      </c>
      <c r="D10" s="28" t="s">
        <v>41</v>
      </c>
      <c r="E10" s="28" t="s">
        <v>21</v>
      </c>
      <c r="F10" s="23" cm="1">
        <f t="array" ref="F10">_xlfn.XLOOKUP(E10,Table134[Weighting Meaning],Table134[Weighting Multiplier],NOTFOUND,0)</f>
        <v>2</v>
      </c>
      <c r="G10" s="23"/>
      <c r="H10" s="23">
        <f t="shared" si="2"/>
        <v>0</v>
      </c>
      <c r="I10" s="22">
        <v>5</v>
      </c>
      <c r="J10" s="23">
        <f t="shared" si="0"/>
        <v>10</v>
      </c>
      <c r="K10" s="23"/>
      <c r="L10" s="23">
        <f t="shared" si="1"/>
        <v>0</v>
      </c>
      <c r="M10" s="18" t="s">
        <v>360</v>
      </c>
      <c r="N10" s="19" t="s">
        <v>313</v>
      </c>
    </row>
    <row r="11" spans="1:14" ht="409.5">
      <c r="A11" s="34" t="s">
        <v>42</v>
      </c>
      <c r="B11" s="27" t="s">
        <v>43</v>
      </c>
      <c r="C11" s="27" t="s">
        <v>44</v>
      </c>
      <c r="D11" s="27" t="s">
        <v>45</v>
      </c>
      <c r="E11" s="27" t="s">
        <v>17</v>
      </c>
      <c r="F11" s="22" cm="1">
        <f t="array" ref="F11">_xlfn.XLOOKUP(E11,Table134[Weighting Meaning],Table134[Weighting Multiplier],NOTFOUND,0)</f>
        <v>3</v>
      </c>
      <c r="G11" s="22"/>
      <c r="H11" s="22">
        <f t="shared" si="2"/>
        <v>0</v>
      </c>
      <c r="I11" s="22">
        <v>5</v>
      </c>
      <c r="J11" s="22">
        <f t="shared" si="0"/>
        <v>15</v>
      </c>
      <c r="K11" s="22"/>
      <c r="L11" s="22">
        <f t="shared" si="1"/>
        <v>0</v>
      </c>
      <c r="M11" s="19" t="s">
        <v>259</v>
      </c>
      <c r="N11" s="19" t="s">
        <v>358</v>
      </c>
    </row>
    <row r="12" spans="1:14" ht="409.5">
      <c r="A12" s="34"/>
      <c r="B12" s="27" t="s">
        <v>46</v>
      </c>
      <c r="C12" s="27" t="s">
        <v>47</v>
      </c>
      <c r="D12" s="27" t="s">
        <v>48</v>
      </c>
      <c r="E12" s="27" t="s">
        <v>49</v>
      </c>
      <c r="F12" s="22" cm="1">
        <f t="array" ref="F12">_xlfn.XLOOKUP(E12,Table134[Weighting Meaning],Table134[Weighting Multiplier],NOTFOUND,0)</f>
        <v>1</v>
      </c>
      <c r="G12" s="22"/>
      <c r="H12" s="22">
        <f t="shared" si="2"/>
        <v>0</v>
      </c>
      <c r="I12" s="22">
        <v>5</v>
      </c>
      <c r="J12" s="22">
        <f t="shared" si="0"/>
        <v>5</v>
      </c>
      <c r="K12" s="22"/>
      <c r="L12" s="22">
        <f t="shared" si="1"/>
        <v>0</v>
      </c>
      <c r="M12" s="18" t="s">
        <v>260</v>
      </c>
      <c r="N12" s="19" t="s">
        <v>314</v>
      </c>
    </row>
    <row r="13" spans="1:14" ht="391.5">
      <c r="A13" s="34"/>
      <c r="B13" s="27" t="s">
        <v>50</v>
      </c>
      <c r="C13" s="27" t="s">
        <v>51</v>
      </c>
      <c r="D13" s="27" t="s">
        <v>52</v>
      </c>
      <c r="E13" s="27" t="s">
        <v>25</v>
      </c>
      <c r="F13" s="22" cm="1">
        <f t="array" ref="F13">_xlfn.XLOOKUP(E13,Table134[Weighting Meaning],Table134[Weighting Multiplier],NOTFOUND,0)</f>
        <v>4</v>
      </c>
      <c r="G13" s="22"/>
      <c r="H13" s="22">
        <f t="shared" si="2"/>
        <v>0</v>
      </c>
      <c r="I13" s="22">
        <v>5</v>
      </c>
      <c r="J13" s="22">
        <f t="shared" si="0"/>
        <v>20</v>
      </c>
      <c r="K13" s="22"/>
      <c r="L13" s="22">
        <f t="shared" si="1"/>
        <v>0</v>
      </c>
      <c r="M13" s="19" t="s">
        <v>261</v>
      </c>
      <c r="N13" s="19" t="s">
        <v>315</v>
      </c>
    </row>
    <row r="14" spans="1:14" ht="409.5">
      <c r="A14" s="34"/>
      <c r="B14" s="27" t="s">
        <v>53</v>
      </c>
      <c r="C14" s="27" t="s">
        <v>54</v>
      </c>
      <c r="D14" s="28" t="s">
        <v>55</v>
      </c>
      <c r="E14" s="27" t="s">
        <v>21</v>
      </c>
      <c r="F14" s="22" cm="1">
        <f t="array" ref="F14">_xlfn.XLOOKUP(E14,Table134[Weighting Meaning],Table134[Weighting Multiplier],NOTFOUND,0)</f>
        <v>2</v>
      </c>
      <c r="G14" s="22"/>
      <c r="H14" s="22">
        <f t="shared" si="2"/>
        <v>0</v>
      </c>
      <c r="I14" s="22">
        <v>5</v>
      </c>
      <c r="J14" s="22">
        <f t="shared" si="0"/>
        <v>10</v>
      </c>
      <c r="K14" s="22"/>
      <c r="L14" s="22">
        <f t="shared" si="1"/>
        <v>0</v>
      </c>
      <c r="M14" s="18" t="s">
        <v>262</v>
      </c>
      <c r="N14" s="19" t="s">
        <v>316</v>
      </c>
    </row>
    <row r="15" spans="1:14" ht="409.5">
      <c r="A15" s="31" t="s">
        <v>56</v>
      </c>
      <c r="B15" s="28" t="s">
        <v>57</v>
      </c>
      <c r="C15" s="28" t="s">
        <v>58</v>
      </c>
      <c r="D15" s="28" t="s">
        <v>59</v>
      </c>
      <c r="E15" s="28" t="s">
        <v>60</v>
      </c>
      <c r="F15" s="23" cm="1">
        <f t="array" ref="F15">_xlfn.XLOOKUP(E15,Table134[Weighting Meaning],Table134[Weighting Multiplier],NOTFOUND,0)</f>
        <v>5</v>
      </c>
      <c r="G15" s="23"/>
      <c r="H15" s="23">
        <f t="shared" si="2"/>
        <v>0</v>
      </c>
      <c r="I15" s="22">
        <v>5</v>
      </c>
      <c r="J15" s="23">
        <f t="shared" si="0"/>
        <v>25</v>
      </c>
      <c r="K15" s="23"/>
      <c r="L15" s="23">
        <f t="shared" si="1"/>
        <v>0</v>
      </c>
      <c r="M15" s="18" t="s">
        <v>263</v>
      </c>
      <c r="N15" s="19" t="s">
        <v>317</v>
      </c>
    </row>
    <row r="16" spans="1:14" ht="409.5">
      <c r="A16" s="31"/>
      <c r="B16" s="28" t="s">
        <v>61</v>
      </c>
      <c r="C16" s="28" t="s">
        <v>62</v>
      </c>
      <c r="D16" s="28" t="s">
        <v>63</v>
      </c>
      <c r="E16" s="28" t="s">
        <v>25</v>
      </c>
      <c r="F16" s="23" cm="1">
        <f t="array" ref="F16">_xlfn.XLOOKUP(E16,Table134[Weighting Meaning],Table134[Weighting Multiplier],NOTFOUND,0)</f>
        <v>4</v>
      </c>
      <c r="G16" s="23"/>
      <c r="H16" s="23">
        <f t="shared" si="2"/>
        <v>0</v>
      </c>
      <c r="I16" s="22">
        <v>5</v>
      </c>
      <c r="J16" s="23">
        <f t="shared" si="0"/>
        <v>20</v>
      </c>
      <c r="K16" s="23"/>
      <c r="L16" s="23">
        <f t="shared" si="1"/>
        <v>0</v>
      </c>
      <c r="M16" s="19" t="s">
        <v>264</v>
      </c>
      <c r="N16" s="19" t="s">
        <v>362</v>
      </c>
    </row>
    <row r="17" spans="1:14" ht="409.5">
      <c r="A17" s="31"/>
      <c r="B17" s="28" t="s">
        <v>64</v>
      </c>
      <c r="C17" s="28" t="s">
        <v>65</v>
      </c>
      <c r="D17" s="28" t="s">
        <v>66</v>
      </c>
      <c r="E17" s="28" t="s">
        <v>49</v>
      </c>
      <c r="F17" s="23" cm="1">
        <f t="array" ref="F17">_xlfn.XLOOKUP(E17,Table134[Weighting Meaning],Table134[Weighting Multiplier],NOTFOUND,0)</f>
        <v>1</v>
      </c>
      <c r="G17" s="23"/>
      <c r="H17" s="23">
        <f t="shared" si="2"/>
        <v>0</v>
      </c>
      <c r="I17" s="22">
        <v>5</v>
      </c>
      <c r="J17" s="23">
        <f t="shared" si="0"/>
        <v>5</v>
      </c>
      <c r="K17" s="23"/>
      <c r="L17" s="23">
        <f t="shared" si="1"/>
        <v>0</v>
      </c>
      <c r="M17" s="19" t="s">
        <v>265</v>
      </c>
      <c r="N17" s="21" t="s">
        <v>318</v>
      </c>
    </row>
    <row r="18" spans="1:14" ht="409.5">
      <c r="A18" s="31"/>
      <c r="B18" s="28" t="s">
        <v>67</v>
      </c>
      <c r="C18" s="28" t="s">
        <v>68</v>
      </c>
      <c r="D18" s="28" t="s">
        <v>69</v>
      </c>
      <c r="E18" s="28" t="s">
        <v>25</v>
      </c>
      <c r="F18" s="23" cm="1">
        <f t="array" ref="F18">_xlfn.XLOOKUP(E18,Table134[Weighting Meaning],Table134[Weighting Multiplier],NOTFOUND,0)</f>
        <v>4</v>
      </c>
      <c r="G18" s="23"/>
      <c r="H18" s="23">
        <f t="shared" ref="H18" si="3">F18*G18</f>
        <v>0</v>
      </c>
      <c r="I18" s="22">
        <v>5</v>
      </c>
      <c r="J18" s="23">
        <f t="shared" ref="J18" si="4">F18*I18</f>
        <v>20</v>
      </c>
      <c r="K18" s="23"/>
      <c r="L18" s="23">
        <f t="shared" ref="L18" si="5">F18*K18</f>
        <v>0</v>
      </c>
      <c r="M18" s="19" t="s">
        <v>266</v>
      </c>
      <c r="N18" s="21" t="s">
        <v>363</v>
      </c>
    </row>
    <row r="19" spans="1:14" ht="409.5">
      <c r="A19" s="31"/>
      <c r="B19" s="28" t="s">
        <v>70</v>
      </c>
      <c r="C19" s="28" t="s">
        <v>71</v>
      </c>
      <c r="D19" s="28" t="s">
        <v>72</v>
      </c>
      <c r="E19" s="28" t="s">
        <v>21</v>
      </c>
      <c r="F19" s="23" cm="1">
        <f t="array" ref="F19">_xlfn.XLOOKUP(E19,Table134[Weighting Meaning],Table134[Weighting Multiplier],NOTFOUND,0)</f>
        <v>2</v>
      </c>
      <c r="G19" s="23"/>
      <c r="H19" s="23">
        <f t="shared" si="2"/>
        <v>0</v>
      </c>
      <c r="I19" s="22">
        <v>5</v>
      </c>
      <c r="J19" s="23">
        <f t="shared" si="0"/>
        <v>10</v>
      </c>
      <c r="K19" s="23"/>
      <c r="L19" s="23">
        <f t="shared" si="1"/>
        <v>0</v>
      </c>
      <c r="M19" s="19" t="s">
        <v>267</v>
      </c>
      <c r="N19" s="21" t="s">
        <v>364</v>
      </c>
    </row>
    <row r="20" spans="1:14" ht="409.5">
      <c r="A20" s="34" t="s">
        <v>73</v>
      </c>
      <c r="B20" s="27" t="s">
        <v>74</v>
      </c>
      <c r="C20" s="27" t="s">
        <v>75</v>
      </c>
      <c r="D20" s="27" t="s">
        <v>76</v>
      </c>
      <c r="E20" s="27" t="s">
        <v>25</v>
      </c>
      <c r="F20" s="22" cm="1">
        <f t="array" ref="F20">_xlfn.XLOOKUP(E20,Table134[Weighting Meaning],Table134[Weighting Multiplier],NOTFOUND,0)</f>
        <v>4</v>
      </c>
      <c r="G20" s="22"/>
      <c r="H20" s="22">
        <f t="shared" si="2"/>
        <v>0</v>
      </c>
      <c r="I20" s="22">
        <v>5</v>
      </c>
      <c r="J20" s="22">
        <f t="shared" si="0"/>
        <v>20</v>
      </c>
      <c r="K20" s="22"/>
      <c r="L20" s="22">
        <f t="shared" si="1"/>
        <v>0</v>
      </c>
      <c r="M20" s="18" t="s">
        <v>268</v>
      </c>
      <c r="N20" s="21" t="s">
        <v>365</v>
      </c>
    </row>
    <row r="21" spans="1:14" ht="409.5">
      <c r="A21" s="34"/>
      <c r="B21" s="27" t="s">
        <v>77</v>
      </c>
      <c r="C21" s="27" t="s">
        <v>78</v>
      </c>
      <c r="D21" s="27" t="s">
        <v>79</v>
      </c>
      <c r="E21" s="27" t="s">
        <v>17</v>
      </c>
      <c r="F21" s="22" cm="1">
        <f t="array" ref="F21">_xlfn.XLOOKUP(E21,Table134[Weighting Meaning],Table134[Weighting Multiplier],NOTFOUND,0)</f>
        <v>3</v>
      </c>
      <c r="G21" s="22"/>
      <c r="H21" s="22">
        <f t="shared" si="2"/>
        <v>0</v>
      </c>
      <c r="I21" s="22">
        <v>5</v>
      </c>
      <c r="J21" s="22">
        <f t="shared" si="0"/>
        <v>15</v>
      </c>
      <c r="K21" s="22"/>
      <c r="L21" s="22">
        <f t="shared" si="1"/>
        <v>0</v>
      </c>
      <c r="M21" s="19" t="s">
        <v>269</v>
      </c>
      <c r="N21" s="19" t="s">
        <v>319</v>
      </c>
    </row>
    <row r="22" spans="1:14" ht="409.5">
      <c r="A22" s="34"/>
      <c r="B22" s="27" t="s">
        <v>80</v>
      </c>
      <c r="C22" s="27" t="s">
        <v>81</v>
      </c>
      <c r="D22" s="27" t="s">
        <v>82</v>
      </c>
      <c r="E22" s="27" t="s">
        <v>25</v>
      </c>
      <c r="F22" s="22" cm="1">
        <f t="array" ref="F22">_xlfn.XLOOKUP(E22,Table134[Weighting Meaning],Table134[Weighting Multiplier],NOTFOUND,0)</f>
        <v>4</v>
      </c>
      <c r="G22" s="22"/>
      <c r="H22" s="22">
        <f t="shared" si="2"/>
        <v>0</v>
      </c>
      <c r="I22" s="22">
        <v>5</v>
      </c>
      <c r="J22" s="22">
        <f t="shared" si="0"/>
        <v>20</v>
      </c>
      <c r="K22" s="22"/>
      <c r="L22" s="22">
        <f t="shared" si="1"/>
        <v>0</v>
      </c>
      <c r="M22" s="19" t="s">
        <v>270</v>
      </c>
      <c r="N22" s="19" t="s">
        <v>320</v>
      </c>
    </row>
    <row r="23" spans="1:14" ht="391.5">
      <c r="A23" s="34"/>
      <c r="B23" s="27" t="s">
        <v>83</v>
      </c>
      <c r="C23" s="27" t="s">
        <v>84</v>
      </c>
      <c r="D23" s="27" t="s">
        <v>85</v>
      </c>
      <c r="E23" s="27" t="s">
        <v>25</v>
      </c>
      <c r="F23" s="22" cm="1">
        <f t="array" ref="F23">_xlfn.XLOOKUP(E23,Table134[Weighting Meaning],Table134[Weighting Multiplier],NOTFOUND,0)</f>
        <v>4</v>
      </c>
      <c r="G23" s="22"/>
      <c r="H23" s="22">
        <f t="shared" si="2"/>
        <v>0</v>
      </c>
      <c r="I23" s="22">
        <v>5</v>
      </c>
      <c r="J23" s="22">
        <f t="shared" si="0"/>
        <v>20</v>
      </c>
      <c r="K23" s="22"/>
      <c r="L23" s="22">
        <f t="shared" si="1"/>
        <v>0</v>
      </c>
      <c r="M23" s="18" t="s">
        <v>359</v>
      </c>
      <c r="N23" s="19" t="s">
        <v>321</v>
      </c>
    </row>
    <row r="24" spans="1:14" ht="409.5">
      <c r="A24" s="31" t="s">
        <v>86</v>
      </c>
      <c r="B24" s="28" t="s">
        <v>87</v>
      </c>
      <c r="C24" s="28" t="s">
        <v>88</v>
      </c>
      <c r="D24" s="28" t="s">
        <v>89</v>
      </c>
      <c r="E24" s="28" t="s">
        <v>17</v>
      </c>
      <c r="F24" s="23" cm="1">
        <f t="array" ref="F24">_xlfn.XLOOKUP(E24,Table134[Weighting Meaning],Table134[Weighting Multiplier],NOTFOUND,0)</f>
        <v>3</v>
      </c>
      <c r="G24" s="23"/>
      <c r="H24" s="23">
        <f t="shared" si="2"/>
        <v>0</v>
      </c>
      <c r="I24" s="22">
        <v>5</v>
      </c>
      <c r="J24" s="23">
        <f t="shared" si="0"/>
        <v>15</v>
      </c>
      <c r="K24" s="23"/>
      <c r="L24" s="23">
        <f t="shared" si="1"/>
        <v>0</v>
      </c>
      <c r="M24" s="19" t="s">
        <v>271</v>
      </c>
      <c r="N24" s="19" t="s">
        <v>322</v>
      </c>
    </row>
    <row r="25" spans="1:14" ht="409.5">
      <c r="A25" s="31"/>
      <c r="B25" s="28" t="s">
        <v>90</v>
      </c>
      <c r="C25" s="28" t="s">
        <v>91</v>
      </c>
      <c r="D25" s="28" t="s">
        <v>92</v>
      </c>
      <c r="E25" s="28" t="s">
        <v>17</v>
      </c>
      <c r="F25" s="23" cm="1">
        <f t="array" ref="F25">_xlfn.XLOOKUP(E25,Table134[Weighting Meaning],Table134[Weighting Multiplier],NOTFOUND,0)</f>
        <v>3</v>
      </c>
      <c r="G25" s="23"/>
      <c r="H25" s="23">
        <f t="shared" si="2"/>
        <v>0</v>
      </c>
      <c r="I25" s="22">
        <v>5</v>
      </c>
      <c r="J25" s="23">
        <f t="shared" si="0"/>
        <v>15</v>
      </c>
      <c r="K25" s="23"/>
      <c r="L25" s="23">
        <f t="shared" si="1"/>
        <v>0</v>
      </c>
      <c r="M25" s="19" t="s">
        <v>272</v>
      </c>
      <c r="N25" s="19" t="s">
        <v>323</v>
      </c>
    </row>
    <row r="26" spans="1:14" ht="409.5">
      <c r="A26" s="31"/>
      <c r="B26" s="28" t="s">
        <v>93</v>
      </c>
      <c r="C26" s="28" t="s">
        <v>94</v>
      </c>
      <c r="D26" s="28" t="s">
        <v>95</v>
      </c>
      <c r="E26" s="28" t="s">
        <v>17</v>
      </c>
      <c r="F26" s="23" cm="1">
        <f t="array" ref="F26">_xlfn.XLOOKUP(E26,Table134[Weighting Meaning],Table134[Weighting Multiplier],NOTFOUND,0)</f>
        <v>3</v>
      </c>
      <c r="G26" s="23"/>
      <c r="H26" s="23">
        <f t="shared" si="2"/>
        <v>0</v>
      </c>
      <c r="I26" s="22">
        <v>5</v>
      </c>
      <c r="J26" s="23">
        <f t="shared" si="0"/>
        <v>15</v>
      </c>
      <c r="K26" s="23"/>
      <c r="L26" s="23">
        <f t="shared" si="1"/>
        <v>0</v>
      </c>
      <c r="M26" s="19" t="s">
        <v>273</v>
      </c>
      <c r="N26" s="19" t="s">
        <v>324</v>
      </c>
    </row>
    <row r="27" spans="1:14" ht="409.5">
      <c r="A27" s="31"/>
      <c r="B27" s="28" t="s">
        <v>96</v>
      </c>
      <c r="C27" s="28" t="s">
        <v>97</v>
      </c>
      <c r="D27" s="28" t="s">
        <v>98</v>
      </c>
      <c r="E27" s="28" t="s">
        <v>21</v>
      </c>
      <c r="F27" s="23" cm="1">
        <f t="array" ref="F27">_xlfn.XLOOKUP(E27,Table134[Weighting Meaning],Table134[Weighting Multiplier],NOTFOUND,0)</f>
        <v>2</v>
      </c>
      <c r="G27" s="23"/>
      <c r="H27" s="23">
        <f t="shared" si="2"/>
        <v>0</v>
      </c>
      <c r="I27" s="22">
        <v>5</v>
      </c>
      <c r="J27" s="23">
        <f t="shared" si="0"/>
        <v>10</v>
      </c>
      <c r="K27" s="23"/>
      <c r="L27" s="23">
        <f t="shared" si="1"/>
        <v>0</v>
      </c>
      <c r="M27" s="19" t="s">
        <v>274</v>
      </c>
      <c r="N27" s="19" t="s">
        <v>325</v>
      </c>
    </row>
    <row r="28" spans="1:14" ht="409.5">
      <c r="A28" s="34" t="s">
        <v>99</v>
      </c>
      <c r="B28" s="27" t="s">
        <v>100</v>
      </c>
      <c r="C28" s="27" t="s">
        <v>101</v>
      </c>
      <c r="D28" s="27" t="s">
        <v>102</v>
      </c>
      <c r="E28" s="27" t="s">
        <v>21</v>
      </c>
      <c r="F28" s="22" cm="1">
        <f t="array" ref="F28">_xlfn.XLOOKUP(E28,Table134[Weighting Meaning],Table134[Weighting Multiplier],NOTFOUND,0)</f>
        <v>2</v>
      </c>
      <c r="G28" s="22"/>
      <c r="H28" s="22">
        <f t="shared" si="2"/>
        <v>0</v>
      </c>
      <c r="I28" s="22">
        <v>5</v>
      </c>
      <c r="J28" s="22">
        <f t="shared" si="0"/>
        <v>10</v>
      </c>
      <c r="K28" s="22"/>
      <c r="L28" s="22">
        <f t="shared" si="1"/>
        <v>0</v>
      </c>
      <c r="M28" s="18" t="s">
        <v>275</v>
      </c>
      <c r="N28" s="19" t="s">
        <v>326</v>
      </c>
    </row>
    <row r="29" spans="1:14" ht="409.5">
      <c r="A29" s="34"/>
      <c r="B29" s="27" t="s">
        <v>103</v>
      </c>
      <c r="C29" s="27" t="s">
        <v>104</v>
      </c>
      <c r="D29" s="27" t="s">
        <v>105</v>
      </c>
      <c r="E29" s="27" t="s">
        <v>25</v>
      </c>
      <c r="F29" s="22" cm="1">
        <f t="array" ref="F29">_xlfn.XLOOKUP(E29,Table134[Weighting Meaning],Table134[Weighting Multiplier],NOTFOUND,0)</f>
        <v>4</v>
      </c>
      <c r="G29" s="22"/>
      <c r="H29" s="22">
        <f t="shared" si="2"/>
        <v>0</v>
      </c>
      <c r="I29" s="22">
        <v>5</v>
      </c>
      <c r="J29" s="22">
        <f t="shared" si="0"/>
        <v>20</v>
      </c>
      <c r="K29" s="22"/>
      <c r="L29" s="22">
        <f t="shared" si="1"/>
        <v>0</v>
      </c>
      <c r="M29" s="18" t="s">
        <v>276</v>
      </c>
      <c r="N29" s="19" t="s">
        <v>327</v>
      </c>
    </row>
    <row r="30" spans="1:14" ht="409.5">
      <c r="A30" s="34"/>
      <c r="B30" s="27" t="s">
        <v>106</v>
      </c>
      <c r="C30" s="27" t="s">
        <v>107</v>
      </c>
      <c r="D30" s="27" t="s">
        <v>108</v>
      </c>
      <c r="E30" s="27" t="s">
        <v>25</v>
      </c>
      <c r="F30" s="22" cm="1">
        <f t="array" ref="F30">_xlfn.XLOOKUP(E30,Table134[Weighting Meaning],Table134[Weighting Multiplier],NOTFOUND,0)</f>
        <v>4</v>
      </c>
      <c r="G30" s="22"/>
      <c r="H30" s="22">
        <f t="shared" si="2"/>
        <v>0</v>
      </c>
      <c r="I30" s="22">
        <v>5</v>
      </c>
      <c r="J30" s="22">
        <f t="shared" si="0"/>
        <v>20</v>
      </c>
      <c r="K30" s="22"/>
      <c r="L30" s="22">
        <f t="shared" si="1"/>
        <v>0</v>
      </c>
      <c r="M30" s="19" t="s">
        <v>277</v>
      </c>
      <c r="N30" s="21" t="s">
        <v>328</v>
      </c>
    </row>
    <row r="31" spans="1:14" ht="409.5">
      <c r="A31" s="31" t="s">
        <v>109</v>
      </c>
      <c r="B31" s="28" t="s">
        <v>110</v>
      </c>
      <c r="C31" s="28" t="s">
        <v>111</v>
      </c>
      <c r="D31" s="28" t="s">
        <v>112</v>
      </c>
      <c r="E31" s="28" t="s">
        <v>60</v>
      </c>
      <c r="F31" s="23" cm="1">
        <f t="array" ref="F31">_xlfn.XLOOKUP(E31,Table134[Weighting Meaning],Table134[Weighting Multiplier],NOTFOUND,0)</f>
        <v>5</v>
      </c>
      <c r="G31" s="23"/>
      <c r="H31" s="23">
        <f t="shared" si="2"/>
        <v>0</v>
      </c>
      <c r="I31" s="22">
        <v>5</v>
      </c>
      <c r="J31" s="23">
        <f t="shared" si="0"/>
        <v>25</v>
      </c>
      <c r="K31" s="23"/>
      <c r="L31" s="23">
        <f t="shared" si="1"/>
        <v>0</v>
      </c>
      <c r="M31" s="18" t="s">
        <v>278</v>
      </c>
      <c r="N31" s="19" t="s">
        <v>329</v>
      </c>
    </row>
    <row r="32" spans="1:14" ht="409.5">
      <c r="A32" s="31"/>
      <c r="B32" s="28" t="s">
        <v>113</v>
      </c>
      <c r="C32" s="28" t="s">
        <v>114</v>
      </c>
      <c r="D32" s="28" t="s">
        <v>115</v>
      </c>
      <c r="E32" s="28" t="s">
        <v>60</v>
      </c>
      <c r="F32" s="23" cm="1">
        <f t="array" ref="F32">_xlfn.XLOOKUP(E32,Table134[Weighting Meaning],Table134[Weighting Multiplier],NOTFOUND,0)</f>
        <v>5</v>
      </c>
      <c r="G32" s="23"/>
      <c r="H32" s="23">
        <f t="shared" si="2"/>
        <v>0</v>
      </c>
      <c r="I32" s="22">
        <v>5</v>
      </c>
      <c r="J32" s="23">
        <f t="shared" si="0"/>
        <v>25</v>
      </c>
      <c r="K32" s="23"/>
      <c r="L32" s="23">
        <f t="shared" si="1"/>
        <v>0</v>
      </c>
      <c r="M32" s="18" t="s">
        <v>279</v>
      </c>
      <c r="N32" s="19" t="s">
        <v>330</v>
      </c>
    </row>
    <row r="33" spans="1:14" ht="232">
      <c r="A33" s="31"/>
      <c r="B33" s="28" t="s">
        <v>116</v>
      </c>
      <c r="C33" s="28" t="s">
        <v>117</v>
      </c>
      <c r="D33" s="28" t="s">
        <v>118</v>
      </c>
      <c r="E33" s="28" t="s">
        <v>60</v>
      </c>
      <c r="F33" s="23" cm="1">
        <f t="array" ref="F33">_xlfn.XLOOKUP(E33,Table134[Weighting Meaning],Table134[Weighting Multiplier],NOTFOUND,0)</f>
        <v>5</v>
      </c>
      <c r="G33" s="23"/>
      <c r="H33" s="23">
        <f t="shared" si="2"/>
        <v>0</v>
      </c>
      <c r="I33" s="22">
        <v>5</v>
      </c>
      <c r="J33" s="23">
        <f t="shared" si="0"/>
        <v>25</v>
      </c>
      <c r="K33" s="23"/>
      <c r="L33" s="23">
        <f t="shared" si="1"/>
        <v>0</v>
      </c>
      <c r="M33" s="19" t="s">
        <v>280</v>
      </c>
      <c r="N33" s="19" t="s">
        <v>331</v>
      </c>
    </row>
    <row r="34" spans="1:14" ht="409.5">
      <c r="A34" s="31"/>
      <c r="B34" s="28" t="s">
        <v>119</v>
      </c>
      <c r="C34" s="28" t="s">
        <v>120</v>
      </c>
      <c r="D34" s="28" t="s">
        <v>121</v>
      </c>
      <c r="E34" s="28" t="s">
        <v>60</v>
      </c>
      <c r="F34" s="23" cm="1">
        <f t="array" ref="F34">_xlfn.XLOOKUP(E34,Table134[Weighting Meaning],Table134[Weighting Multiplier],NOTFOUND,0)</f>
        <v>5</v>
      </c>
      <c r="G34" s="23"/>
      <c r="H34" s="23">
        <f t="shared" si="2"/>
        <v>0</v>
      </c>
      <c r="I34" s="22">
        <v>5</v>
      </c>
      <c r="J34" s="23">
        <f t="shared" si="0"/>
        <v>25</v>
      </c>
      <c r="K34" s="23"/>
      <c r="L34" s="23">
        <f t="shared" si="1"/>
        <v>0</v>
      </c>
      <c r="M34" s="18" t="s">
        <v>281</v>
      </c>
      <c r="N34" s="19" t="s">
        <v>332</v>
      </c>
    </row>
    <row r="35" spans="1:14" ht="409.5">
      <c r="A35" s="31"/>
      <c r="B35" s="28" t="s">
        <v>122</v>
      </c>
      <c r="C35" s="28" t="s">
        <v>123</v>
      </c>
      <c r="D35" s="28" t="s">
        <v>124</v>
      </c>
      <c r="E35" s="28" t="s">
        <v>60</v>
      </c>
      <c r="F35" s="23" cm="1">
        <f t="array" ref="F35">_xlfn.XLOOKUP(E35,Table134[Weighting Meaning],Table134[Weighting Multiplier],NOTFOUND,0)</f>
        <v>5</v>
      </c>
      <c r="G35" s="23"/>
      <c r="H35" s="23">
        <f t="shared" si="2"/>
        <v>0</v>
      </c>
      <c r="I35" s="22">
        <v>5</v>
      </c>
      <c r="J35" s="23">
        <f t="shared" si="0"/>
        <v>25</v>
      </c>
      <c r="K35" s="23"/>
      <c r="L35" s="23">
        <f t="shared" si="1"/>
        <v>0</v>
      </c>
      <c r="M35" s="18" t="s">
        <v>282</v>
      </c>
      <c r="N35" s="19" t="s">
        <v>333</v>
      </c>
    </row>
    <row r="36" spans="1:14" ht="232">
      <c r="A36" s="31"/>
      <c r="B36" s="28" t="s">
        <v>125</v>
      </c>
      <c r="C36" s="28" t="s">
        <v>126</v>
      </c>
      <c r="D36" s="28" t="s">
        <v>127</v>
      </c>
      <c r="E36" s="28" t="s">
        <v>25</v>
      </c>
      <c r="F36" s="23" cm="1">
        <f t="array" ref="F36">_xlfn.XLOOKUP(E36,Table134[Weighting Meaning],Table134[Weighting Multiplier],NOTFOUND,0)</f>
        <v>4</v>
      </c>
      <c r="G36" s="23"/>
      <c r="H36" s="23">
        <f t="shared" si="2"/>
        <v>0</v>
      </c>
      <c r="I36" s="22">
        <v>5</v>
      </c>
      <c r="J36" s="23">
        <f t="shared" si="0"/>
        <v>20</v>
      </c>
      <c r="K36" s="23"/>
      <c r="L36" s="23">
        <f t="shared" si="1"/>
        <v>0</v>
      </c>
      <c r="M36" s="18" t="s">
        <v>283</v>
      </c>
      <c r="N36" s="19" t="s">
        <v>334</v>
      </c>
    </row>
    <row r="37" spans="1:14" ht="188.5">
      <c r="A37" s="34" t="s">
        <v>128</v>
      </c>
      <c r="B37" s="27" t="s">
        <v>129</v>
      </c>
      <c r="C37" s="27" t="s">
        <v>130</v>
      </c>
      <c r="D37" s="27" t="s">
        <v>131</v>
      </c>
      <c r="E37" s="27" t="s">
        <v>25</v>
      </c>
      <c r="F37" s="22" cm="1">
        <f t="array" ref="F37">_xlfn.XLOOKUP(E37,Table134[Weighting Meaning],Table134[Weighting Multiplier],NOTFOUND,0)</f>
        <v>4</v>
      </c>
      <c r="G37" s="22">
        <v>5</v>
      </c>
      <c r="H37" s="22">
        <f t="shared" si="2"/>
        <v>20</v>
      </c>
      <c r="I37" s="22">
        <v>5</v>
      </c>
      <c r="J37" s="22">
        <f t="shared" si="0"/>
        <v>20</v>
      </c>
      <c r="K37" s="22">
        <v>5</v>
      </c>
      <c r="L37" s="22">
        <f t="shared" si="1"/>
        <v>20</v>
      </c>
      <c r="M37" s="19" t="s">
        <v>284</v>
      </c>
      <c r="N37" s="19" t="s">
        <v>335</v>
      </c>
    </row>
    <row r="38" spans="1:14" ht="409.5">
      <c r="A38" s="34"/>
      <c r="B38" s="27" t="s">
        <v>132</v>
      </c>
      <c r="C38" s="27" t="s">
        <v>133</v>
      </c>
      <c r="D38" s="27" t="s">
        <v>134</v>
      </c>
      <c r="E38" s="27" t="s">
        <v>17</v>
      </c>
      <c r="F38" s="22" cm="1">
        <f t="array" ref="F38">_xlfn.XLOOKUP(E38,Table134[Weighting Meaning],Table134[Weighting Multiplier],NOTFOUND,0)</f>
        <v>3</v>
      </c>
      <c r="G38" s="22"/>
      <c r="H38" s="22">
        <f t="shared" si="2"/>
        <v>0</v>
      </c>
      <c r="I38" s="22">
        <v>5</v>
      </c>
      <c r="J38" s="22">
        <f t="shared" si="0"/>
        <v>15</v>
      </c>
      <c r="K38" s="22"/>
      <c r="L38" s="22">
        <f t="shared" si="1"/>
        <v>0</v>
      </c>
      <c r="M38" s="18" t="s">
        <v>285</v>
      </c>
      <c r="N38" s="19" t="s">
        <v>336</v>
      </c>
    </row>
    <row r="39" spans="1:14" ht="409.5">
      <c r="A39" s="34"/>
      <c r="B39" s="27" t="s">
        <v>135</v>
      </c>
      <c r="C39" s="27" t="s">
        <v>136</v>
      </c>
      <c r="D39" s="27" t="s">
        <v>137</v>
      </c>
      <c r="E39" s="27" t="s">
        <v>17</v>
      </c>
      <c r="F39" s="22" cm="1">
        <f t="array" ref="F39">_xlfn.XLOOKUP(E39,Table134[Weighting Meaning],Table134[Weighting Multiplier],NOTFOUND,0)</f>
        <v>3</v>
      </c>
      <c r="G39" s="22"/>
      <c r="H39" s="22">
        <f t="shared" si="2"/>
        <v>0</v>
      </c>
      <c r="I39" s="22">
        <v>5</v>
      </c>
      <c r="J39" s="22">
        <f t="shared" si="0"/>
        <v>15</v>
      </c>
      <c r="K39" s="22"/>
      <c r="L39" s="22">
        <f t="shared" si="1"/>
        <v>0</v>
      </c>
      <c r="M39" s="18" t="s">
        <v>286</v>
      </c>
      <c r="N39" s="19" t="s">
        <v>337</v>
      </c>
    </row>
    <row r="40" spans="1:14" ht="409.5">
      <c r="A40" s="31" t="s">
        <v>138</v>
      </c>
      <c r="B40" s="28" t="s">
        <v>139</v>
      </c>
      <c r="C40" s="28" t="s">
        <v>140</v>
      </c>
      <c r="D40" s="28" t="s">
        <v>141</v>
      </c>
      <c r="E40" s="28" t="s">
        <v>17</v>
      </c>
      <c r="F40" s="23" cm="1">
        <f t="array" ref="F40">_xlfn.XLOOKUP(E40,Table134[Weighting Meaning],Table134[Weighting Multiplier],NOTFOUND,0)</f>
        <v>3</v>
      </c>
      <c r="G40" s="23"/>
      <c r="H40" s="23">
        <f t="shared" si="2"/>
        <v>0</v>
      </c>
      <c r="I40" s="22">
        <v>5</v>
      </c>
      <c r="J40" s="23">
        <f t="shared" si="0"/>
        <v>15</v>
      </c>
      <c r="K40" s="23"/>
      <c r="L40" s="23">
        <f t="shared" si="1"/>
        <v>0</v>
      </c>
      <c r="M40" s="19" t="s">
        <v>287</v>
      </c>
      <c r="N40" s="19" t="s">
        <v>338</v>
      </c>
    </row>
    <row r="41" spans="1:14" ht="409.5">
      <c r="A41" s="31"/>
      <c r="B41" s="28" t="s">
        <v>142</v>
      </c>
      <c r="C41" s="28" t="s">
        <v>143</v>
      </c>
      <c r="D41" s="28" t="s">
        <v>144</v>
      </c>
      <c r="E41" s="28" t="s">
        <v>21</v>
      </c>
      <c r="F41" s="23" cm="1">
        <f t="array" ref="F41">_xlfn.XLOOKUP(E41,Table134[Weighting Meaning],Table134[Weighting Multiplier],NOTFOUND,0)</f>
        <v>2</v>
      </c>
      <c r="G41" s="23"/>
      <c r="H41" s="23">
        <f t="shared" ref="H41:H45" si="6">F41*G41</f>
        <v>0</v>
      </c>
      <c r="I41" s="22">
        <v>5</v>
      </c>
      <c r="J41" s="23">
        <f t="shared" ref="J41:J45" si="7">F41*I41</f>
        <v>10</v>
      </c>
      <c r="K41" s="23"/>
      <c r="L41" s="23">
        <f t="shared" ref="L41:L45" si="8">F41*K41</f>
        <v>0</v>
      </c>
      <c r="M41" s="19" t="s">
        <v>288</v>
      </c>
      <c r="N41" s="19" t="s">
        <v>339</v>
      </c>
    </row>
    <row r="42" spans="1:14" ht="409.5">
      <c r="A42" s="31"/>
      <c r="B42" s="28" t="s">
        <v>145</v>
      </c>
      <c r="C42" s="28" t="s">
        <v>146</v>
      </c>
      <c r="D42" s="28" t="s">
        <v>147</v>
      </c>
      <c r="E42" s="28" t="s">
        <v>25</v>
      </c>
      <c r="F42" s="23" cm="1">
        <f t="array" ref="F42">_xlfn.XLOOKUP(E42,Table134[Weighting Meaning],Table134[Weighting Multiplier],NOTFOUND,0)</f>
        <v>4</v>
      </c>
      <c r="G42" s="23"/>
      <c r="H42" s="23">
        <f t="shared" si="6"/>
        <v>0</v>
      </c>
      <c r="I42" s="22">
        <v>5</v>
      </c>
      <c r="J42" s="23">
        <f t="shared" si="7"/>
        <v>20</v>
      </c>
      <c r="K42" s="23"/>
      <c r="L42" s="23">
        <f t="shared" si="8"/>
        <v>0</v>
      </c>
      <c r="M42" s="19" t="s">
        <v>289</v>
      </c>
      <c r="N42" s="19" t="s">
        <v>340</v>
      </c>
    </row>
    <row r="43" spans="1:14" ht="409.5">
      <c r="A43" s="31"/>
      <c r="B43" s="28" t="s">
        <v>148</v>
      </c>
      <c r="C43" s="28" t="s">
        <v>149</v>
      </c>
      <c r="D43" s="28" t="s">
        <v>150</v>
      </c>
      <c r="E43" s="28" t="s">
        <v>21</v>
      </c>
      <c r="F43" s="23" cm="1">
        <f t="array" ref="F43">_xlfn.XLOOKUP(E43,Table134[Weighting Meaning],Table134[Weighting Multiplier],NOTFOUND,0)</f>
        <v>2</v>
      </c>
      <c r="G43" s="23"/>
      <c r="H43" s="23">
        <f t="shared" si="6"/>
        <v>0</v>
      </c>
      <c r="I43" s="22">
        <v>5</v>
      </c>
      <c r="J43" s="23">
        <f t="shared" si="7"/>
        <v>10</v>
      </c>
      <c r="K43" s="23"/>
      <c r="L43" s="23">
        <f t="shared" si="8"/>
        <v>0</v>
      </c>
      <c r="M43" s="18" t="s">
        <v>290</v>
      </c>
      <c r="N43" s="19" t="s">
        <v>341</v>
      </c>
    </row>
    <row r="44" spans="1:14" ht="409.5">
      <c r="A44" s="31"/>
      <c r="B44" s="28" t="s">
        <v>151</v>
      </c>
      <c r="C44" s="28" t="s">
        <v>152</v>
      </c>
      <c r="D44" s="28" t="s">
        <v>153</v>
      </c>
      <c r="E44" s="28" t="s">
        <v>25</v>
      </c>
      <c r="F44" s="23" cm="1">
        <f t="array" ref="F44">_xlfn.XLOOKUP(E44,Table134[Weighting Meaning],Table134[Weighting Multiplier],NOTFOUND,0)</f>
        <v>4</v>
      </c>
      <c r="G44" s="23"/>
      <c r="H44" s="23">
        <f t="shared" si="6"/>
        <v>0</v>
      </c>
      <c r="I44" s="22">
        <v>5</v>
      </c>
      <c r="J44" s="23">
        <f t="shared" si="7"/>
        <v>20</v>
      </c>
      <c r="K44" s="23"/>
      <c r="L44" s="23">
        <f t="shared" si="8"/>
        <v>0</v>
      </c>
      <c r="M44" s="18" t="s">
        <v>291</v>
      </c>
      <c r="N44" s="19" t="s">
        <v>342</v>
      </c>
    </row>
    <row r="45" spans="1:14" ht="174">
      <c r="A45" s="31"/>
      <c r="B45" s="28" t="s">
        <v>154</v>
      </c>
      <c r="C45" s="28" t="s">
        <v>155</v>
      </c>
      <c r="D45" s="28" t="s">
        <v>156</v>
      </c>
      <c r="E45" s="28" t="s">
        <v>60</v>
      </c>
      <c r="F45" s="23" cm="1">
        <f t="array" ref="F45">_xlfn.XLOOKUP(E45,Table134[Weighting Meaning],Table134[Weighting Multiplier],NOTFOUND,0)</f>
        <v>5</v>
      </c>
      <c r="G45" s="23"/>
      <c r="H45" s="23">
        <f t="shared" si="6"/>
        <v>0</v>
      </c>
      <c r="I45" s="22">
        <v>5</v>
      </c>
      <c r="J45" s="23">
        <f t="shared" si="7"/>
        <v>25</v>
      </c>
      <c r="K45" s="23"/>
      <c r="L45" s="23">
        <f t="shared" si="8"/>
        <v>0</v>
      </c>
      <c r="M45" s="18" t="s">
        <v>292</v>
      </c>
      <c r="N45" s="19" t="s">
        <v>343</v>
      </c>
    </row>
    <row r="46" spans="1:14" ht="409.5">
      <c r="A46" s="31"/>
      <c r="B46" s="28" t="s">
        <v>157</v>
      </c>
      <c r="C46" s="28" t="s">
        <v>158</v>
      </c>
      <c r="D46" s="28" t="s">
        <v>159</v>
      </c>
      <c r="E46" s="28" t="s">
        <v>21</v>
      </c>
      <c r="F46" s="23" cm="1">
        <f t="array" ref="F46">_xlfn.XLOOKUP(E46,Table134[Weighting Meaning],Table134[Weighting Multiplier],NOTFOUND,0)</f>
        <v>2</v>
      </c>
      <c r="G46" s="23"/>
      <c r="H46" s="23">
        <f t="shared" ref="H46" si="9">F46*G46</f>
        <v>0</v>
      </c>
      <c r="I46" s="22">
        <v>5</v>
      </c>
      <c r="J46" s="23">
        <f t="shared" ref="J46" si="10">F46*I46</f>
        <v>10</v>
      </c>
      <c r="K46" s="23"/>
      <c r="L46" s="23">
        <f t="shared" ref="L46" si="11">F46*K46</f>
        <v>0</v>
      </c>
      <c r="M46" s="18" t="s">
        <v>293</v>
      </c>
      <c r="N46" s="19" t="s">
        <v>344</v>
      </c>
    </row>
    <row r="47" spans="1:14" ht="275.5">
      <c r="A47" s="31"/>
      <c r="B47" s="28" t="s">
        <v>160</v>
      </c>
      <c r="C47" s="28" t="s">
        <v>161</v>
      </c>
      <c r="D47" s="28" t="s">
        <v>162</v>
      </c>
      <c r="E47" s="28" t="s">
        <v>60</v>
      </c>
      <c r="F47" s="23" cm="1">
        <f t="array" ref="F47">_xlfn.XLOOKUP(E47,Table134[Weighting Meaning],Table134[Weighting Multiplier],NOTFOUND,0)</f>
        <v>5</v>
      </c>
      <c r="G47" s="23"/>
      <c r="H47" s="23">
        <f t="shared" ref="H47:H48" si="12">F47*G47</f>
        <v>0</v>
      </c>
      <c r="I47" s="22">
        <v>5</v>
      </c>
      <c r="J47" s="23">
        <f t="shared" ref="J47:J48" si="13">F47*I47</f>
        <v>25</v>
      </c>
      <c r="K47" s="23"/>
      <c r="L47" s="23">
        <f t="shared" ref="L47:L48" si="14">F47*K47</f>
        <v>0</v>
      </c>
      <c r="M47" s="18" t="s">
        <v>361</v>
      </c>
      <c r="N47" s="19" t="s">
        <v>345</v>
      </c>
    </row>
    <row r="48" spans="1:14" ht="409.5">
      <c r="A48" s="31"/>
      <c r="B48" s="28" t="s">
        <v>163</v>
      </c>
      <c r="C48" s="28" t="s">
        <v>164</v>
      </c>
      <c r="D48" s="28" t="s">
        <v>165</v>
      </c>
      <c r="E48" s="28" t="s">
        <v>25</v>
      </c>
      <c r="F48" s="23" cm="1">
        <f t="array" ref="F48">_xlfn.XLOOKUP(E48,Table134[Weighting Meaning],Table134[Weighting Multiplier],NOTFOUND,0)</f>
        <v>4</v>
      </c>
      <c r="G48" s="23"/>
      <c r="H48" s="23">
        <f t="shared" si="12"/>
        <v>0</v>
      </c>
      <c r="I48" s="22">
        <v>5</v>
      </c>
      <c r="J48" s="23">
        <f t="shared" si="13"/>
        <v>20</v>
      </c>
      <c r="K48" s="23"/>
      <c r="L48" s="23">
        <f t="shared" si="14"/>
        <v>0</v>
      </c>
      <c r="M48" s="18" t="s">
        <v>294</v>
      </c>
      <c r="N48" s="19" t="s">
        <v>346</v>
      </c>
    </row>
    <row r="49" spans="1:14" ht="116">
      <c r="A49" s="34" t="s">
        <v>166</v>
      </c>
      <c r="B49" s="27" t="s">
        <v>167</v>
      </c>
      <c r="C49" s="27" t="s">
        <v>168</v>
      </c>
      <c r="D49" s="27" t="s">
        <v>169</v>
      </c>
      <c r="E49" s="27" t="s">
        <v>21</v>
      </c>
      <c r="F49" s="22" cm="1">
        <f t="array" ref="F49">_xlfn.XLOOKUP(E49,Table134[Weighting Meaning],Table134[Weighting Multiplier],NOTFOUND,0)</f>
        <v>2</v>
      </c>
      <c r="G49" s="22"/>
      <c r="H49" s="22">
        <f t="shared" si="2"/>
        <v>0</v>
      </c>
      <c r="I49" s="22">
        <v>5</v>
      </c>
      <c r="J49" s="22">
        <f t="shared" si="0"/>
        <v>10</v>
      </c>
      <c r="K49" s="22"/>
      <c r="L49" s="22">
        <f t="shared" si="1"/>
        <v>0</v>
      </c>
      <c r="M49" s="18" t="s">
        <v>295</v>
      </c>
      <c r="N49" s="19" t="s">
        <v>347</v>
      </c>
    </row>
    <row r="50" spans="1:14" ht="319">
      <c r="A50" s="34"/>
      <c r="B50" s="27" t="s">
        <v>170</v>
      </c>
      <c r="C50" s="27" t="s">
        <v>171</v>
      </c>
      <c r="D50" s="27" t="s">
        <v>172</v>
      </c>
      <c r="E50" s="27" t="s">
        <v>21</v>
      </c>
      <c r="F50" s="22" cm="1">
        <f t="array" ref="F50">_xlfn.XLOOKUP(E50,Table134[Weighting Meaning],Table134[Weighting Multiplier],NOTFOUND,0)</f>
        <v>2</v>
      </c>
      <c r="G50" s="22"/>
      <c r="H50" s="22">
        <f t="shared" si="2"/>
        <v>0</v>
      </c>
      <c r="I50" s="22">
        <v>5</v>
      </c>
      <c r="J50" s="22">
        <f t="shared" si="0"/>
        <v>10</v>
      </c>
      <c r="K50" s="22"/>
      <c r="L50" s="22">
        <f t="shared" si="1"/>
        <v>0</v>
      </c>
      <c r="M50" s="19" t="s">
        <v>296</v>
      </c>
      <c r="N50" s="19" t="s">
        <v>348</v>
      </c>
    </row>
    <row r="51" spans="1:14" ht="159.5">
      <c r="A51" s="34"/>
      <c r="B51" s="27" t="s">
        <v>173</v>
      </c>
      <c r="C51" s="27" t="s">
        <v>174</v>
      </c>
      <c r="D51" s="27" t="s">
        <v>175</v>
      </c>
      <c r="E51" s="27" t="s">
        <v>21</v>
      </c>
      <c r="F51" s="22" cm="1">
        <f t="array" ref="F51">_xlfn.XLOOKUP(E51,Table134[Weighting Meaning],Table134[Weighting Multiplier],NOTFOUND,0)</f>
        <v>2</v>
      </c>
      <c r="G51" s="22"/>
      <c r="H51" s="22">
        <f t="shared" si="2"/>
        <v>0</v>
      </c>
      <c r="I51" s="22">
        <v>5</v>
      </c>
      <c r="J51" s="22">
        <f t="shared" si="0"/>
        <v>10</v>
      </c>
      <c r="K51" s="22"/>
      <c r="L51" s="22">
        <f t="shared" si="1"/>
        <v>0</v>
      </c>
      <c r="M51" s="18" t="s">
        <v>297</v>
      </c>
      <c r="N51" s="19" t="s">
        <v>349</v>
      </c>
    </row>
    <row r="52" spans="1:14" ht="409.5">
      <c r="A52" s="31" t="s">
        <v>176</v>
      </c>
      <c r="B52" s="28" t="s">
        <v>177</v>
      </c>
      <c r="C52" s="28" t="s">
        <v>178</v>
      </c>
      <c r="D52" s="28" t="s">
        <v>179</v>
      </c>
      <c r="E52" s="28" t="s">
        <v>25</v>
      </c>
      <c r="F52" s="23" cm="1">
        <f t="array" ref="F52">_xlfn.XLOOKUP(E52,Table134[Weighting Meaning],Table134[Weighting Multiplier],NOTFOUND,0)</f>
        <v>4</v>
      </c>
      <c r="G52" s="23"/>
      <c r="H52" s="23">
        <f t="shared" si="2"/>
        <v>0</v>
      </c>
      <c r="I52" s="22">
        <v>5</v>
      </c>
      <c r="J52" s="23">
        <f t="shared" si="0"/>
        <v>20</v>
      </c>
      <c r="K52" s="23"/>
      <c r="L52" s="23">
        <f t="shared" si="1"/>
        <v>0</v>
      </c>
      <c r="M52" s="18" t="s">
        <v>298</v>
      </c>
      <c r="N52" s="19" t="s">
        <v>350</v>
      </c>
    </row>
    <row r="53" spans="1:14" ht="290">
      <c r="A53" s="31"/>
      <c r="B53" s="28" t="s">
        <v>180</v>
      </c>
      <c r="C53" s="28" t="s">
        <v>181</v>
      </c>
      <c r="D53" s="28" t="s">
        <v>182</v>
      </c>
      <c r="E53" s="28" t="s">
        <v>60</v>
      </c>
      <c r="F53" s="23" cm="1">
        <f t="array" ref="F53">_xlfn.XLOOKUP(E53,Table134[Weighting Meaning],Table134[Weighting Multiplier],NOTFOUND,0)</f>
        <v>5</v>
      </c>
      <c r="G53" s="23"/>
      <c r="H53" s="23">
        <f t="shared" si="2"/>
        <v>0</v>
      </c>
      <c r="I53" s="22">
        <v>5</v>
      </c>
      <c r="J53" s="23">
        <f t="shared" si="0"/>
        <v>25</v>
      </c>
      <c r="K53" s="23"/>
      <c r="L53" s="23">
        <f t="shared" si="1"/>
        <v>0</v>
      </c>
      <c r="M53" s="18" t="s">
        <v>299</v>
      </c>
      <c r="N53" s="19" t="s">
        <v>351</v>
      </c>
    </row>
    <row r="54" spans="1:14" ht="409.5">
      <c r="A54" s="31"/>
      <c r="B54" s="28" t="s">
        <v>183</v>
      </c>
      <c r="C54" s="28" t="s">
        <v>184</v>
      </c>
      <c r="D54" s="28" t="s">
        <v>185</v>
      </c>
      <c r="E54" s="28" t="s">
        <v>17</v>
      </c>
      <c r="F54" s="23" cm="1">
        <f t="array" ref="F54">_xlfn.XLOOKUP(E54,Table134[Weighting Meaning],Table134[Weighting Multiplier],NOTFOUND,0)</f>
        <v>3</v>
      </c>
      <c r="G54" s="23"/>
      <c r="H54" s="23">
        <f t="shared" si="2"/>
        <v>0</v>
      </c>
      <c r="I54" s="22">
        <v>5</v>
      </c>
      <c r="J54" s="23">
        <f t="shared" si="0"/>
        <v>15</v>
      </c>
      <c r="K54" s="23"/>
      <c r="L54" s="23">
        <f t="shared" si="1"/>
        <v>0</v>
      </c>
      <c r="M54" s="18" t="s">
        <v>300</v>
      </c>
      <c r="N54" s="19" t="s">
        <v>352</v>
      </c>
    </row>
    <row r="55" spans="1:14" ht="409.5">
      <c r="A55" s="34" t="s">
        <v>186</v>
      </c>
      <c r="B55" s="27" t="s">
        <v>187</v>
      </c>
      <c r="C55" s="27" t="s">
        <v>188</v>
      </c>
      <c r="D55" s="27" t="s">
        <v>189</v>
      </c>
      <c r="E55" s="27" t="s">
        <v>25</v>
      </c>
      <c r="F55" s="22" cm="1">
        <f t="array" ref="F55">_xlfn.XLOOKUP(E55,Table134[Weighting Meaning],Table134[Weighting Multiplier],NOTFOUND,0)</f>
        <v>4</v>
      </c>
      <c r="G55" s="22"/>
      <c r="H55" s="22">
        <f t="shared" si="2"/>
        <v>0</v>
      </c>
      <c r="I55" s="22">
        <v>5</v>
      </c>
      <c r="J55" s="22">
        <f t="shared" si="0"/>
        <v>20</v>
      </c>
      <c r="K55" s="22"/>
      <c r="L55" s="22">
        <f t="shared" si="1"/>
        <v>0</v>
      </c>
      <c r="M55" s="20" t="s">
        <v>301</v>
      </c>
      <c r="N55" s="19" t="s">
        <v>353</v>
      </c>
    </row>
    <row r="56" spans="1:14" ht="409.5">
      <c r="A56" s="34"/>
      <c r="B56" s="27" t="s">
        <v>190</v>
      </c>
      <c r="C56" s="27" t="s">
        <v>191</v>
      </c>
      <c r="D56" s="27" t="s">
        <v>192</v>
      </c>
      <c r="E56" s="27" t="s">
        <v>25</v>
      </c>
      <c r="F56" s="22" cm="1">
        <f t="array" ref="F56">_xlfn.XLOOKUP(E56,Table134[Weighting Meaning],Table134[Weighting Multiplier],NOTFOUND,0)</f>
        <v>4</v>
      </c>
      <c r="G56" s="22"/>
      <c r="H56" s="22">
        <f t="shared" si="2"/>
        <v>0</v>
      </c>
      <c r="I56" s="22">
        <v>5</v>
      </c>
      <c r="J56" s="22">
        <f t="shared" si="0"/>
        <v>20</v>
      </c>
      <c r="K56" s="22"/>
      <c r="L56" s="22">
        <f t="shared" si="1"/>
        <v>0</v>
      </c>
      <c r="M56" s="19" t="s">
        <v>302</v>
      </c>
      <c r="N56" s="19" t="s">
        <v>354</v>
      </c>
    </row>
    <row r="57" spans="1:14" ht="409.5">
      <c r="A57" s="34"/>
      <c r="B57" s="27" t="s">
        <v>193</v>
      </c>
      <c r="C57" s="27" t="s">
        <v>194</v>
      </c>
      <c r="D57" s="27" t="s">
        <v>195</v>
      </c>
      <c r="E57" s="27" t="s">
        <v>25</v>
      </c>
      <c r="F57" s="22" cm="1">
        <f t="array" ref="F57">_xlfn.XLOOKUP(E57,Table134[Weighting Meaning],Table134[Weighting Multiplier],NOTFOUND,0)</f>
        <v>4</v>
      </c>
      <c r="G57" s="22"/>
      <c r="H57" s="22">
        <f t="shared" si="2"/>
        <v>0</v>
      </c>
      <c r="I57" s="22">
        <v>5</v>
      </c>
      <c r="J57" s="22">
        <f t="shared" si="0"/>
        <v>20</v>
      </c>
      <c r="K57" s="22"/>
      <c r="L57" s="22">
        <f t="shared" si="1"/>
        <v>0</v>
      </c>
      <c r="M57" s="18" t="s">
        <v>303</v>
      </c>
      <c r="N57" s="19" t="s">
        <v>355</v>
      </c>
    </row>
    <row r="58" spans="1:14" ht="409.5">
      <c r="A58" s="34"/>
      <c r="B58" s="27" t="s">
        <v>196</v>
      </c>
      <c r="C58" s="27" t="s">
        <v>197</v>
      </c>
      <c r="D58" s="27" t="s">
        <v>198</v>
      </c>
      <c r="E58" s="27" t="s">
        <v>25</v>
      </c>
      <c r="F58" s="22" cm="1">
        <f t="array" ref="F58">_xlfn.XLOOKUP(E58,Table134[Weighting Meaning],Table134[Weighting Multiplier],NOTFOUND,0)</f>
        <v>4</v>
      </c>
      <c r="G58" s="22"/>
      <c r="H58" s="22">
        <f t="shared" si="2"/>
        <v>0</v>
      </c>
      <c r="I58" s="22">
        <v>5</v>
      </c>
      <c r="J58" s="22">
        <f t="shared" si="0"/>
        <v>20</v>
      </c>
      <c r="K58" s="22"/>
      <c r="L58" s="22">
        <f t="shared" si="1"/>
        <v>0</v>
      </c>
      <c r="M58" s="18" t="s">
        <v>304</v>
      </c>
      <c r="N58" s="19" t="s">
        <v>356</v>
      </c>
    </row>
    <row r="59" spans="1:14" ht="409.5">
      <c r="A59" s="34"/>
      <c r="B59" s="27" t="s">
        <v>199</v>
      </c>
      <c r="C59" s="27" t="s">
        <v>200</v>
      </c>
      <c r="D59" s="27" t="s">
        <v>201</v>
      </c>
      <c r="E59" s="27" t="s">
        <v>60</v>
      </c>
      <c r="F59" s="22" cm="1">
        <f t="array" ref="F59">_xlfn.XLOOKUP(E59,Table134[Weighting Meaning],Table134[Weighting Multiplier],NOTFOUND,0)</f>
        <v>5</v>
      </c>
      <c r="G59" s="22"/>
      <c r="H59" s="22">
        <f t="shared" si="2"/>
        <v>0</v>
      </c>
      <c r="I59" s="22">
        <v>5</v>
      </c>
      <c r="J59" s="22">
        <f t="shared" si="0"/>
        <v>25</v>
      </c>
      <c r="K59" s="22"/>
      <c r="L59" s="22">
        <f t="shared" si="1"/>
        <v>0</v>
      </c>
      <c r="M59" s="19" t="s">
        <v>305</v>
      </c>
      <c r="N59" s="19" t="s">
        <v>357</v>
      </c>
    </row>
    <row r="60" spans="1:14" ht="15.5">
      <c r="A60" s="29" t="s">
        <v>202</v>
      </c>
      <c r="B60" s="29"/>
      <c r="C60" s="29"/>
      <c r="D60" s="29"/>
      <c r="E60" s="29"/>
      <c r="F60" s="30"/>
      <c r="G60" s="30"/>
      <c r="H60" s="30">
        <f>SUM(H3:H58)</f>
        <v>35</v>
      </c>
      <c r="I60" s="30"/>
      <c r="J60" s="30">
        <f>SUM(J3:J58)</f>
        <v>965</v>
      </c>
      <c r="K60" s="30"/>
      <c r="L60" s="30">
        <f>SUM(L3:L58)</f>
        <v>35</v>
      </c>
    </row>
    <row r="61" spans="1:14" ht="15.5">
      <c r="A61" s="28"/>
      <c r="B61" s="28"/>
      <c r="C61" s="28"/>
      <c r="D61" s="28"/>
      <c r="E61" s="28"/>
      <c r="F61" s="23"/>
      <c r="G61" s="28"/>
      <c r="H61" s="28"/>
      <c r="I61" s="28"/>
      <c r="J61" s="28"/>
      <c r="K61" s="28"/>
      <c r="L61" s="28"/>
    </row>
  </sheetData>
  <autoFilter ref="A2:L60" xr:uid="{00000000-0001-0000-0000-000000000000}"/>
  <mergeCells count="16">
    <mergeCell ref="A55:A59"/>
    <mergeCell ref="A28:A30"/>
    <mergeCell ref="A31:A36"/>
    <mergeCell ref="A37:A39"/>
    <mergeCell ref="A40:A48"/>
    <mergeCell ref="A49:A51"/>
    <mergeCell ref="A52:A54"/>
    <mergeCell ref="A24:A27"/>
    <mergeCell ref="K1:L1"/>
    <mergeCell ref="A1:B1"/>
    <mergeCell ref="C1:J1"/>
    <mergeCell ref="A3:A7"/>
    <mergeCell ref="A8:A10"/>
    <mergeCell ref="A11:A14"/>
    <mergeCell ref="A15:A19"/>
    <mergeCell ref="A20:A23"/>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31E241C-1543-E942-9694-D6604734FA4A}">
          <x14:formula1>
            <xm:f>Legend!$C$6:$C$11</xm:f>
          </x14:formula1>
          <xm:sqref>E3:E59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FC75C-2D5A-9345-B6D2-AB727D7D1C6B}">
  <sheetPr>
    <tabColor rgb="FFA8CFA5"/>
  </sheetPr>
  <dimension ref="A2:F37"/>
  <sheetViews>
    <sheetView showGridLines="0" zoomScale="145" zoomScaleNormal="145" workbookViewId="0">
      <selection activeCell="C5" sqref="C5"/>
    </sheetView>
  </sheetViews>
  <sheetFormatPr defaultColWidth="9.1796875" defaultRowHeight="10"/>
  <cols>
    <col min="1" max="1" width="5.7265625" style="1" customWidth="1"/>
    <col min="2" max="2" width="18.453125" style="1" customWidth="1"/>
    <col min="3" max="3" width="23" style="1" customWidth="1"/>
    <col min="4" max="4" width="35" style="1" customWidth="1"/>
    <col min="5" max="5" width="33.453125" style="1" customWidth="1"/>
    <col min="6" max="6" width="33.1796875" style="1" customWidth="1"/>
    <col min="7" max="8" width="9.81640625" style="1" customWidth="1"/>
    <col min="9" max="16384" width="9.1796875" style="1"/>
  </cols>
  <sheetData>
    <row r="2" spans="1:5" ht="19">
      <c r="B2" s="35" t="s">
        <v>203</v>
      </c>
      <c r="C2" s="35"/>
      <c r="D2" s="35"/>
      <c r="E2" s="35"/>
    </row>
    <row r="3" spans="1:5" ht="19">
      <c r="B3" s="36" t="s">
        <v>204</v>
      </c>
      <c r="C3" s="36"/>
      <c r="D3" s="36"/>
      <c r="E3" s="36"/>
    </row>
    <row r="5" spans="1:5" s="2" customFormat="1" ht="11.5">
      <c r="B5" s="3" t="s">
        <v>205</v>
      </c>
      <c r="C5" s="3" t="s">
        <v>206</v>
      </c>
      <c r="D5" s="3" t="s">
        <v>207</v>
      </c>
      <c r="E5" s="4" t="s">
        <v>208</v>
      </c>
    </row>
    <row r="6" spans="1:5" s="2" customFormat="1" ht="11.5">
      <c r="B6" s="9">
        <v>0</v>
      </c>
      <c r="C6" s="15" t="s">
        <v>209</v>
      </c>
      <c r="D6" s="15" t="s">
        <v>210</v>
      </c>
      <c r="E6" s="15" t="s">
        <v>210</v>
      </c>
    </row>
    <row r="7" spans="1:5" s="5" customFormat="1" ht="30">
      <c r="B7" s="6">
        <v>1</v>
      </c>
      <c r="C7" s="7" t="s">
        <v>49</v>
      </c>
      <c r="D7" s="8" t="s">
        <v>211</v>
      </c>
      <c r="E7" s="8" t="s">
        <v>212</v>
      </c>
    </row>
    <row r="8" spans="1:5" ht="30">
      <c r="B8" s="9">
        <v>2</v>
      </c>
      <c r="C8" s="10" t="s">
        <v>21</v>
      </c>
      <c r="D8" s="11" t="s">
        <v>213</v>
      </c>
      <c r="E8" s="11" t="s">
        <v>214</v>
      </c>
    </row>
    <row r="9" spans="1:5" ht="30">
      <c r="B9" s="6">
        <v>3</v>
      </c>
      <c r="C9" s="7" t="s">
        <v>17</v>
      </c>
      <c r="D9" s="8" t="s">
        <v>215</v>
      </c>
      <c r="E9" s="8" t="s">
        <v>216</v>
      </c>
    </row>
    <row r="10" spans="1:5" ht="30">
      <c r="B10" s="9">
        <v>4</v>
      </c>
      <c r="C10" s="12" t="s">
        <v>25</v>
      </c>
      <c r="D10" s="11" t="s">
        <v>217</v>
      </c>
      <c r="E10" s="11" t="s">
        <v>218</v>
      </c>
    </row>
    <row r="11" spans="1:5" ht="30">
      <c r="A11" s="1" t="s">
        <v>219</v>
      </c>
      <c r="B11" s="6">
        <v>5</v>
      </c>
      <c r="C11" s="13" t="s">
        <v>60</v>
      </c>
      <c r="D11" s="8" t="s">
        <v>220</v>
      </c>
      <c r="E11" s="8" t="s">
        <v>221</v>
      </c>
    </row>
    <row r="15" spans="1:5" ht="19">
      <c r="B15" s="35" t="s">
        <v>222</v>
      </c>
      <c r="C15" s="35"/>
      <c r="D15" s="35"/>
      <c r="E15" s="35"/>
    </row>
    <row r="16" spans="1:5" ht="19">
      <c r="B16" s="36" t="s">
        <v>204</v>
      </c>
      <c r="C16" s="36"/>
      <c r="D16" s="36"/>
      <c r="E16" s="36"/>
    </row>
    <row r="18" spans="2:6" ht="10.5">
      <c r="B18" s="3" t="s">
        <v>223</v>
      </c>
      <c r="C18" s="3" t="s">
        <v>224</v>
      </c>
      <c r="D18" s="3" t="s">
        <v>225</v>
      </c>
      <c r="E18" s="3" t="s">
        <v>226</v>
      </c>
      <c r="F18" s="3" t="s">
        <v>227</v>
      </c>
    </row>
    <row r="19" spans="2:6" ht="10.5">
      <c r="B19" s="9">
        <v>0</v>
      </c>
      <c r="C19" s="15" t="s">
        <v>209</v>
      </c>
      <c r="D19" s="15" t="s">
        <v>210</v>
      </c>
      <c r="E19" s="15" t="s">
        <v>210</v>
      </c>
      <c r="F19" s="15" t="s">
        <v>210</v>
      </c>
    </row>
    <row r="20" spans="2:6" ht="30">
      <c r="B20" s="6">
        <v>1</v>
      </c>
      <c r="C20" s="7" t="s">
        <v>228</v>
      </c>
      <c r="D20" s="8" t="s">
        <v>229</v>
      </c>
      <c r="E20" s="8" t="s">
        <v>230</v>
      </c>
      <c r="F20" s="8" t="s">
        <v>231</v>
      </c>
    </row>
    <row r="21" spans="2:6" ht="30">
      <c r="B21" s="9">
        <v>2</v>
      </c>
      <c r="C21" s="10" t="s">
        <v>232</v>
      </c>
      <c r="D21" s="11" t="s">
        <v>233</v>
      </c>
      <c r="E21" s="11" t="s">
        <v>234</v>
      </c>
      <c r="F21" s="11" t="s">
        <v>235</v>
      </c>
    </row>
    <row r="22" spans="2:6" ht="30">
      <c r="B22" s="6">
        <v>3</v>
      </c>
      <c r="C22" s="7" t="s">
        <v>236</v>
      </c>
      <c r="D22" s="8" t="s">
        <v>237</v>
      </c>
      <c r="E22" s="8" t="s">
        <v>238</v>
      </c>
      <c r="F22" s="8" t="s">
        <v>239</v>
      </c>
    </row>
    <row r="23" spans="2:6" ht="30">
      <c r="B23" s="9">
        <v>4</v>
      </c>
      <c r="C23" s="12" t="s">
        <v>240</v>
      </c>
      <c r="D23" s="11" t="s">
        <v>241</v>
      </c>
      <c r="E23" s="11" t="s">
        <v>242</v>
      </c>
      <c r="F23" s="11" t="s">
        <v>243</v>
      </c>
    </row>
    <row r="24" spans="2:6" ht="30">
      <c r="B24" s="6">
        <v>5</v>
      </c>
      <c r="C24" s="13" t="s">
        <v>244</v>
      </c>
      <c r="D24" s="8" t="s">
        <v>245</v>
      </c>
      <c r="E24" s="8" t="s">
        <v>246</v>
      </c>
      <c r="F24" s="8" t="s">
        <v>247</v>
      </c>
    </row>
    <row r="32" spans="2:6" ht="14.5">
      <c r="C32" s="14"/>
      <c r="D32" s="14"/>
    </row>
    <row r="33" spans="3:3" ht="14.5">
      <c r="C33"/>
    </row>
    <row r="34" spans="3:3" ht="14.5">
      <c r="C34"/>
    </row>
    <row r="35" spans="3:3" ht="14.5">
      <c r="C35"/>
    </row>
    <row r="36" spans="3:3" ht="14.5">
      <c r="C36"/>
    </row>
    <row r="37" spans="3:3" ht="14.5">
      <c r="C37"/>
    </row>
  </sheetData>
  <mergeCells count="4">
    <mergeCell ref="B2:E2"/>
    <mergeCell ref="B3:E3"/>
    <mergeCell ref="B15:E15"/>
    <mergeCell ref="B16:E16"/>
  </mergeCells>
  <phoneticPr fontId="15" type="noConversion"/>
  <pageMargins left="0.78740157480314998" right="0.78740157480314998" top="0.78740157480314998" bottom="1.2374015748031499" header="0.78740157480314998" footer="0.78740157480314998"/>
  <pageSetup paperSize="9" orientation="portrait" horizontalDpi="300" verticalDpi="300" r:id="rId1"/>
  <headerFooter alignWithMargins="0"/>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1CB7-8C3D-4102-9701-195C31147723}">
  <dimension ref="A1:B37"/>
  <sheetViews>
    <sheetView workbookViewId="0">
      <selection activeCell="J26" sqref="J26"/>
    </sheetView>
  </sheetViews>
  <sheetFormatPr defaultColWidth="8.81640625" defaultRowHeight="14.5"/>
  <cols>
    <col min="1" max="1" width="19.453125" customWidth="1"/>
    <col min="2" max="2" width="42.1796875" customWidth="1"/>
  </cols>
  <sheetData>
    <row r="1" spans="1:2" ht="15" customHeight="1">
      <c r="A1" s="16" t="s">
        <v>13</v>
      </c>
      <c r="B1" t="s">
        <v>248</v>
      </c>
    </row>
    <row r="2" spans="1:2" ht="15" customHeight="1">
      <c r="A2" s="17" t="s">
        <v>32</v>
      </c>
      <c r="B2" t="s">
        <v>248</v>
      </c>
    </row>
    <row r="3" spans="1:2" ht="15" customHeight="1">
      <c r="A3" s="16" t="s">
        <v>42</v>
      </c>
      <c r="B3" t="s">
        <v>248</v>
      </c>
    </row>
    <row r="4" spans="1:2" ht="15" customHeight="1">
      <c r="A4" s="17" t="s">
        <v>56</v>
      </c>
      <c r="B4" t="s">
        <v>248</v>
      </c>
    </row>
    <row r="5" spans="1:2" ht="15" customHeight="1">
      <c r="A5" s="16" t="s">
        <v>73</v>
      </c>
      <c r="B5" t="s">
        <v>248</v>
      </c>
    </row>
    <row r="6" spans="1:2" ht="15" customHeight="1">
      <c r="A6" s="17" t="s">
        <v>86</v>
      </c>
      <c r="B6" t="s">
        <v>248</v>
      </c>
    </row>
    <row r="7" spans="1:2" ht="15" customHeight="1">
      <c r="A7" s="16" t="s">
        <v>99</v>
      </c>
      <c r="B7" t="s">
        <v>248</v>
      </c>
    </row>
    <row r="8" spans="1:2" ht="15" customHeight="1">
      <c r="A8" s="17" t="s">
        <v>109</v>
      </c>
      <c r="B8" t="s">
        <v>249</v>
      </c>
    </row>
    <row r="9" spans="1:2" ht="15" customHeight="1">
      <c r="A9" s="16" t="s">
        <v>128</v>
      </c>
      <c r="B9" t="s">
        <v>250</v>
      </c>
    </row>
    <row r="10" spans="1:2" ht="15" customHeight="1">
      <c r="A10" s="17" t="s">
        <v>138</v>
      </c>
      <c r="B10" t="s">
        <v>249</v>
      </c>
    </row>
    <row r="11" spans="1:2" ht="15" customHeight="1">
      <c r="A11" s="16" t="s">
        <v>166</v>
      </c>
      <c r="B11" t="s">
        <v>250</v>
      </c>
    </row>
    <row r="12" spans="1:2" ht="15" customHeight="1">
      <c r="A12" s="17" t="s">
        <v>176</v>
      </c>
      <c r="B12" t="s">
        <v>250</v>
      </c>
    </row>
    <row r="13" spans="1:2" ht="15" customHeight="1">
      <c r="A13" s="16" t="s">
        <v>186</v>
      </c>
      <c r="B13" t="s">
        <v>250</v>
      </c>
    </row>
    <row r="14" spans="1:2" ht="15" customHeight="1">
      <c r="A14" s="16" t="s">
        <v>166</v>
      </c>
      <c r="B14" t="s">
        <v>250</v>
      </c>
    </row>
    <row r="15" spans="1:2" ht="15" customHeight="1">
      <c r="A15" s="17" t="s">
        <v>176</v>
      </c>
      <c r="B15" t="s">
        <v>249</v>
      </c>
    </row>
    <row r="16" spans="1:2" ht="15" customHeight="1">
      <c r="A16" s="16" t="s">
        <v>186</v>
      </c>
      <c r="B16" t="s">
        <v>248</v>
      </c>
    </row>
    <row r="17" spans="1:1" ht="15" customHeight="1"/>
    <row r="18" spans="1:1" ht="15" customHeight="1"/>
    <row r="19" spans="1:1" ht="15" customHeight="1">
      <c r="A19" s="17"/>
    </row>
    <row r="20" spans="1:1" ht="15" customHeight="1">
      <c r="A20" s="17"/>
    </row>
    <row r="21" spans="1:1" ht="15" customHeight="1">
      <c r="A21" s="17"/>
    </row>
    <row r="22" spans="1:1" ht="15" customHeight="1">
      <c r="A22" s="17"/>
    </row>
    <row r="23" spans="1:1" ht="15" customHeight="1">
      <c r="A23" s="17"/>
    </row>
    <row r="24" spans="1:1" ht="15" customHeight="1">
      <c r="A24" s="17"/>
    </row>
    <row r="25" spans="1:1" ht="15" customHeight="1">
      <c r="A25" s="17"/>
    </row>
    <row r="26" spans="1:1" ht="15" customHeight="1">
      <c r="A26" s="17"/>
    </row>
    <row r="27" spans="1:1" ht="15" customHeight="1"/>
    <row r="28" spans="1:1" ht="15" customHeight="1"/>
    <row r="29" spans="1:1" ht="15" customHeight="1"/>
    <row r="30" spans="1:1" ht="15" customHeight="1"/>
    <row r="31" spans="1:1" ht="15" customHeight="1"/>
    <row r="32" spans="1:1" ht="15" customHeight="1"/>
    <row r="33" ht="15" customHeight="1"/>
    <row r="34" ht="15" customHeight="1"/>
    <row r="35" ht="15" customHeight="1"/>
    <row r="36" ht="15" customHeight="1"/>
    <row r="37" ht="15" customHeigh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04D1C152C32946844AA72ED5B510AE" ma:contentTypeVersion="24" ma:contentTypeDescription="Create a new document." ma:contentTypeScope="" ma:versionID="40948e22bc3c5fc56b3589e180180867">
  <xsd:schema xmlns:xsd="http://www.w3.org/2001/XMLSchema" xmlns:xs="http://www.w3.org/2001/XMLSchema" xmlns:p="http://schemas.microsoft.com/office/2006/metadata/properties" xmlns:ns2="236d467e-fe90-4ae0-9fe2-011d77897820" xmlns:ns3="4544b03d-ed08-46e1-a5f8-632fc735be33" targetNamespace="http://schemas.microsoft.com/office/2006/metadata/properties" ma:root="true" ma:fieldsID="d8ffb09f5a9b81b82a3526b32c263078" ns2:_="" ns3:_="">
    <xsd:import namespace="236d467e-fe90-4ae0-9fe2-011d77897820"/>
    <xsd:import namespace="4544b03d-ed08-46e1-a5f8-632fc735be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_Flow_SignoffStatu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eandTime" minOccurs="0"/>
                <xsd:element ref="ns2:MediaServiceObjectDetectorVersions" minOccurs="0"/>
                <xsd:element ref="ns2:AssignedTo" minOccurs="0"/>
                <xsd:element ref="ns2:MediaServiceSearchProperties" minOccurs="0"/>
                <xsd:element ref="ns2:Ta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467e-fe90-4ae0-9fe2-011d77897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DateandTime" ma:index="25" nillable="true" ma:displayName="Date and Time" ma:format="DateOnly" ma:internalName="DateandTim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AssignedTo" ma:index="27"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Tag" ma:index="29" nillable="true" ma:displayName="Tag" ma:description="Description of document" ma:format="Dropdown" ma:internalName="Tag">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44b03d-ed08-46e1-a5f8-632fc735be3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735703f-a276-49e5-accf-32bfcce930c1}" ma:internalName="TaxCatchAll" ma:showField="CatchAllData" ma:web="4544b03d-ed08-46e1-a5f8-632fc735b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6d467e-fe90-4ae0-9fe2-011d77897820">
      <Terms xmlns="http://schemas.microsoft.com/office/infopath/2007/PartnerControls"/>
    </lcf76f155ced4ddcb4097134ff3c332f>
    <TaxCatchAll xmlns="4544b03d-ed08-46e1-a5f8-632fc735be33" xsi:nil="true"/>
    <Tag xmlns="236d467e-fe90-4ae0-9fe2-011d77897820" xsi:nil="true"/>
    <DateandTime xmlns="236d467e-fe90-4ae0-9fe2-011d77897820" xsi:nil="true"/>
    <AssignedTo xmlns="236d467e-fe90-4ae0-9fe2-011d77897820">
      <UserInfo>
        <DisplayName/>
        <AccountId xsi:nil="true"/>
        <AccountType/>
      </UserInfo>
    </AssignedTo>
    <_Flow_SignoffStatus xmlns="236d467e-fe90-4ae0-9fe2-011d77897820" xsi:nil="true"/>
  </documentManagement>
</p:properties>
</file>

<file path=customXml/itemProps1.xml><?xml version="1.0" encoding="utf-8"?>
<ds:datastoreItem xmlns:ds="http://schemas.openxmlformats.org/officeDocument/2006/customXml" ds:itemID="{F8D700A2-53EC-4DED-AB0C-E796FF2BCF8B}">
  <ds:schemaRefs>
    <ds:schemaRef ds:uri="http://schemas.microsoft.com/sharepoint/v3/contenttype/forms"/>
  </ds:schemaRefs>
</ds:datastoreItem>
</file>

<file path=customXml/itemProps2.xml><?xml version="1.0" encoding="utf-8"?>
<ds:datastoreItem xmlns:ds="http://schemas.openxmlformats.org/officeDocument/2006/customXml" ds:itemID="{107A9EF4-CA36-4B03-BAB6-6DCC5EBCA3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6d467e-fe90-4ae0-9fe2-011d77897820"/>
    <ds:schemaRef ds:uri="4544b03d-ed08-46e1-a5f8-632fc735be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E0C2ED-18B5-4E1D-89B2-26D3419AD7CF}">
  <ds:schemaRefs>
    <ds:schemaRef ds:uri="http://schemas.microsoft.com/office/infopath/2007/PartnerControls"/>
    <ds:schemaRef ds:uri="http://www.w3.org/XML/1998/namespace"/>
    <ds:schemaRef ds:uri="236d467e-fe90-4ae0-9fe2-011d77897820"/>
    <ds:schemaRef ds:uri="http://schemas.openxmlformats.org/package/2006/metadata/core-properties"/>
    <ds:schemaRef ds:uri="4544b03d-ed08-46e1-a5f8-632fc735be33"/>
    <ds:schemaRef ds:uri="http://schemas.microsoft.com/office/2006/documentManagement/types"/>
    <ds:schemaRef ds:uri="http://purl.org/dc/terms/"/>
    <ds:schemaRef ds:uri="http://purl.org/dc/elements/1.1/"/>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87867195-f2b8-4ac2-b0b6-6bb73cb33afc}" enabled="1" method="Privileged" siteId="{72f988bf-86f1-41af-91ab-2d7cd011db47}" removed="0"/>
  <clbl:label id="{e7f09a8f-df31-4464-b100-d09a5dbff5c8}" enabled="1" method="Standard" siteId="{570057f4-73ef-41c8-bcbb-08db2fc15c2b}"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Hyperscaler Decision Matrix</vt:lpstr>
      <vt:lpstr>Legend</vt:lpstr>
      <vt:lpstr>Assumptions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Bernice Soutter</cp:lastModifiedBy>
  <cp:revision/>
  <dcterms:created xsi:type="dcterms:W3CDTF">2026-02-16T10:06:09Z</dcterms:created>
  <dcterms:modified xsi:type="dcterms:W3CDTF">2026-04-09T08:09:04Z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0x010100B104D1C152C32946844AA72ED5B510AE</vt:lpwstr>
  </property>
  <property fmtid="{D5CDD505-2E9C-101B-9397-08002B2CF9AE}" pid="3" name="MediaServiceImageTags">
    <vt:lpwstr/>
  </property>
</Properties>
</file>