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5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axglobal.sharepoint.com/sites/ProfessionalServices-UK/Projects/D/DMG Media/[4614536 - PR-028832] - DMG Media - CRA Phase 1/Pre-Sales/Cost Model/"/>
    </mc:Choice>
  </mc:AlternateContent>
  <xr:revisionPtr revIDLastSave="352" documentId="8_{AF022F2D-28FD-4BBA-9AB7-D1B3050D0B6F}" xr6:coauthVersionLast="47" xr6:coauthVersionMax="47" xr10:uidLastSave="{54A26DEE-7A2B-4203-85A3-473AAC11A5FA}"/>
  <bookViews>
    <workbookView xWindow="-120" yWindow="-120" windowWidth="29040" windowHeight="15720" tabRatio="724" firstSheet="4" activeTab="4" xr2:uid="{8E8F7823-B5B3-437D-91BC-510BB743757E}"/>
  </bookViews>
  <sheets>
    <sheet name="Version History" sheetId="23" r:id="rId1"/>
    <sheet name="Summary" sheetId="16" r:id="rId2"/>
    <sheet name="Reference" sheetId="10" state="hidden" r:id="rId3"/>
    <sheet name="price at custom" sheetId="11" state="hidden" r:id="rId4"/>
    <sheet name="Calculator" sheetId="9" r:id="rId5"/>
    <sheet name="LOE" sheetId="24" r:id="rId6"/>
    <sheet name="Milestones" sheetId="21" r:id="rId7"/>
    <sheet name="Price Tables " sheetId="13" r:id="rId8"/>
    <sheet name="PriceTbls" sheetId="25" state="hidden" r:id="rId9"/>
    <sheet name="Resource Plan" sheetId="20" r:id="rId10"/>
    <sheet name="Autopopulated_resource plan" sheetId="22" state="hidden" r:id="rId11"/>
    <sheet name="Working sheet 1" sheetId="19" r:id="rId12"/>
    <sheet name="Working Sheet 2" sheetId="18" r:id="rId13"/>
    <sheet name="Working Sheet 3" sheetId="17" r:id="rId14"/>
    <sheet name="Costs" sheetId="6" r:id="rId15"/>
  </sheets>
  <externalReferences>
    <externalReference r:id="rId16"/>
    <externalReference r:id="rId17"/>
    <externalReference r:id="rId18"/>
  </externalReferences>
  <definedNames>
    <definedName name="_xlnm._FilterDatabase" localSheetId="2" hidden="1">Reference!$A$1:$M$1</definedName>
    <definedName name="altcostAdv" localSheetId="5">[1]Costs!$AH$48:$AT$57</definedName>
    <definedName name="altcostAdv" localSheetId="8">PriceTbls!$AJ$48:$AV$57</definedName>
    <definedName name="altcostAdv">Costs!$AJ$51:$AV$60</definedName>
    <definedName name="altcostAps" localSheetId="5">[1]Costs!$AH$4:$AT$13</definedName>
    <definedName name="altcostAps" localSheetId="8">PriceTbls!$AJ$4:$AV$13</definedName>
    <definedName name="altcostAps">Costs!$AJ$4:$AV$13</definedName>
    <definedName name="altcostData" localSheetId="5">[1]Costs!$AH$18:$AT$27</definedName>
    <definedName name="altcostData" localSheetId="8">PriceTbls!$AJ$18:$AV$27</definedName>
    <definedName name="altcostData">Costs!$AJ$18:$AV$27</definedName>
    <definedName name="altcostErp" localSheetId="5">[1]Costs!$AH$111:$AT$122</definedName>
    <definedName name="altcostErp" localSheetId="8">PriceTbls!$AJ$111:$AV$122</definedName>
    <definedName name="altcostErp">Costs!$AJ$114:$AV$125</definedName>
    <definedName name="altcostProd" localSheetId="5">[1]Costs!$AH$63:$AT$72</definedName>
    <definedName name="altcostProd" localSheetId="8">PriceTbls!$AJ$63:$AV$72</definedName>
    <definedName name="altcostProd">Costs!$AJ$66:$AV$75</definedName>
    <definedName name="altcostPvtCld" localSheetId="5">[1]Costs!$AH$77:$AT$88</definedName>
    <definedName name="altcostPvtCld" localSheetId="8">PriceTbls!$AJ$77:$AV$88</definedName>
    <definedName name="altcostPvtCld">Costs!$AJ$80:$AV$91</definedName>
    <definedName name="altcostSdaia" localSheetId="5">[1]Costs!$AH$94:$AT$105</definedName>
    <definedName name="altcostSdaia" localSheetId="8">PriceTbls!$AJ$94:$AW$105</definedName>
    <definedName name="altcostSdaia">Costs!$AJ$97:$AW$108</definedName>
    <definedName name="altcostSec" localSheetId="5">[1]Costs!$AH$33:$AT$42</definedName>
    <definedName name="altcostSec" localSheetId="8">PriceTbls!$AJ$33:$AV$42</definedName>
    <definedName name="altcostSec">Costs!$AJ$36:$AV$45</definedName>
    <definedName name="Contingency" localSheetId="5">[1]Calculator!$I$17</definedName>
    <definedName name="Contingency">Calculator!$I$17</definedName>
    <definedName name="Contingency_amount" localSheetId="5">[1]Calculator!$F$19</definedName>
    <definedName name="Contingency_amount">Calculator!$F$19</definedName>
    <definedName name="costAdv" localSheetId="5">[1]Costs!$C$48:$O$57</definedName>
    <definedName name="costAdv" localSheetId="8">PriceTbls!$C$50:$O$59</definedName>
    <definedName name="costAdv">Costs!$C$51:$O$60</definedName>
    <definedName name="costAps" localSheetId="5">[1]Costs!$C$4:$O$15</definedName>
    <definedName name="costAps">Costs!$C$4:$O$15</definedName>
    <definedName name="costData" localSheetId="10">TbCostData[[US]:[VN]]</definedName>
    <definedName name="costData" localSheetId="5">[1]!TbCostData[[US]:[VN]]</definedName>
    <definedName name="costData" localSheetId="8">TbCostData25[[US]:[VN]]</definedName>
    <definedName name="costData">TbCostData[[US]:[VN]]</definedName>
    <definedName name="costErp" localSheetId="5">[1]Costs!$C$111:$O$122</definedName>
    <definedName name="costErp" localSheetId="8">PriceTbls!$C$113:$O$124</definedName>
    <definedName name="costErp">Costs!$C$114:$O$125</definedName>
    <definedName name="costHealth" localSheetId="8">PriceTbls!$C$128:$P$141</definedName>
    <definedName name="costHealth">Costs!$C$129:$P$142</definedName>
    <definedName name="costProd" localSheetId="5">[1]Costs!$C$63:$O$72</definedName>
    <definedName name="costProd" localSheetId="8">PriceTbls!$C$65:$O$74</definedName>
    <definedName name="costProd">Costs!$C$66:$O$75</definedName>
    <definedName name="costPvtCld" localSheetId="5">[1]Costs!$C$77:$O$88</definedName>
    <definedName name="costPvtCld" localSheetId="8">PriceTbls!$C$79:$O$90</definedName>
    <definedName name="costPvtCld">Costs!$C$80:$O$91</definedName>
    <definedName name="costSdaia" localSheetId="5">[1]Costs!$C$94:$O$105</definedName>
    <definedName name="costSdaia" localSheetId="8">PriceTbls!$C$96:$P$107</definedName>
    <definedName name="costSdaia">Costs!$C$97:$P$108</definedName>
    <definedName name="costSec" localSheetId="10">TbCostSec[[US]:[VN]]</definedName>
    <definedName name="costSec" localSheetId="5">[1]!TbCostSec[[US]:[VN]]</definedName>
    <definedName name="costSec" localSheetId="8">PriceTbls!$C$35:$O$44</definedName>
    <definedName name="costSec">TbCostSec[[US]:[VN]]</definedName>
    <definedName name="countAdv" localSheetId="5">[1]!TbCountAdv[[US]:[VN]]</definedName>
    <definedName name="countAdv" localSheetId="8">TbCountAdv27[[US]:[VN]]</definedName>
    <definedName name="countAdv">TbCountAdv[[US]:[VN]]</definedName>
    <definedName name="countAps" localSheetId="10">TbCountAps[[US]:[VN]]</definedName>
    <definedName name="countAps" localSheetId="5">[1]!TbCountAps[[US]:[VN]]</definedName>
    <definedName name="countAps" localSheetId="8">TbCountAps22[[US]:[VN]]</definedName>
    <definedName name="countAps">TbCountAps[[US]:[VN]]</definedName>
    <definedName name="countData" localSheetId="10">TbCountData[[US]:[VN]]</definedName>
    <definedName name="countData" localSheetId="5">[1]!TbCountData[[US]:[VN]]</definedName>
    <definedName name="countData" localSheetId="8">TbCountData24[[US]:[VN]]</definedName>
    <definedName name="countData">TbCountData[[US]:[VN]]</definedName>
    <definedName name="countErp" localSheetId="5">[1]!TbCountErp[[US]:[VN]]</definedName>
    <definedName name="countErp" localSheetId="8">TbCountErp29[[US]:[VN]]</definedName>
    <definedName name="countErp">TbCountErp[[US]:[VN]]</definedName>
    <definedName name="CountHealth" localSheetId="8">TbCountHealth32[[US]:[VN]]</definedName>
    <definedName name="CountHealth">TbCountHealth[[US]:[VN]]</definedName>
    <definedName name="countProd" localSheetId="5">[1]!TbCountProd[[US]:[VN]]</definedName>
    <definedName name="countProd" localSheetId="8">TbCountProd28[[US]:[VN]]</definedName>
    <definedName name="countProd">TbCountProd[[US]:[VN]]</definedName>
    <definedName name="CountPvtCld" localSheetId="5">[1]!TbCountPvtCld[[US]:[VN]]</definedName>
    <definedName name="CountPvtCld" localSheetId="8">TbCountPvtCld30[[US]:[VN]]</definedName>
    <definedName name="CountPvtCld">TbCountPvtCld[[US]:[VN]]</definedName>
    <definedName name="countries" localSheetId="10">TbCountries[Region Sourced from]</definedName>
    <definedName name="countries" localSheetId="5">[1]!TbCountries[Region Sourced from]</definedName>
    <definedName name="countries" localSheetId="8">TbCountries[Region Sourced from]</definedName>
    <definedName name="countries">TbCountries[Region Sourced from]</definedName>
    <definedName name="countSdaia" localSheetId="5">[1]!TbCountSdaia[[US]:[VN]]</definedName>
    <definedName name="countSdaia" localSheetId="8">TbCountSdaia31[[US]:[SA]]</definedName>
    <definedName name="countSdaia">TbCountSdaia[[US]:[SA]]</definedName>
    <definedName name="countSec" localSheetId="10">TbCountSec[[US]:[VN]]</definedName>
    <definedName name="countSec" localSheetId="5">[1]!TbCountSec[[US]:[VN]]</definedName>
    <definedName name="countSec" localSheetId="8">TbCountSec26[[US]:[VN]]</definedName>
    <definedName name="countSec">TbCountSec[[US]:[VN]]</definedName>
    <definedName name="currency" localSheetId="5">[1]Reference!$J$4:$J$8</definedName>
    <definedName name="currency">Reference!$J$4:$J$8</definedName>
    <definedName name="data_roles">Reference!$D$40:$D$51</definedName>
    <definedName name="Delivery_Type">'[2]Financial Summary'!$C$13</definedName>
    <definedName name="expiry_code" localSheetId="5">[1]Reference!$CB$6</definedName>
    <definedName name="expiry_code">Reference!$CB$6</definedName>
    <definedName name="fx" localSheetId="5">[1]Reference!$K$4:$K$8</definedName>
    <definedName name="fx">Reference!$K$4:$K$8</definedName>
    <definedName name="Margin">'[2]Financial Summary'!$C$29</definedName>
    <definedName name="Materials_Cost">'[2]Cost Model'!$H$19</definedName>
    <definedName name="Max_Allowed_Unbilled">[2]Parameters!$E$1</definedName>
    <definedName name="Max_unbilled">'[2]Cost Model'!$H$21</definedName>
    <definedName name="Minimum_Revenue">Summary!$C$21</definedName>
    <definedName name="pa_roles">Reference!$C$41:$C$50</definedName>
    <definedName name="practices" localSheetId="10">tb_practices[Practice Area]</definedName>
    <definedName name="practices" localSheetId="5">[1]!tb_practices[Practice Area]</definedName>
    <definedName name="practices" localSheetId="8">tb_practices[Practice Area]</definedName>
    <definedName name="practices">tb_practices[Practice Area]</definedName>
    <definedName name="priceAdv">PriceTbls!$C$50:$N$55</definedName>
    <definedName name="priceAps">PriceTbls!$C$4:$O$13</definedName>
    <definedName name="priceData">PriceTbls!$C$18:$P$31</definedName>
    <definedName name="priceErp">PriceTbls!$C$113:$P$124</definedName>
    <definedName name="priceHealth">PriceTbls!$C$128:$P$141</definedName>
    <definedName name="priceProd">PriceTbls!$C$65:$N$74</definedName>
    <definedName name="pricePvtCld">PriceTbls!$C$79:$P$92</definedName>
    <definedName name="priceSdaia">PriceTbls!$C$96:$P$107</definedName>
    <definedName name="priceSec">PriceTbls!$C$35:$O$44</definedName>
    <definedName name="prod_roles">Reference!$G$40:$G$49</definedName>
    <definedName name="Profit" localSheetId="5">[1]Summary!$C$30</definedName>
    <definedName name="Profit">Summary!$C$29</definedName>
    <definedName name="Resource_cost">'[2]Cost Model'!$H$17</definedName>
    <definedName name="Revenue">'[2]Cost Model'!$H$16</definedName>
    <definedName name="Role">[3]Assumptions!$B$2:$B$15</definedName>
    <definedName name="role_rng" localSheetId="5">[1]!tb_role_map[Role]</definedName>
    <definedName name="role_rng" localSheetId="8">tb_role_map[Role]</definedName>
    <definedName name="role_rng">tb_role_map[Role]</definedName>
    <definedName name="roles" localSheetId="10">tb_roles[Role]</definedName>
    <definedName name="roles" localSheetId="5">[1]!tb_roles[Role]</definedName>
    <definedName name="roles" localSheetId="8">tb_roles[Role]</definedName>
    <definedName name="roles">tb_roles[Role]</definedName>
    <definedName name="roles_1" localSheetId="5">[1]Reference!$C$40:$C$49</definedName>
    <definedName name="roles_1">Reference!$C$41:$C$50</definedName>
    <definedName name="roles_2" localSheetId="5">[1]Reference!$D$40:$D$49</definedName>
    <definedName name="roles_2">Reference!$D$40:$D$49</definedName>
    <definedName name="roles_3" localSheetId="5">[1]Reference!$E$40:$E$49</definedName>
    <definedName name="roles_3">Reference!$E$40:$E$49</definedName>
    <definedName name="roles_4" localSheetId="5">[1]Reference!$F$40:$F$41</definedName>
    <definedName name="roles_4">Reference!$F$40:$F$41</definedName>
    <definedName name="roles_5" localSheetId="5">[1]Reference!$G$40:$G$49</definedName>
    <definedName name="roles_5">Reference!$G$40:$G$49</definedName>
    <definedName name="roles_6" localSheetId="5">[1]Reference!$H$40:$H$51</definedName>
    <definedName name="roles_6">Reference!$H$40:$H$51</definedName>
    <definedName name="roles_7" localSheetId="5">[1]Reference!$I$40:$I$51</definedName>
    <definedName name="roles_7">Reference!$I$40:$I$51</definedName>
    <definedName name="roles_8" localSheetId="5">[1]Reference!$J$40:$J$51</definedName>
    <definedName name="roles_8">Reference!$J$40:$J$51</definedName>
    <definedName name="roles_9">Reference!$K$40:$K$53</definedName>
    <definedName name="sec_roles">Reference!$E$40:$E$49</definedName>
    <definedName name="Volumetric_Cost">'[2]Cost Model'!$H$18</definedName>
    <definedName name="wks" localSheetId="5">[1]Reference!$A$101:$A$152</definedName>
    <definedName name="wks">Reference!$A$101:$A$152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24" l="1"/>
  <c r="H26" i="9" s="1"/>
  <c r="N43" i="24"/>
  <c r="H27" i="9" s="1"/>
  <c r="N44" i="24"/>
  <c r="H28" i="9" s="1"/>
  <c r="N45" i="24"/>
  <c r="H29" i="9" s="1"/>
  <c r="N46" i="24"/>
  <c r="H25" i="9" s="1"/>
  <c r="N41" i="24"/>
  <c r="H24" i="9" s="1"/>
  <c r="N40" i="24"/>
  <c r="H23" i="9" s="1"/>
  <c r="M9" i="18"/>
  <c r="N9" i="18" s="1"/>
  <c r="M8" i="18"/>
  <c r="N8" i="18" s="1"/>
  <c r="M7" i="18"/>
  <c r="N7" i="18" s="1"/>
  <c r="M6" i="18"/>
  <c r="N6" i="18" s="1"/>
  <c r="M5" i="18"/>
  <c r="N5" i="18" s="1"/>
  <c r="M4" i="18"/>
  <c r="N4" i="18" s="1"/>
  <c r="P9" i="13" l="1"/>
  <c r="P10" i="13"/>
  <c r="P11" i="13"/>
  <c r="P12" i="13"/>
  <c r="P13" i="13"/>
  <c r="P14" i="13"/>
  <c r="P15" i="13"/>
  <c r="P16" i="13"/>
  <c r="P17" i="13"/>
  <c r="P8" i="13"/>
  <c r="U28" i="13"/>
  <c r="X22" i="13"/>
  <c r="X23" i="13" s="1"/>
  <c r="U23" i="13"/>
  <c r="V23" i="13" s="1"/>
  <c r="V24" i="13" l="1"/>
  <c r="V25" i="13" s="1"/>
  <c r="Y32" i="13" l="1"/>
  <c r="Y31" i="13"/>
  <c r="Y30" i="13"/>
  <c r="Y29" i="13"/>
  <c r="Y28" i="13"/>
  <c r="Y27" i="13"/>
  <c r="Y26" i="13"/>
  <c r="Y25" i="13"/>
  <c r="Y24" i="13"/>
  <c r="Y23" i="13"/>
  <c r="O21" i="9" l="1"/>
  <c r="CB2" i="10" l="1"/>
  <c r="CB5" i="10" s="1"/>
  <c r="AE140" i="25" l="1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AE123" i="25"/>
  <c r="AD123" i="25"/>
  <c r="AC123" i="25"/>
  <c r="AB123" i="25"/>
  <c r="AA123" i="25"/>
  <c r="Z123" i="25"/>
  <c r="Y123" i="25"/>
  <c r="X123" i="25"/>
  <c r="W123" i="25"/>
  <c r="V123" i="25"/>
  <c r="U123" i="25"/>
  <c r="T123" i="25"/>
  <c r="S123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AE58" i="25"/>
  <c r="AD58" i="25"/>
  <c r="AC58" i="25"/>
  <c r="AB58" i="25"/>
  <c r="AA58" i="25"/>
  <c r="Z58" i="25"/>
  <c r="Y58" i="25"/>
  <c r="X58" i="25"/>
  <c r="W58" i="25"/>
  <c r="V58" i="25"/>
  <c r="U58" i="25"/>
  <c r="T58" i="25"/>
  <c r="S58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S39" i="9"/>
  <c r="S43" i="9"/>
  <c r="S41" i="9"/>
  <c r="S33" i="9"/>
  <c r="S32" i="9"/>
  <c r="S36" i="9"/>
  <c r="S29" i="9"/>
  <c r="S35" i="9"/>
  <c r="S42" i="9"/>
  <c r="S38" i="9"/>
  <c r="S27" i="9"/>
  <c r="S26" i="9"/>
  <c r="S28" i="9"/>
  <c r="S37" i="9"/>
  <c r="S31" i="9"/>
  <c r="S40" i="9"/>
  <c r="S25" i="9"/>
  <c r="S24" i="9"/>
  <c r="S23" i="9"/>
  <c r="S30" i="9"/>
  <c r="S34" i="9"/>
  <c r="AG106" i="25" l="1"/>
  <c r="AG58" i="25"/>
  <c r="AG73" i="25"/>
  <c r="AG89" i="25"/>
  <c r="AG14" i="25"/>
  <c r="AG123" i="25"/>
  <c r="AG140" i="25"/>
  <c r="AG28" i="25"/>
  <c r="AG43" i="25"/>
  <c r="F6" i="22" l="1"/>
  <c r="P115" i="13" l="1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P114" i="13"/>
  <c r="O114" i="13"/>
  <c r="N114" i="13"/>
  <c r="M114" i="13"/>
  <c r="L114" i="13"/>
  <c r="K114" i="13"/>
  <c r="J114" i="13"/>
  <c r="I114" i="13"/>
  <c r="H114" i="13"/>
  <c r="G114" i="13"/>
  <c r="F114" i="13"/>
  <c r="E114" i="13"/>
  <c r="D114" i="13"/>
  <c r="C114" i="13"/>
  <c r="P113" i="13"/>
  <c r="O113" i="13"/>
  <c r="N113" i="13"/>
  <c r="M113" i="13"/>
  <c r="L113" i="13"/>
  <c r="K113" i="13"/>
  <c r="J113" i="13"/>
  <c r="I113" i="13"/>
  <c r="H113" i="13"/>
  <c r="G113" i="13"/>
  <c r="F113" i="13"/>
  <c r="E113" i="13"/>
  <c r="D113" i="13"/>
  <c r="C113" i="13"/>
  <c r="P112" i="13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P102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E143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AF109" i="6"/>
  <c r="R28" i="9"/>
  <c r="R37" i="9"/>
  <c r="B37" i="9"/>
  <c r="B24" i="9"/>
  <c r="R38" i="9"/>
  <c r="B30" i="9"/>
  <c r="R34" i="9"/>
  <c r="B31" i="9"/>
  <c r="B29" i="9"/>
  <c r="R36" i="9"/>
  <c r="B36" i="9"/>
  <c r="B38" i="9"/>
  <c r="B39" i="9"/>
  <c r="R33" i="9"/>
  <c r="R30" i="9"/>
  <c r="R24" i="9"/>
  <c r="R23" i="9"/>
  <c r="R31" i="9"/>
  <c r="R40" i="9"/>
  <c r="B23" i="9"/>
  <c r="R25" i="9"/>
  <c r="B41" i="9"/>
  <c r="B33" i="9"/>
  <c r="B28" i="9"/>
  <c r="R32" i="9"/>
  <c r="B40" i="9"/>
  <c r="B27" i="9"/>
  <c r="B26" i="9"/>
  <c r="R41" i="9"/>
  <c r="B25" i="9"/>
  <c r="R39" i="9"/>
  <c r="B35" i="9"/>
  <c r="R27" i="9"/>
  <c r="B32" i="9"/>
  <c r="R29" i="9"/>
  <c r="R26" i="9"/>
  <c r="B43" i="9"/>
  <c r="B42" i="9"/>
  <c r="R42" i="9"/>
  <c r="R35" i="9"/>
  <c r="B34" i="9"/>
  <c r="R43" i="9"/>
  <c r="I12" i="9" l="1"/>
  <c r="F14" i="9"/>
  <c r="AG143" i="6"/>
  <c r="F16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CE5" i="10" l="1"/>
  <c r="CF5" i="10"/>
  <c r="CD5" i="10"/>
  <c r="K51" i="9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T36" i="9"/>
  <c r="T38" i="9"/>
  <c r="T35" i="9"/>
  <c r="T34" i="9"/>
  <c r="T28" i="9"/>
  <c r="T27" i="9"/>
  <c r="T23" i="9"/>
  <c r="T29" i="9"/>
  <c r="T43" i="9"/>
  <c r="T41" i="9"/>
  <c r="T39" i="9"/>
  <c r="T24" i="9"/>
  <c r="T32" i="9"/>
  <c r="T26" i="9"/>
  <c r="T40" i="9"/>
  <c r="T30" i="9"/>
  <c r="T25" i="9"/>
  <c r="T37" i="9"/>
  <c r="T33" i="9"/>
  <c r="T42" i="9"/>
  <c r="T31" i="9"/>
  <c r="AG109" i="6" l="1"/>
  <c r="AG92" i="6"/>
  <c r="Z2" i="10" a="1"/>
  <c r="Z2" i="10" s="1"/>
  <c r="I5" i="9" l="1" a="1"/>
  <c r="I5" i="9" s="1"/>
  <c r="L51" i="9"/>
  <c r="I17" i="9"/>
  <c r="CB4" i="10" l="1"/>
  <c r="CD4" i="10" s="1"/>
  <c r="M21" i="9"/>
  <c r="AE126" i="6"/>
  <c r="AD126" i="6"/>
  <c r="AC126" i="6"/>
  <c r="AB126" i="6"/>
  <c r="AA126" i="6"/>
  <c r="Z126" i="6"/>
  <c r="Y126" i="6"/>
  <c r="X126" i="6"/>
  <c r="W126" i="6"/>
  <c r="V126" i="6"/>
  <c r="U126" i="6"/>
  <c r="T126" i="6"/>
  <c r="S126" i="6"/>
  <c r="G24" i="22"/>
  <c r="G23" i="22"/>
  <c r="E24" i="22"/>
  <c r="E25" i="22"/>
  <c r="E26" i="22"/>
  <c r="E27" i="22"/>
  <c r="E28" i="22"/>
  <c r="E29" i="22"/>
  <c r="E30" i="22"/>
  <c r="E31" i="22"/>
  <c r="E32" i="22"/>
  <c r="E33" i="22"/>
  <c r="E34" i="22"/>
  <c r="F25" i="22"/>
  <c r="F26" i="22"/>
  <c r="F27" i="22"/>
  <c r="F28" i="22"/>
  <c r="F29" i="22"/>
  <c r="F30" i="22"/>
  <c r="F31" i="22"/>
  <c r="F32" i="22"/>
  <c r="F33" i="22"/>
  <c r="F34" i="22"/>
  <c r="G25" i="22"/>
  <c r="G26" i="22"/>
  <c r="G27" i="22"/>
  <c r="G28" i="22"/>
  <c r="G29" i="22"/>
  <c r="G30" i="22"/>
  <c r="G31" i="22"/>
  <c r="G32" i="22"/>
  <c r="G33" i="22"/>
  <c r="G34" i="22"/>
  <c r="F42" i="20"/>
  <c r="G42" i="20"/>
  <c r="F7" i="22"/>
  <c r="CW20" i="20"/>
  <c r="CV20" i="20"/>
  <c r="CW18" i="20"/>
  <c r="CV18" i="20"/>
  <c r="CW16" i="20"/>
  <c r="CV16" i="20"/>
  <c r="CW14" i="20"/>
  <c r="CV14" i="20"/>
  <c r="CW12" i="20"/>
  <c r="CV12" i="20"/>
  <c r="CW10" i="20"/>
  <c r="CV10" i="20"/>
  <c r="CW6" i="20"/>
  <c r="CV6" i="20"/>
  <c r="CW4" i="20"/>
  <c r="CV4" i="20"/>
  <c r="AB2" i="16"/>
  <c r="AA1" i="16" s="1"/>
  <c r="AB3" i="16"/>
  <c r="Q38" i="22"/>
  <c r="Q40" i="22"/>
  <c r="Q26" i="22"/>
  <c r="Q37" i="22"/>
  <c r="Q35" i="22"/>
  <c r="Q32" i="22"/>
  <c r="Q41" i="22"/>
  <c r="Q43" i="22"/>
  <c r="Q39" i="22"/>
  <c r="Q42" i="22"/>
  <c r="Q34" i="22"/>
  <c r="Q36" i="22"/>
  <c r="B31" i="22"/>
  <c r="B28" i="22"/>
  <c r="Q29" i="22"/>
  <c r="B33" i="22"/>
  <c r="B27" i="22"/>
  <c r="B25" i="22"/>
  <c r="CF4" i="10" l="1"/>
  <c r="CE4" i="10"/>
  <c r="F19" i="9"/>
  <c r="C42" i="9"/>
  <c r="U42" i="9" s="1"/>
  <c r="C24" i="9"/>
  <c r="U24" i="9" s="1"/>
  <c r="C43" i="9"/>
  <c r="U43" i="9" s="1"/>
  <c r="C35" i="9"/>
  <c r="U35" i="9" s="1"/>
  <c r="C26" i="9"/>
  <c r="U26" i="9" s="1"/>
  <c r="C41" i="9"/>
  <c r="U41" i="9" s="1"/>
  <c r="C23" i="9"/>
  <c r="C38" i="9"/>
  <c r="U38" i="9" s="1"/>
  <c r="C28" i="9"/>
  <c r="U28" i="9" s="1"/>
  <c r="C34" i="9"/>
  <c r="U34" i="9" s="1"/>
  <c r="C33" i="9"/>
  <c r="U33" i="9" s="1"/>
  <c r="C39" i="9"/>
  <c r="U39" i="9" s="1"/>
  <c r="C30" i="9"/>
  <c r="U30" i="9" s="1"/>
  <c r="C37" i="9"/>
  <c r="U37" i="9" s="1"/>
  <c r="C29" i="9"/>
  <c r="U29" i="9" s="1"/>
  <c r="C25" i="9"/>
  <c r="U25" i="9" s="1"/>
  <c r="C36" i="9"/>
  <c r="U36" i="9" s="1"/>
  <c r="C40" i="9"/>
  <c r="U40" i="9" s="1"/>
  <c r="C27" i="9"/>
  <c r="U27" i="9" s="1"/>
  <c r="C32" i="9"/>
  <c r="U32" i="9" s="1"/>
  <c r="C31" i="9"/>
  <c r="U31" i="9" s="1"/>
  <c r="AG126" i="6"/>
  <c r="Q33" i="22"/>
  <c r="B43" i="22"/>
  <c r="Q25" i="22"/>
  <c r="B35" i="22"/>
  <c r="B38" i="22"/>
  <c r="B39" i="22"/>
  <c r="B30" i="22"/>
  <c r="B29" i="22"/>
  <c r="B40" i="22"/>
  <c r="Q28" i="22"/>
  <c r="B32" i="22"/>
  <c r="B36" i="22"/>
  <c r="B37" i="22"/>
  <c r="B26" i="22"/>
  <c r="Q30" i="22"/>
  <c r="Q31" i="22"/>
  <c r="B41" i="22"/>
  <c r="B42" i="22"/>
  <c r="B34" i="22"/>
  <c r="Q27" i="22"/>
  <c r="U23" i="9" l="1"/>
  <c r="CB7" i="10"/>
  <c r="CB10" i="10" s="1"/>
  <c r="CB6" i="10" s="1"/>
  <c r="H3" i="9" s="1"/>
  <c r="CD6" i="10"/>
  <c r="C25" i="1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J2" i="9" l="1"/>
  <c r="F3" i="16"/>
  <c r="AG76" i="6"/>
  <c r="H4" i="9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D2" i="16"/>
  <c r="G45" i="20"/>
  <c r="G46" i="20"/>
  <c r="G47" i="20"/>
  <c r="G48" i="20"/>
  <c r="G49" i="20"/>
  <c r="G50" i="20"/>
  <c r="G51" i="20"/>
  <c r="G52" i="20"/>
  <c r="G53" i="20"/>
  <c r="G54" i="20"/>
  <c r="G55" i="20"/>
  <c r="G44" i="20"/>
  <c r="M42" i="20"/>
  <c r="N42" i="20" s="1"/>
  <c r="O42" i="20" s="1"/>
  <c r="P42" i="20" s="1"/>
  <c r="Q42" i="20" s="1"/>
  <c r="R42" i="20" s="1"/>
  <c r="S42" i="20" s="1"/>
  <c r="T42" i="20" s="1"/>
  <c r="U42" i="20" s="1"/>
  <c r="V42" i="20" s="1"/>
  <c r="W42" i="20" s="1"/>
  <c r="X42" i="20" s="1"/>
  <c r="Y42" i="20" s="1"/>
  <c r="Z42" i="20" s="1"/>
  <c r="AA42" i="20" s="1"/>
  <c r="AB42" i="20" s="1"/>
  <c r="AC42" i="20" s="1"/>
  <c r="AD42" i="20" s="1"/>
  <c r="AE42" i="20" s="1"/>
  <c r="AF42" i="20" s="1"/>
  <c r="AG42" i="20" s="1"/>
  <c r="AH42" i="20" s="1"/>
  <c r="AI42" i="20" s="1"/>
  <c r="AJ42" i="20" s="1"/>
  <c r="AK42" i="20" s="1"/>
  <c r="AL42" i="20" s="1"/>
  <c r="AM42" i="20" s="1"/>
  <c r="AN42" i="20" s="1"/>
  <c r="AO42" i="20" s="1"/>
  <c r="AP42" i="20" s="1"/>
  <c r="AQ42" i="20" s="1"/>
  <c r="AR42" i="20" s="1"/>
  <c r="AS42" i="20" s="1"/>
  <c r="AT42" i="20" s="1"/>
  <c r="AU42" i="20" s="1"/>
  <c r="AV42" i="20" s="1"/>
  <c r="AW42" i="20" s="1"/>
  <c r="AX42" i="20" s="1"/>
  <c r="AY42" i="20" s="1"/>
  <c r="AZ42" i="20" s="1"/>
  <c r="BA42" i="20" s="1"/>
  <c r="BB42" i="20" s="1"/>
  <c r="BC42" i="20" s="1"/>
  <c r="BD42" i="20" s="1"/>
  <c r="BE42" i="20" s="1"/>
  <c r="BF42" i="20" s="1"/>
  <c r="BG42" i="20" s="1"/>
  <c r="BG57" i="20"/>
  <c r="BF57" i="20"/>
  <c r="BE57" i="20"/>
  <c r="BD57" i="20"/>
  <c r="BC57" i="20"/>
  <c r="BB57" i="20"/>
  <c r="BA57" i="20"/>
  <c r="AZ57" i="20"/>
  <c r="AY57" i="20"/>
  <c r="AX57" i="20"/>
  <c r="AW57" i="20"/>
  <c r="AV57" i="20"/>
  <c r="AU57" i="20"/>
  <c r="AT57" i="20"/>
  <c r="AS57" i="20"/>
  <c r="AR57" i="20"/>
  <c r="AQ57" i="20"/>
  <c r="AP57" i="20"/>
  <c r="AO57" i="20"/>
  <c r="AN57" i="20"/>
  <c r="AM57" i="20"/>
  <c r="AL57" i="20"/>
  <c r="AK57" i="20"/>
  <c r="AJ57" i="20"/>
  <c r="AI57" i="20"/>
  <c r="AH57" i="20"/>
  <c r="AG61" i="6" l="1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G46" i="6" l="1"/>
  <c r="AG28" i="6"/>
  <c r="F24" i="22" l="1"/>
  <c r="R36" i="22" a="1"/>
  <c r="R36" i="22" s="1"/>
  <c r="D24" i="22"/>
  <c r="R34" i="22" a="1"/>
  <c r="R34" i="22" s="1"/>
  <c r="R35" i="22" a="1"/>
  <c r="R35" i="22" s="1"/>
  <c r="R43" i="22" a="1"/>
  <c r="R43" i="22" s="1"/>
  <c r="F23" i="22"/>
  <c r="E23" i="22"/>
  <c r="K72" i="22"/>
  <c r="K71" i="22"/>
  <c r="K70" i="22"/>
  <c r="K69" i="22"/>
  <c r="K68" i="22"/>
  <c r="K67" i="22"/>
  <c r="K66" i="22"/>
  <c r="K65" i="22"/>
  <c r="K64" i="22"/>
  <c r="K63" i="22"/>
  <c r="K62" i="22"/>
  <c r="K61" i="22"/>
  <c r="K60" i="22"/>
  <c r="K59" i="22"/>
  <c r="K58" i="22"/>
  <c r="K57" i="22"/>
  <c r="K56" i="22"/>
  <c r="K55" i="22"/>
  <c r="K54" i="22"/>
  <c r="K53" i="22"/>
  <c r="K52" i="22"/>
  <c r="K51" i="22"/>
  <c r="R42" i="22" a="1"/>
  <c r="R42" i="22" s="1"/>
  <c r="R40" i="22" a="1"/>
  <c r="R40" i="22" s="1"/>
  <c r="I21" i="22"/>
  <c r="H21" i="22"/>
  <c r="I17" i="22"/>
  <c r="F16" i="22"/>
  <c r="J12" i="22"/>
  <c r="H12" i="22"/>
  <c r="I5" i="22"/>
  <c r="E4" i="21"/>
  <c r="G12" i="21"/>
  <c r="H12" i="21" s="1"/>
  <c r="G72" i="20"/>
  <c r="G69" i="20"/>
  <c r="G66" i="20"/>
  <c r="G63" i="20"/>
  <c r="G61" i="20"/>
  <c r="G60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H34" i="22"/>
  <c r="H33" i="22"/>
  <c r="H32" i="22"/>
  <c r="H31" i="22"/>
  <c r="H30" i="22"/>
  <c r="H29" i="22"/>
  <c r="H28" i="22"/>
  <c r="H27" i="22"/>
  <c r="H26" i="22"/>
  <c r="H25" i="22"/>
  <c r="H24" i="22"/>
  <c r="H23" i="22"/>
  <c r="M2" i="20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AH2" i="20" s="1"/>
  <c r="AI2" i="20" s="1"/>
  <c r="AJ2" i="20" s="1"/>
  <c r="AK2" i="20" s="1"/>
  <c r="AL2" i="20" s="1"/>
  <c r="AM2" i="20" s="1"/>
  <c r="AN2" i="20" s="1"/>
  <c r="AO2" i="20" s="1"/>
  <c r="AP2" i="20" s="1"/>
  <c r="AQ2" i="20" s="1"/>
  <c r="AR2" i="20" s="1"/>
  <c r="AS2" i="20" s="1"/>
  <c r="AT2" i="20" s="1"/>
  <c r="AU2" i="20" s="1"/>
  <c r="AV2" i="20" s="1"/>
  <c r="AW2" i="20" s="1"/>
  <c r="AX2" i="20" s="1"/>
  <c r="AY2" i="20" s="1"/>
  <c r="AZ2" i="20" s="1"/>
  <c r="BA2" i="20" s="1"/>
  <c r="BB2" i="20" s="1"/>
  <c r="BC2" i="20" s="1"/>
  <c r="BD2" i="20" s="1"/>
  <c r="BE2" i="20" s="1"/>
  <c r="BF2" i="20" s="1"/>
  <c r="BG2" i="20" s="1"/>
  <c r="B23" i="22"/>
  <c r="I7" i="22" l="1"/>
  <c r="I6" i="22" s="1"/>
  <c r="C34" i="22"/>
  <c r="R26" i="22" a="1"/>
  <c r="R26" i="22" s="1"/>
  <c r="D25" i="22"/>
  <c r="D26" i="22" s="1"/>
  <c r="D27" i="22" s="1"/>
  <c r="D28" i="22" s="1"/>
  <c r="D29" i="22" s="1"/>
  <c r="D30" i="22" s="1"/>
  <c r="D31" i="22" s="1"/>
  <c r="D32" i="22" s="1"/>
  <c r="D33" i="22" s="1"/>
  <c r="D34" i="22" s="1"/>
  <c r="D35" i="22" s="1"/>
  <c r="D36" i="22" s="1"/>
  <c r="D37" i="22" s="1"/>
  <c r="D38" i="22" s="1"/>
  <c r="D39" i="22" s="1"/>
  <c r="D40" i="22" s="1"/>
  <c r="D41" i="22" s="1"/>
  <c r="D42" i="22" s="1"/>
  <c r="D43" i="22" s="1"/>
  <c r="R28" i="22" a="1"/>
  <c r="R28" i="22" s="1"/>
  <c r="C28" i="22" s="1"/>
  <c r="F48" i="20"/>
  <c r="F53" i="20"/>
  <c r="F55" i="20"/>
  <c r="F46" i="20"/>
  <c r="F54" i="20"/>
  <c r="F51" i="20"/>
  <c r="C36" i="22"/>
  <c r="F52" i="20"/>
  <c r="R39" i="22" a="1"/>
  <c r="R39" i="22" s="1"/>
  <c r="L39" i="22" s="1"/>
  <c r="F50" i="20"/>
  <c r="R37" i="22" a="1"/>
  <c r="R37" i="22" s="1"/>
  <c r="L37" i="22" s="1"/>
  <c r="C35" i="22"/>
  <c r="P35" i="22" s="1"/>
  <c r="L36" i="22"/>
  <c r="I36" i="22"/>
  <c r="M36" i="22" s="1"/>
  <c r="I42" i="22"/>
  <c r="M42" i="22" s="1"/>
  <c r="L42" i="22"/>
  <c r="C42" i="22"/>
  <c r="C43" i="22"/>
  <c r="L43" i="22"/>
  <c r="I43" i="22"/>
  <c r="M43" i="22" s="1"/>
  <c r="I34" i="22"/>
  <c r="M34" i="22" s="1"/>
  <c r="C40" i="22"/>
  <c r="L40" i="22"/>
  <c r="I40" i="22"/>
  <c r="M40" i="22" s="1"/>
  <c r="L35" i="22"/>
  <c r="I35" i="22"/>
  <c r="M35" i="22" s="1"/>
  <c r="R41" i="22" a="1"/>
  <c r="R41" i="22" s="1"/>
  <c r="C41" i="22" s="1"/>
  <c r="R38" i="22" a="1"/>
  <c r="R38" i="22" s="1"/>
  <c r="G57" i="20"/>
  <c r="Q23" i="22"/>
  <c r="B24" i="22"/>
  <c r="Q24" i="22"/>
  <c r="R24" i="22" l="1" a="1"/>
  <c r="R24" i="22" s="1"/>
  <c r="I24" i="22" s="1"/>
  <c r="L24" i="22" s="1"/>
  <c r="R27" i="22" a="1"/>
  <c r="R27" i="22" s="1"/>
  <c r="I27" i="22" s="1"/>
  <c r="M27" i="22" s="1"/>
  <c r="C26" i="22"/>
  <c r="P26" i="22" s="1"/>
  <c r="F45" i="20"/>
  <c r="I28" i="22"/>
  <c r="M28" i="22" s="1"/>
  <c r="F49" i="20"/>
  <c r="F47" i="20"/>
  <c r="I26" i="22"/>
  <c r="M26" i="22" s="1"/>
  <c r="R32" i="22" a="1"/>
  <c r="R32" i="22" s="1"/>
  <c r="C32" i="22" s="1"/>
  <c r="P32" i="22" s="1"/>
  <c r="C38" i="22"/>
  <c r="O38" i="22" s="1"/>
  <c r="R23" i="22" a="1"/>
  <c r="R23" i="22" s="1"/>
  <c r="I23" i="22" s="1"/>
  <c r="M23" i="22" s="1"/>
  <c r="F44" i="20"/>
  <c r="R29" i="22" a="1"/>
  <c r="R29" i="22" s="1"/>
  <c r="I29" i="22" s="1"/>
  <c r="M29" i="22" s="1"/>
  <c r="R33" i="22" a="1"/>
  <c r="R33" i="22" s="1"/>
  <c r="I33" i="22" s="1"/>
  <c r="M33" i="22" s="1"/>
  <c r="R30" i="22" a="1"/>
  <c r="R30" i="22" s="1"/>
  <c r="I30" i="22" s="1"/>
  <c r="M30" i="22" s="1"/>
  <c r="R25" i="22" a="1"/>
  <c r="R25" i="22" s="1"/>
  <c r="C25" i="22" s="1"/>
  <c r="P25" i="22" s="1"/>
  <c r="R31" i="22" a="1"/>
  <c r="R31" i="22" s="1"/>
  <c r="I31" i="22" s="1"/>
  <c r="M31" i="22" s="1"/>
  <c r="I37" i="22"/>
  <c r="M37" i="22" s="1"/>
  <c r="C37" i="22"/>
  <c r="O37" i="22" s="1"/>
  <c r="I39" i="22"/>
  <c r="M39" i="22" s="1"/>
  <c r="L34" i="22"/>
  <c r="O35" i="22"/>
  <c r="C39" i="22"/>
  <c r="P39" i="22" s="1"/>
  <c r="F14" i="22"/>
  <c r="I12" i="22"/>
  <c r="P34" i="22"/>
  <c r="O34" i="22"/>
  <c r="P28" i="22"/>
  <c r="O28" i="22"/>
  <c r="P43" i="22"/>
  <c r="O43" i="22"/>
  <c r="P36" i="22"/>
  <c r="O36" i="22"/>
  <c r="P40" i="22"/>
  <c r="O40" i="22"/>
  <c r="P42" i="22"/>
  <c r="O42" i="22"/>
  <c r="P41" i="22"/>
  <c r="O41" i="22"/>
  <c r="L41" i="22"/>
  <c r="I41" i="22"/>
  <c r="M41" i="22" s="1"/>
  <c r="L38" i="22"/>
  <c r="I38" i="22"/>
  <c r="M38" i="22" s="1"/>
  <c r="M24" i="22" l="1"/>
  <c r="C24" i="22"/>
  <c r="P24" i="22" s="1"/>
  <c r="C27" i="22"/>
  <c r="O27" i="22" s="1"/>
  <c r="O26" i="22"/>
  <c r="P38" i="22"/>
  <c r="L28" i="22"/>
  <c r="L26" i="22"/>
  <c r="F57" i="20"/>
  <c r="F74" i="20" s="1"/>
  <c r="F78" i="20" s="1"/>
  <c r="O32" i="22"/>
  <c r="I32" i="22"/>
  <c r="M32" i="22" s="1"/>
  <c r="C23" i="22"/>
  <c r="P23" i="22" s="1"/>
  <c r="L29" i="22"/>
  <c r="C33" i="22"/>
  <c r="P33" i="22" s="1"/>
  <c r="C30" i="22"/>
  <c r="O30" i="22" s="1"/>
  <c r="L31" i="22"/>
  <c r="I25" i="22"/>
  <c r="M25" i="22" s="1"/>
  <c r="O25" i="22"/>
  <c r="C31" i="22"/>
  <c r="O31" i="22" s="1"/>
  <c r="C29" i="22"/>
  <c r="P29" i="22" s="1"/>
  <c r="O39" i="22"/>
  <c r="P37" i="22"/>
  <c r="L33" i="22"/>
  <c r="L30" i="22"/>
  <c r="L27" i="22"/>
  <c r="L23" i="22"/>
  <c r="O24" i="22" l="1"/>
  <c r="P27" i="22"/>
  <c r="L32" i="22"/>
  <c r="O33" i="22"/>
  <c r="O23" i="22"/>
  <c r="P30" i="22"/>
  <c r="L25" i="22"/>
  <c r="O29" i="22"/>
  <c r="P31" i="22"/>
  <c r="I11" i="22" l="1"/>
  <c r="F17" i="22" s="1"/>
  <c r="F18" i="22" s="1"/>
  <c r="I13" i="22" s="1"/>
  <c r="J13" i="22" s="1"/>
  <c r="I8" i="22" l="1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I7" i="9" l="1"/>
  <c r="I6" i="9" s="1"/>
  <c r="C27" i="16" l="1"/>
  <c r="C5" i="16"/>
  <c r="I21" i="9" l="1"/>
  <c r="H21" i="9"/>
  <c r="T14" i="6" l="1"/>
  <c r="U14" i="6"/>
  <c r="V14" i="6"/>
  <c r="W14" i="6"/>
  <c r="X14" i="6"/>
  <c r="Y14" i="6"/>
  <c r="Z14" i="6"/>
  <c r="AA14" i="6"/>
  <c r="AB14" i="6"/>
  <c r="AC14" i="6"/>
  <c r="AD14" i="6"/>
  <c r="AE14" i="6"/>
  <c r="S14" i="6"/>
  <c r="AG14" i="6" l="1"/>
  <c r="I43" i="9" l="1"/>
  <c r="O43" i="9" s="1"/>
  <c r="M43" i="9"/>
  <c r="I35" i="9"/>
  <c r="O35" i="9" s="1"/>
  <c r="M35" i="9"/>
  <c r="I27" i="9"/>
  <c r="O27" i="9" s="1"/>
  <c r="M27" i="9"/>
  <c r="I42" i="9"/>
  <c r="O42" i="9" s="1"/>
  <c r="M42" i="9"/>
  <c r="I34" i="9"/>
  <c r="O34" i="9" s="1"/>
  <c r="M34" i="9"/>
  <c r="I26" i="9"/>
  <c r="O26" i="9" s="1"/>
  <c r="M26" i="9"/>
  <c r="I28" i="9"/>
  <c r="O28" i="9" s="1"/>
  <c r="M28" i="9"/>
  <c r="I41" i="9"/>
  <c r="O41" i="9" s="1"/>
  <c r="M41" i="9"/>
  <c r="I33" i="9"/>
  <c r="O33" i="9" s="1"/>
  <c r="M33" i="9"/>
  <c r="I25" i="9"/>
  <c r="O25" i="9" s="1"/>
  <c r="M25" i="9"/>
  <c r="I37" i="9"/>
  <c r="O37" i="9" s="1"/>
  <c r="M37" i="9"/>
  <c r="I40" i="9"/>
  <c r="O40" i="9" s="1"/>
  <c r="M40" i="9"/>
  <c r="I32" i="9"/>
  <c r="O32" i="9" s="1"/>
  <c r="M32" i="9"/>
  <c r="I24" i="9"/>
  <c r="O24" i="9" s="1"/>
  <c r="M24" i="9"/>
  <c r="I29" i="9"/>
  <c r="O29" i="9" s="1"/>
  <c r="M29" i="9"/>
  <c r="I39" i="9"/>
  <c r="O39" i="9" s="1"/>
  <c r="M39" i="9"/>
  <c r="I31" i="9"/>
  <c r="O31" i="9" s="1"/>
  <c r="M31" i="9"/>
  <c r="I23" i="9"/>
  <c r="M23" i="9"/>
  <c r="I36" i="9"/>
  <c r="O36" i="9" s="1"/>
  <c r="M36" i="9"/>
  <c r="I38" i="9"/>
  <c r="O38" i="9" s="1"/>
  <c r="M38" i="9"/>
  <c r="I30" i="9"/>
  <c r="O30" i="9" s="1"/>
  <c r="M30" i="9"/>
  <c r="O23" i="9" l="1"/>
  <c r="H12" i="9"/>
  <c r="J12" i="9"/>
  <c r="D25" i="16" s="1"/>
  <c r="AD44" i="11" l="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C26" i="16"/>
  <c r="N43" i="9" l="1"/>
  <c r="N35" i="9"/>
  <c r="N42" i="9"/>
  <c r="N34" i="9"/>
  <c r="N41" i="9"/>
  <c r="N31" i="9"/>
  <c r="N38" i="9"/>
  <c r="L38" i="9"/>
  <c r="N30" i="9"/>
  <c r="L30" i="9"/>
  <c r="N37" i="9"/>
  <c r="L35" i="9"/>
  <c r="L42" i="9"/>
  <c r="L34" i="9"/>
  <c r="N39" i="9"/>
  <c r="L36" i="9"/>
  <c r="L43" i="9"/>
  <c r="L41" i="9"/>
  <c r="L31" i="9"/>
  <c r="L29" i="9"/>
  <c r="L33" i="9"/>
  <c r="L40" i="9"/>
  <c r="L32" i="9"/>
  <c r="N32" i="9"/>
  <c r="L37" i="9"/>
  <c r="N29" i="9"/>
  <c r="N40" i="9"/>
  <c r="N33" i="9"/>
  <c r="L39" i="9"/>
  <c r="N36" i="9"/>
  <c r="L24" i="9"/>
  <c r="N25" i="9"/>
  <c r="N26" i="9"/>
  <c r="N27" i="9"/>
  <c r="L28" i="9"/>
  <c r="N23" i="9"/>
  <c r="D24" i="9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N28" i="9" l="1"/>
  <c r="L27" i="9"/>
  <c r="L26" i="9"/>
  <c r="L25" i="9"/>
  <c r="N24" i="9"/>
  <c r="L23" i="9"/>
  <c r="I11" i="9" l="1"/>
  <c r="F17" i="9" l="1"/>
  <c r="C28" i="16" s="1"/>
  <c r="C23" i="16"/>
  <c r="C22" i="16"/>
  <c r="E1" i="21"/>
  <c r="C24" i="16" l="1"/>
  <c r="F18" i="9"/>
  <c r="I13" i="9" s="1"/>
  <c r="I8" i="9"/>
  <c r="C29" i="16"/>
  <c r="C31" i="16" s="1"/>
  <c r="E11" i="21"/>
  <c r="E7" i="21"/>
  <c r="E5" i="21"/>
  <c r="E8" i="21"/>
  <c r="E6" i="21"/>
  <c r="E10" i="21"/>
  <c r="E9" i="21"/>
  <c r="C30" i="16" l="1"/>
  <c r="C32" i="16"/>
  <c r="C33" i="16" s="1"/>
  <c r="D33" i="16" s="1"/>
  <c r="E12" i="21"/>
  <c r="J13" i="9"/>
  <c r="P39" i="9" l="1"/>
  <c r="P43" i="9"/>
  <c r="P35" i="9"/>
  <c r="P26" i="9"/>
  <c r="P34" i="9"/>
  <c r="P27" i="9"/>
  <c r="P28" i="9"/>
  <c r="P23" i="9"/>
  <c r="P33" i="9"/>
  <c r="P29" i="9"/>
  <c r="P37" i="9"/>
  <c r="P32" i="9"/>
  <c r="P42" i="9"/>
  <c r="P36" i="9"/>
  <c r="P30" i="9"/>
  <c r="P40" i="9"/>
  <c r="P24" i="9"/>
  <c r="P38" i="9"/>
  <c r="P31" i="9"/>
  <c r="P41" i="9"/>
  <c r="P2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Brijesh Tripathi</author>
  </authors>
  <commentList>
    <comment ref="CB6" authorId="0" shapeId="0" xr:uid="{1FF40581-3C2C-4509-89BF-286A7476F506}">
      <text>
        <r>
          <rPr>
            <b/>
            <sz val="9"/>
            <color indexed="81"/>
            <rFont val="Tahoma"/>
            <family val="2"/>
          </rPr>
          <t>Brijesh Tripathi:</t>
        </r>
        <r>
          <rPr>
            <sz val="9"/>
            <color indexed="81"/>
            <rFont val="Tahoma"/>
            <family val="2"/>
          </rPr>
          <t xml:space="preserve">
using input from macro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<sst xmlns="http://schemas.openxmlformats.org/spreadsheetml/2006/main" count="2670" uniqueCount="568">
  <si>
    <t xml:space="preserve">Version No. </t>
  </si>
  <si>
    <t>Release Date</t>
  </si>
  <si>
    <t>Updated by</t>
  </si>
  <si>
    <t>Changes</t>
  </si>
  <si>
    <t>3.15.2024</t>
  </si>
  <si>
    <t>Brijesh</t>
  </si>
  <si>
    <t>Base version</t>
  </si>
  <si>
    <t>5.12.2024</t>
  </si>
  <si>
    <t xml:space="preserve">1. Summary sheet modified:
    a. Approval Matrix  updated
    b. Contingency costs updated
</t>
  </si>
  <si>
    <t>5.25.2024</t>
  </si>
  <si>
    <t>1. Healthcare PS added
2. Exchange rate adjusted</t>
  </si>
  <si>
    <t>6.17.2024</t>
  </si>
  <si>
    <t>1. Approval Matrix Updated
2. Channel Partner sub-classified</t>
  </si>
  <si>
    <t>7.2.2024</t>
  </si>
  <si>
    <t>1. Expiry date issue (EMEA) is fixed
2. Approval matrix for RIG (Anything outside US) has been updated</t>
  </si>
  <si>
    <t>10.14.2024</t>
  </si>
  <si>
    <t>1. EGY Pricing Fixed
2. Approval matrix for Pvt Cloud Updated</t>
  </si>
  <si>
    <t>1.31.2025</t>
  </si>
  <si>
    <t>1. Costs and utilization assumptions revised
2. Data levels further defined for Eng and Arch</t>
  </si>
  <si>
    <t>2.15.2025</t>
  </si>
  <si>
    <t xml:space="preserve">1. Discounted Price/hr (after strategic discounts or overall discount) is provided in column Q
</t>
  </si>
  <si>
    <t>Financial and Approval Summary</t>
  </si>
  <si>
    <t xml:space="preserve">Snapshot on </t>
  </si>
  <si>
    <t>SalesForce ID</t>
  </si>
  <si>
    <t>e.g. 44404522</t>
  </si>
  <si>
    <t>Financial Force Project (if any)</t>
  </si>
  <si>
    <t>e.g. PR-010641</t>
  </si>
  <si>
    <t>Region</t>
  </si>
  <si>
    <t>Customer</t>
  </si>
  <si>
    <t>Opportunity Name</t>
  </si>
  <si>
    <t>Enter details (Names) Below</t>
  </si>
  <si>
    <t>Date approved on</t>
  </si>
  <si>
    <t>Cost Model Estimates by</t>
  </si>
  <si>
    <t>Regional Director Approved</t>
  </si>
  <si>
    <t>Delivery Approved by</t>
  </si>
  <si>
    <t>GTM Regional Leader</t>
  </si>
  <si>
    <t>Finance/ Pricing</t>
  </si>
  <si>
    <t>Offering</t>
  </si>
  <si>
    <t>Delivery Type</t>
  </si>
  <si>
    <t>Project Start Date</t>
  </si>
  <si>
    <t>Project End Date</t>
  </si>
  <si>
    <t>Units of Service</t>
  </si>
  <si>
    <t>Currency</t>
  </si>
  <si>
    <t>Revenue</t>
  </si>
  <si>
    <t>Approved Negotiated Discount</t>
  </si>
  <si>
    <t>Minimum Approved Revenue</t>
  </si>
  <si>
    <t>Resource Costs</t>
  </si>
  <si>
    <t>3rd Party Costs/Other BU costs</t>
  </si>
  <si>
    <t>Materials and Expenses</t>
  </si>
  <si>
    <t>Channel Partner Costs</t>
  </si>
  <si>
    <t>Contingency</t>
  </si>
  <si>
    <t>Contingency %</t>
  </si>
  <si>
    <t>of the Revenue!</t>
  </si>
  <si>
    <t>Total Costs</t>
  </si>
  <si>
    <t>Project Profit</t>
  </si>
  <si>
    <t>Project Gross Margin</t>
  </si>
  <si>
    <t>Approval Matrices</t>
  </si>
  <si>
    <t>Include pricing@rackspace.com or pricingintl@rackspace.com (for other than AMER) on cc for any deal &lt;35% margins</t>
  </si>
  <si>
    <t>Approvers</t>
  </si>
  <si>
    <t>Approval Level</t>
  </si>
  <si>
    <t>Delivery Lead</t>
  </si>
  <si>
    <t>None - Signs off that the technical approach is able to be delivered subject to the documented assumptions. Specifically:
•	Milestones and mobilization of delivery resources (if sign on from customer is delayed, then revenue milestones will be adjusted – if no option to mitigate)
•	Technical Delivery and Project Management delivery
•	Level of requirements / details within SOW 
•	Highlight of any risks or concerns
•	Resources required outside of PS (e.g. GTS, contractors, etc.)</t>
  </si>
  <si>
    <t>Regional Director</t>
  </si>
  <si>
    <r>
      <rPr>
        <b/>
        <sz val="10"/>
        <color theme="1"/>
        <rFont val="Calibri"/>
        <family val="2"/>
        <scheme val="minor"/>
      </rPr>
      <t>35% MIN. Project Gross Margin (Fixed Price, T&amp;M)</t>
    </r>
    <r>
      <rPr>
        <sz val="10"/>
        <color theme="1"/>
        <rFont val="Calibri"/>
        <family val="2"/>
        <scheme val="minor"/>
      </rPr>
      <t xml:space="preserve">
10% MIN. Contingency (Fixed Price)
$200K MAX. Revenue on Fixed Price, $300 T&amp;M</t>
    </r>
  </si>
  <si>
    <t>Regional Leader</t>
  </si>
  <si>
    <t>Mahesh Desai    (UK, Nordics, NL and Middle East)
Juergen Stauber (DACH)</t>
  </si>
  <si>
    <r>
      <rPr>
        <b/>
        <sz val="10"/>
        <color theme="1"/>
        <rFont val="Calibri"/>
        <family val="2"/>
        <scheme val="minor"/>
      </rPr>
      <t>30% MIN Project Gross Margin (Fixed Price, T&amp;M)</t>
    </r>
    <r>
      <rPr>
        <sz val="10"/>
        <color theme="1"/>
        <rFont val="Calibri"/>
        <family val="2"/>
        <scheme val="minor"/>
      </rPr>
      <t xml:space="preserve">
10% MIN Contingency (Fixed Price)
$200K MAX revenue on Fixed Price, $300k T&amp;M</t>
    </r>
  </si>
  <si>
    <t>Finance</t>
  </si>
  <si>
    <t>Karthik Gurumurthy/John Vernikos/Sriram
Mathew Cozens (backup)</t>
  </si>
  <si>
    <r>
      <rPr>
        <b/>
        <sz val="10"/>
        <color theme="1"/>
        <rFont val="Calibri"/>
        <family val="2"/>
        <scheme val="minor"/>
      </rPr>
      <t>20% MIN Project Gross Margin (Fixed Price, T&amp;M)</t>
    </r>
    <r>
      <rPr>
        <sz val="10"/>
        <color theme="1"/>
        <rFont val="Calibri"/>
        <family val="2"/>
        <scheme val="minor"/>
      </rPr>
      <t xml:space="preserve">
5% MIN Contingency (Fixed Price)
$5m Max Revenue </t>
    </r>
  </si>
  <si>
    <t>RIG Managing Director
&amp;
Finance</t>
  </si>
  <si>
    <t>John Vernikos
Dorothea Bruggler
Chax Poduri (backup)</t>
  </si>
  <si>
    <r>
      <t xml:space="preserve">0% MIN Project Gross Margin (Fixed Price, T&amp;M)
</t>
    </r>
    <r>
      <rPr>
        <sz val="10"/>
        <color theme="1"/>
        <rFont val="Calibri"/>
        <family val="2"/>
        <scheme val="minor"/>
      </rPr>
      <t>0% MIN Contingency (Fixed price)
No limit Max Revenue</t>
    </r>
  </si>
  <si>
    <t>Mapping for SOW</t>
  </si>
  <si>
    <t>Unique list at Z2</t>
  </si>
  <si>
    <t>Role Example</t>
  </si>
  <si>
    <t>lock</t>
  </si>
  <si>
    <t>Date Lock/Expiry</t>
  </si>
  <si>
    <t xml:space="preserve">tb_practices </t>
  </si>
  <si>
    <t>TbCountries</t>
  </si>
  <si>
    <t>tb_roles</t>
  </si>
  <si>
    <t>USD exchange rates</t>
  </si>
  <si>
    <t>Role</t>
  </si>
  <si>
    <t>SOW Roles</t>
  </si>
  <si>
    <t>Senior Advisory Consultant</t>
  </si>
  <si>
    <t>Date updated</t>
  </si>
  <si>
    <t>Practice Area</t>
  </si>
  <si>
    <t>Region Sourced from</t>
  </si>
  <si>
    <t>Job Profile</t>
  </si>
  <si>
    <t>currency</t>
  </si>
  <si>
    <t>fx</t>
  </si>
  <si>
    <t>Arch</t>
  </si>
  <si>
    <t>Security Architect</t>
  </si>
  <si>
    <t>Previous update</t>
  </si>
  <si>
    <t>mm</t>
  </si>
  <si>
    <t>dd</t>
  </si>
  <si>
    <t>yyyy</t>
  </si>
  <si>
    <t>Platform and Apps</t>
  </si>
  <si>
    <t>US</t>
  </si>
  <si>
    <t>Jr. Eng</t>
  </si>
  <si>
    <t>Engineer I</t>
  </si>
  <si>
    <t>USD</t>
  </si>
  <si>
    <t>Solutions Architect</t>
  </si>
  <si>
    <t>Today is</t>
  </si>
  <si>
    <t>Data</t>
  </si>
  <si>
    <t>UK</t>
  </si>
  <si>
    <t>Eng</t>
  </si>
  <si>
    <t>Engineer II</t>
  </si>
  <si>
    <t>GBP</t>
  </si>
  <si>
    <t>SME (Subject Matter Expert)</t>
  </si>
  <si>
    <t>Expiry date</t>
  </si>
  <si>
    <t>Security</t>
  </si>
  <si>
    <t>DE</t>
  </si>
  <si>
    <t>Sr. Eng</t>
  </si>
  <si>
    <t>Engineer III/IV/V</t>
  </si>
  <si>
    <t>EUR</t>
  </si>
  <si>
    <t>Advisory Consultant</t>
  </si>
  <si>
    <t>Consultant</t>
  </si>
  <si>
    <t>Is expired</t>
  </si>
  <si>
    <t>Advisory</t>
  </si>
  <si>
    <t>PL</t>
  </si>
  <si>
    <t>Architect, Sr. and Staff Consulting Architect</t>
  </si>
  <si>
    <t>AUD</t>
  </si>
  <si>
    <t>There is error</t>
  </si>
  <si>
    <t>Productivity</t>
  </si>
  <si>
    <t>NL</t>
  </si>
  <si>
    <t>Sr. Arch</t>
  </si>
  <si>
    <t>Sr. Architect</t>
  </si>
  <si>
    <t>CAD</t>
  </si>
  <si>
    <t>Security Consultant</t>
  </si>
  <si>
    <t>PS Private Cloud</t>
  </si>
  <si>
    <t>MX</t>
  </si>
  <si>
    <t>TCT/Lead Arch</t>
  </si>
  <si>
    <t>Practice Lead &amp; Principal Consultant</t>
  </si>
  <si>
    <t>Sr. Advisory Consultant</t>
  </si>
  <si>
    <t>SDAIA</t>
  </si>
  <si>
    <t>IN</t>
  </si>
  <si>
    <t>Manager</t>
  </si>
  <si>
    <t>Input from Macro</t>
  </si>
  <si>
    <t>ERP</t>
  </si>
  <si>
    <t>EG</t>
  </si>
  <si>
    <t>Sr. Mgr</t>
  </si>
  <si>
    <t>Sr. Manager</t>
  </si>
  <si>
    <t>(you need to change the date on macro button 9… to set the expiry)</t>
  </si>
  <si>
    <t>Healthcare PS</t>
  </si>
  <si>
    <t>CAN</t>
  </si>
  <si>
    <t>EM/PJM</t>
  </si>
  <si>
    <t>Engagement Manager</t>
  </si>
  <si>
    <t>Developer</t>
  </si>
  <si>
    <t>AU</t>
  </si>
  <si>
    <t>Sr. EM/Sr. PJM/PGM</t>
  </si>
  <si>
    <t>Sr. Engagement Manager</t>
  </si>
  <si>
    <t>Engagement Manager (EM)</t>
  </si>
  <si>
    <t>AE</t>
  </si>
  <si>
    <t>Project Manager</t>
  </si>
  <si>
    <t>Lock sheets</t>
  </si>
  <si>
    <t>SG</t>
  </si>
  <si>
    <t>Security Engineer</t>
  </si>
  <si>
    <t>Reference</t>
  </si>
  <si>
    <t>VN</t>
  </si>
  <si>
    <t>Cloud Engineer (CE)</t>
  </si>
  <si>
    <t>SA</t>
  </si>
  <si>
    <t>Software Development Engineer (SDE)</t>
  </si>
  <si>
    <t>price at custom</t>
  </si>
  <si>
    <t>Firmware Engineer (FWE)</t>
  </si>
  <si>
    <t>All but security</t>
  </si>
  <si>
    <t>Business Analyst (BA)</t>
  </si>
  <si>
    <t xml:space="preserve">Price Tables </t>
  </si>
  <si>
    <t>Roles</t>
  </si>
  <si>
    <t>mapped to</t>
  </si>
  <si>
    <t>Data Engineer (DE)</t>
  </si>
  <si>
    <t>Summary</t>
  </si>
  <si>
    <t>Subject Matter Expert (SME) &amp; Security Consultant</t>
  </si>
  <si>
    <t>DBA</t>
  </si>
  <si>
    <t>Junior Engineer</t>
  </si>
  <si>
    <t>Engineer II, Software Development Engineer (SDE) &amp; Business Analyst (BA)</t>
  </si>
  <si>
    <t>Managing Consultant</t>
  </si>
  <si>
    <t>Level</t>
  </si>
  <si>
    <t>Engineer III, IV</t>
  </si>
  <si>
    <t>Program Manager</t>
  </si>
  <si>
    <t>Prog Mgr</t>
  </si>
  <si>
    <t>Project Coordinator</t>
  </si>
  <si>
    <t>EMEA</t>
  </si>
  <si>
    <t>Project Mgr</t>
  </si>
  <si>
    <t>Security Engineer/HW Eng/Firmware Eng/Managing Consultant</t>
  </si>
  <si>
    <t>APJ</t>
  </si>
  <si>
    <t>Senior Solutions Architect</t>
  </si>
  <si>
    <t>Senior Data Scientist (SDS)</t>
  </si>
  <si>
    <t>Senior Solutions Architect (SSA)</t>
  </si>
  <si>
    <t>Sr. Consultant</t>
  </si>
  <si>
    <t>Senior Consultant</t>
  </si>
  <si>
    <t>Sr. Developer</t>
  </si>
  <si>
    <t>Senior Developer</t>
  </si>
  <si>
    <t>Senior Engagement Manager</t>
  </si>
  <si>
    <t>PS Pvt Cloud</t>
  </si>
  <si>
    <t>PS SADIA</t>
  </si>
  <si>
    <t>erp</t>
  </si>
  <si>
    <t>Senior Project Manager</t>
  </si>
  <si>
    <t>data_roles</t>
  </si>
  <si>
    <t>sec_roles</t>
  </si>
  <si>
    <t>adv_roles</t>
  </si>
  <si>
    <t>prod_roles</t>
  </si>
  <si>
    <t>pvc_roles</t>
  </si>
  <si>
    <t>sadia_roles</t>
  </si>
  <si>
    <t>erp_roles</t>
  </si>
  <si>
    <t>Senior Cloud Engineer (CE)</t>
  </si>
  <si>
    <t>pa_roles</t>
  </si>
  <si>
    <t>Associate Eng</t>
  </si>
  <si>
    <t>Specialty Architect</t>
  </si>
  <si>
    <t>Jr. Engineer</t>
  </si>
  <si>
    <t>WSS Eng</t>
  </si>
  <si>
    <t>Senior DBA</t>
  </si>
  <si>
    <t>Sr. Specialty Engineer</t>
  </si>
  <si>
    <t>Engineer</t>
  </si>
  <si>
    <t>WSS Sr. Eng</t>
  </si>
  <si>
    <t>Senior Software Development Engineer (SDE)</t>
  </si>
  <si>
    <t>Specialty Engineer</t>
  </si>
  <si>
    <t>Sr. Engineer</t>
  </si>
  <si>
    <t>Cogito Eng</t>
  </si>
  <si>
    <t>Hardware Engineer (HWE)</t>
  </si>
  <si>
    <t>Staff Eng</t>
  </si>
  <si>
    <t>Architect</t>
  </si>
  <si>
    <t>Cogito Sr. Eng</t>
  </si>
  <si>
    <t>Data Scientist (DS)</t>
  </si>
  <si>
    <t>Lead Eng</t>
  </si>
  <si>
    <t>ODB Eng</t>
  </si>
  <si>
    <t>Senior Data Engineer (DE)</t>
  </si>
  <si>
    <t>ODB Sr. Eng</t>
  </si>
  <si>
    <t>Senior Practice Lead</t>
  </si>
  <si>
    <t>Sppt Jr. Eng</t>
  </si>
  <si>
    <t>Senior Subject Matter Expert (SME)</t>
  </si>
  <si>
    <t>Lead Arch</t>
  </si>
  <si>
    <t>Sppt Eng</t>
  </si>
  <si>
    <t>Senior Principal Consultant</t>
  </si>
  <si>
    <t>Sppt Sr. Eng</t>
  </si>
  <si>
    <t>Senior Managing Consultant</t>
  </si>
  <si>
    <t>Tech Coordinator</t>
  </si>
  <si>
    <t>Senior Program Manager</t>
  </si>
  <si>
    <t>EM</t>
  </si>
  <si>
    <t>Sr. Proj Mgr</t>
  </si>
  <si>
    <t>CSM</t>
  </si>
  <si>
    <t>Sr. EM</t>
  </si>
  <si>
    <t>Proj Mgr</t>
  </si>
  <si>
    <t>Practice Lead</t>
  </si>
  <si>
    <t>Principal Consultant</t>
  </si>
  <si>
    <t>Week Reference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</si>
  <si>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</si>
  <si>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</si>
  <si>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</si>
  <si>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</si>
  <si>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</si>
  <si>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</si>
  <si>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</si>
  <si>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</si>
  <si>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</si>
  <si>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</si>
  <si>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</si>
  <si>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</si>
  <si>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</si>
  <si>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</si>
  <si>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</si>
  <si>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</si>
  <si>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</si>
  <si>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</si>
  <si>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</si>
  <si>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</si>
  <si>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</si>
  <si>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</si>
  <si>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</si>
  <si>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</si>
  <si>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</si>
  <si>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</si>
  <si>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</si>
  <si>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wk 28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</si>
  <si>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</si>
  <si>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</si>
  <si>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</si>
  <si>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</si>
  <si>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</si>
  <si>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</si>
  <si>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</si>
  <si>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</si>
  <si>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</si>
  <si>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</si>
  <si>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</si>
  <si>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</si>
  <si>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</si>
  <si>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</si>
  <si>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</si>
  <si>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</si>
  <si>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</si>
  <si>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</si>
  <si>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</si>
  <si>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</si>
  <si>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</si>
  <si>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</si>
  <si>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</si>
  <si>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</si>
  <si>
    <t>*AE=UAE,PL=Poland,DE=Germany, VN=Veitnam,AU=Australia,SG=Singapore, EG=Egypt,CAN=Canada</t>
  </si>
  <si>
    <t>Check</t>
  </si>
  <si>
    <t>At Margins</t>
  </si>
  <si>
    <t>Price</t>
  </si>
  <si>
    <t>TCT</t>
  </si>
  <si>
    <t xml:space="preserve">Updated: 2/15/2025 </t>
  </si>
  <si>
    <t>Work Area</t>
  </si>
  <si>
    <t>Choose from dropdowns below</t>
  </si>
  <si>
    <t>Is this a T&amp;M or a Fixed price project?</t>
  </si>
  <si>
    <t>Fixed Price</t>
  </si>
  <si>
    <t>Which market is the project being delivered</t>
  </si>
  <si>
    <t xml:space="preserve">Is there another RXT BU/3rd party/contractor involved? </t>
  </si>
  <si>
    <t>No</t>
  </si>
  <si>
    <t>Total cost from BU/3rd Party</t>
  </si>
  <si>
    <t xml:space="preserve"> Currency</t>
  </si>
  <si>
    <t>Internal BU/3rd Party margins</t>
  </si>
  <si>
    <t>Days or Hours</t>
  </si>
  <si>
    <t>Days</t>
  </si>
  <si>
    <t xml:space="preserve">3rd Party/Contractor Priced at </t>
  </si>
  <si>
    <t>Is TCV likely &gt;1M or is it a Govt. Project</t>
  </si>
  <si>
    <t xml:space="preserve">Margins under high utilization assumptions </t>
  </si>
  <si>
    <t>Channel Partner  (if any)</t>
  </si>
  <si>
    <t>None</t>
  </si>
  <si>
    <t>Any strategic discounts</t>
  </si>
  <si>
    <t>Non Billable travel and other expenses</t>
  </si>
  <si>
    <t>Total Price</t>
  </si>
  <si>
    <t>(from configuration below)</t>
  </si>
  <si>
    <t>Deal Margin (Gross)*</t>
  </si>
  <si>
    <t>Resource cost estimate based on hrs</t>
  </si>
  <si>
    <t xml:space="preserve">    *The gross margin is based on direct costs to deliver. Other company overheads such as Sales, Marketing,</t>
  </si>
  <si>
    <t xml:space="preserve"> Corporate, R&amp;D, etc ranges from 20-27%. We need to be greater than that!</t>
  </si>
  <si>
    <t>3rd Party Delivery Partner cost w/o contingency</t>
  </si>
  <si>
    <t>Channel Partner Cost</t>
  </si>
  <si>
    <t>Total Cost</t>
  </si>
  <si>
    <t>Contingency Factored (enter)</t>
  </si>
  <si>
    <t>Contingency (enter if any)</t>
  </si>
  <si>
    <t>Cost</t>
  </si>
  <si>
    <t>Flag if role is not planned</t>
  </si>
  <si>
    <t>SN</t>
  </si>
  <si>
    <t>Choose between "List price" or "Strategic margin/Price"</t>
  </si>
  <si>
    <t>Enter custom price or custom margin value</t>
  </si>
  <si>
    <t>Extended Price</t>
  </si>
  <si>
    <t>Margins</t>
  </si>
  <si>
    <t>Note (requirements, if any)</t>
  </si>
  <si>
    <t>Enter Comments</t>
  </si>
  <si>
    <t>Count of resources available in region</t>
  </si>
  <si>
    <t xml:space="preserve">Suggested min. Price </t>
  </si>
  <si>
    <t>Possible Cost</t>
  </si>
  <si>
    <t>Notes on the chosen role</t>
  </si>
  <si>
    <t>SOW Role (please select for the resourcing)</t>
  </si>
  <si>
    <t>Hours</t>
  </si>
  <si>
    <t>Price/hr</t>
  </si>
  <si>
    <t>Default Price or Strategic Margin</t>
  </si>
  <si>
    <t>Enter Margin Value</t>
  </si>
  <si>
    <t>Column1</t>
  </si>
  <si>
    <t>Comments</t>
  </si>
  <si>
    <t>cost of unavailable</t>
  </si>
  <si>
    <t>Other comments</t>
  </si>
  <si>
    <t>Sow roles</t>
  </si>
  <si>
    <t>List Price</t>
  </si>
  <si>
    <t>PM</t>
  </si>
  <si>
    <t>Lead Consulting Architect</t>
  </si>
  <si>
    <t>Migration Consultant</t>
  </si>
  <si>
    <t>Platform Architect (AWS)</t>
  </si>
  <si>
    <t>Platform Architect (Azure)</t>
  </si>
  <si>
    <t>Platform Architect (GCP)</t>
  </si>
  <si>
    <t>Cloud Engineer</t>
  </si>
  <si>
    <t>Table B</t>
  </si>
  <si>
    <t>Make sure you choose 'Yes' as the option if you are using "3rd party contractor" in cell F5</t>
  </si>
  <si>
    <t>Item</t>
  </si>
  <si>
    <t>External or Internal Cost</t>
  </si>
  <si>
    <t>Type of cost (i.e. license or resources)</t>
  </si>
  <si>
    <t>Add details or comments</t>
  </si>
  <si>
    <t>Cost (per unit/ per hr/per day rate) to Rackspace</t>
  </si>
  <si>
    <t>Qty (In same as cost units)</t>
  </si>
  <si>
    <t>Enter required margin or Price</t>
  </si>
  <si>
    <t>Price per unit</t>
  </si>
  <si>
    <t>Add contingency</t>
  </si>
  <si>
    <t>External</t>
  </si>
  <si>
    <t>d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</si>
  <si>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</si>
  <si>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</si>
  <si>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</si>
  <si>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</si>
  <si>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</si>
  <si>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</si>
  <si>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</si>
  <si>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</si>
  <si>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</si>
  <si>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</si>
  <si>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</si>
  <si>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Project kickoff and planning</t>
  </si>
  <si>
    <t>Kickoff internal meeting to align on goals and finalize delivery resources</t>
  </si>
  <si>
    <t xml:space="preserve">Identify key stakeholders/contributors </t>
  </si>
  <si>
    <t>Create project plan with activities and milestones</t>
  </si>
  <si>
    <t>Conduct kickoff meeting with stakeholders and external team</t>
  </si>
  <si>
    <t>Get access to environments &amp; Documentation</t>
  </si>
  <si>
    <t>Strategy Assessment</t>
  </si>
  <si>
    <t>Conduct workshop with stakeholers &amp; document business drivers, plans, roadmaps</t>
  </si>
  <si>
    <t>Finalise Hyper-scaler selection criteria with project team from DMG Media</t>
  </si>
  <si>
    <t>Document maturity, team readiness, migration assumptions</t>
  </si>
  <si>
    <t>Analyse data &amp; report</t>
  </si>
  <si>
    <t>Automated Infrastructure Discovery</t>
  </si>
  <si>
    <t>Deploy and configure server discovery tool to collect server and dependency information</t>
  </si>
  <si>
    <t>Get and finalise inventory list of infrastructure in scope</t>
  </si>
  <si>
    <t>Prepare discovery data for analysis (server dependencies, high-level application info..)</t>
  </si>
  <si>
    <t>CSP Selection</t>
  </si>
  <si>
    <t>Review of customer Provided Documentation</t>
  </si>
  <si>
    <t xml:space="preserve">Interviews with stakeholders/contributors </t>
  </si>
  <si>
    <t>Provide Hyper-Scaler Recommendation</t>
  </si>
  <si>
    <t>TCO Analysis</t>
  </si>
  <si>
    <t>Conduct workshop with stakeholers &amp; document cloud principles</t>
  </si>
  <si>
    <t>Create 1 year run plan across the Hyperscalers</t>
  </si>
  <si>
    <t>Cloud Strategy Report &amp; Presentation</t>
  </si>
  <si>
    <t>Create strategy assessment documentation</t>
  </si>
  <si>
    <t>TCO Analysis report</t>
  </si>
  <si>
    <t>Infrastructure analysis documentation</t>
  </si>
  <si>
    <t>Maturity level &amp; gap analysis documentation</t>
  </si>
  <si>
    <t>Handover</t>
  </si>
  <si>
    <t>Finalise all documenation and deliverables</t>
  </si>
  <si>
    <t>Present findings to DMG Media team</t>
  </si>
  <si>
    <t>Turnover all deliverables to the customer</t>
  </si>
  <si>
    <t>Conduct project-close out meeting</t>
  </si>
  <si>
    <t>Kickoff Workshops Tool Deploy</t>
  </si>
  <si>
    <t>Workshops Tool Deploy</t>
  </si>
  <si>
    <t>Discovery CSP Selection</t>
  </si>
  <si>
    <t>TCO Review  Assess Report</t>
  </si>
  <si>
    <t>Report Present Close</t>
  </si>
  <si>
    <t>Role &amp; Hours</t>
  </si>
  <si>
    <t># Resrcs</t>
  </si>
  <si>
    <t>Total</t>
  </si>
  <si>
    <t xml:space="preserve">Sr. Project Manager (UK) </t>
  </si>
  <si>
    <t>Lead Consulting Architect (NL)</t>
  </si>
  <si>
    <t>Platform Architect (AWS) (IN)</t>
  </si>
  <si>
    <t>Platform Architect (Azure) (IN)</t>
  </si>
  <si>
    <t>Platform Architect (GCP) (NL)</t>
  </si>
  <si>
    <t>Sr. Cloud Engineer (IN)</t>
  </si>
  <si>
    <t>Migration Consultant (UK)</t>
  </si>
  <si>
    <t>Resource Role Hours &amp; Assumptions</t>
  </si>
  <si>
    <t>TOTAL</t>
  </si>
  <si>
    <t>Milestone</t>
  </si>
  <si>
    <t>Descriptions</t>
  </si>
  <si>
    <t>Deliverable</t>
  </si>
  <si>
    <t>Split</t>
  </si>
  <si>
    <t>MS 1</t>
  </si>
  <si>
    <t>Mobilisation</t>
  </si>
  <si>
    <t>MS 2</t>
  </si>
  <si>
    <t>Kick-off</t>
  </si>
  <si>
    <t>MS 3</t>
  </si>
  <si>
    <t>MS 4</t>
  </si>
  <si>
    <t>Infrastructure Discovery</t>
  </si>
  <si>
    <t>MS 5</t>
  </si>
  <si>
    <t>MS 6</t>
  </si>
  <si>
    <t>MS 7</t>
  </si>
  <si>
    <t>Cloud Strategy &amp; Presentation</t>
  </si>
  <si>
    <t>*US=United States, UK=United Kingdom, NL=Netherlands, AE=UAE, PL=Poland, DE=Germany, VN=Veitnam, AU=Australia, SG=Singapore, EG=Egypt, CAN=Canada, SA = Saudi Arabia, IN = India</t>
  </si>
  <si>
    <t>For All Markets except India, Egypt, Veitnam</t>
  </si>
  <si>
    <t>At Following Margins</t>
  </si>
  <si>
    <t>Platform &amp; Apps Price</t>
  </si>
  <si>
    <t>Data Price</t>
  </si>
  <si>
    <t>CA</t>
  </si>
  <si>
    <t>Security PS Price</t>
  </si>
  <si>
    <t>SDAIA Price</t>
  </si>
  <si>
    <t>ERP Price</t>
  </si>
  <si>
    <t>HealthCare PS Price</t>
  </si>
  <si>
    <t>Prices</t>
  </si>
  <si>
    <t>Alternative Costs</t>
  </si>
  <si>
    <t>PnA Price</t>
  </si>
  <si>
    <t>PnA Count</t>
  </si>
  <si>
    <t>PnA Alt Cost</t>
  </si>
  <si>
    <t xml:space="preserve">            costAps</t>
  </si>
  <si>
    <t>altcostAps</t>
  </si>
  <si>
    <t xml:space="preserve">            costData</t>
  </si>
  <si>
    <t>altcostData</t>
  </si>
  <si>
    <t xml:space="preserve">            costSec</t>
  </si>
  <si>
    <t>altcostSec</t>
  </si>
  <si>
    <t xml:space="preserve">            costAdv</t>
  </si>
  <si>
    <t>altcostAdv</t>
  </si>
  <si>
    <t xml:space="preserve">            costProd</t>
  </si>
  <si>
    <t>altcostProd</t>
  </si>
  <si>
    <t xml:space="preserve">            costPvtCld</t>
  </si>
  <si>
    <t>altcostPvtCld</t>
  </si>
  <si>
    <t xml:space="preserve">            costSadia</t>
  </si>
  <si>
    <t>altcostSadia</t>
  </si>
  <si>
    <t xml:space="preserve">            costErp</t>
  </si>
  <si>
    <t>altcostErp</t>
  </si>
  <si>
    <t>Data Count</t>
  </si>
  <si>
    <t>Data Alt Cost</t>
  </si>
  <si>
    <t>Security Count</t>
  </si>
  <si>
    <t>Sec Alt Cost</t>
  </si>
  <si>
    <t>Security Price</t>
  </si>
  <si>
    <t>Advisory Count</t>
  </si>
  <si>
    <t>Advisory Cost</t>
  </si>
  <si>
    <t>Advisory Price</t>
  </si>
  <si>
    <t/>
  </si>
  <si>
    <t>Productivity Count</t>
  </si>
  <si>
    <t>Productivity Alt Cost</t>
  </si>
  <si>
    <t>Productivity Price</t>
  </si>
  <si>
    <t>PS Pvt Cld Count</t>
  </si>
  <si>
    <t>PS Private Cloud Alt Cost</t>
  </si>
  <si>
    <t>SDAIA Count</t>
  </si>
  <si>
    <t>SDAIA Alt cost</t>
  </si>
  <si>
    <t>ERP Count</t>
  </si>
  <si>
    <t>ERP Alt Cost</t>
  </si>
  <si>
    <t>HealthCare PS Count</t>
  </si>
  <si>
    <t>Healthcare PS Alt Cost</t>
  </si>
  <si>
    <t xml:space="preserve">Timeline Estimate: </t>
  </si>
  <si>
    <t>Chosem</t>
  </si>
  <si>
    <t>Phase</t>
  </si>
  <si>
    <t>Name</t>
  </si>
  <si>
    <t>Start wk</t>
  </si>
  <si>
    <t>End wk</t>
  </si>
  <si>
    <t>WEEK No.</t>
  </si>
  <si>
    <t>Start</t>
  </si>
  <si>
    <t>stop</t>
  </si>
  <si>
    <t>Phase 1</t>
  </si>
  <si>
    <t>assessment</t>
  </si>
  <si>
    <t>Phase 2</t>
  </si>
  <si>
    <t>Implementaion</t>
  </si>
  <si>
    <t>Phase 3</t>
  </si>
  <si>
    <t>Phase 4</t>
  </si>
  <si>
    <t>Phase 5</t>
  </si>
  <si>
    <t>Phase 6</t>
  </si>
  <si>
    <t>Phase 7</t>
  </si>
  <si>
    <t>Project Closure</t>
  </si>
  <si>
    <t>Currency (select)</t>
  </si>
  <si>
    <t>Effort (select)</t>
  </si>
  <si>
    <t>Resource role</t>
  </si>
  <si>
    <t>Country</t>
  </si>
  <si>
    <t>Sub_total</t>
  </si>
  <si>
    <t>Other costs</t>
  </si>
  <si>
    <t>3rd party licence</t>
  </si>
  <si>
    <t>CMO</t>
  </si>
  <si>
    <t>CMO Eng</t>
  </si>
  <si>
    <t>TOTAL COST (w/o contingency)</t>
  </si>
  <si>
    <t>Margins Target</t>
  </si>
  <si>
    <t>Total Price to customer</t>
  </si>
  <si>
    <t>Updated: 8/15/2023</t>
  </si>
  <si>
    <t>Which Market is the project being delivered</t>
  </si>
  <si>
    <t xml:space="preserve">Is there a 3rd party/contractor involved? </t>
  </si>
  <si>
    <t>What is the cost(charged by the partner)?</t>
  </si>
  <si>
    <t xml:space="preserve">  &lt;=from below table</t>
  </si>
  <si>
    <t>Choose Currency</t>
  </si>
  <si>
    <t>3rd party margins</t>
  </si>
  <si>
    <t>Choose days or hours option for rates</t>
  </si>
  <si>
    <t>Price to Customer</t>
  </si>
  <si>
    <t>Any Channel Partner</t>
  </si>
  <si>
    <r>
      <rPr>
        <b/>
        <sz val="11"/>
        <color theme="0"/>
        <rFont val="Calibri"/>
        <family val="2"/>
        <scheme val="minor"/>
      </rPr>
      <t>Enter any 3rd party License Cost</t>
    </r>
  </si>
  <si>
    <r>
      <rPr>
        <b/>
        <sz val="11"/>
        <color theme="0"/>
        <rFont val="Calibri"/>
        <family val="2"/>
        <scheme val="minor"/>
      </rPr>
      <t>Enter Travel costs/other expenses</t>
    </r>
  </si>
  <si>
    <t>3rd Party Delivery Partner cost</t>
  </si>
  <si>
    <t xml:space="preserve">Enter Contingency </t>
  </si>
  <si>
    <t>Choose between "List price" or "Strategic Margin/price"</t>
  </si>
  <si>
    <t>External Supplier/Internal Rackspace BU (eg. Data team)</t>
  </si>
  <si>
    <t>RXT /Supplier SOW Number if available</t>
  </si>
  <si>
    <t>Supplier Quote ref (if available)</t>
  </si>
  <si>
    <t>Cost (in per unit or per hr or per day rate) to Rackspace</t>
  </si>
  <si>
    <t xml:space="preserve">Qty </t>
  </si>
  <si>
    <t>Add worksheets</t>
  </si>
  <si>
    <t>Have conducted a full review of the current architecture, support processes, and service model, identifying any risks, gaps, or inefficiencies.
 • Submit a detailed report highlighting findings, alongside recommended remediation actions to address any identified issues.
 • Collect all necessary artefacts required for service management and a clear plan for knowledge transfer from the incumbent provider.
  • Produce a comprehensive service take-on plan, outlining the ‘go-live’ requirements and the full transition strategy from the interim support team
 • Define and confirm the timeline from contract signature to full-service implementation and take over</t>
  </si>
  <si>
    <t xml:space="preserve">Project Manager </t>
  </si>
  <si>
    <t>Consulting Architect</t>
  </si>
  <si>
    <t>Platform Architect</t>
  </si>
  <si>
    <t>Costs</t>
  </si>
  <si>
    <t>PnA Cost</t>
  </si>
  <si>
    <t>Data cost</t>
  </si>
  <si>
    <t>Security Cost</t>
  </si>
  <si>
    <t>Productivity Cost</t>
  </si>
  <si>
    <t>SDAIA cost</t>
  </si>
  <si>
    <t>ERP Cost</t>
  </si>
  <si>
    <t>HealthCare PS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</si>
</sst>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&quot;$&quot;#,##0_);[Red]\(&quot;$&quot;#,##0\)"/>
    <numFmt numFmtId="165" formatCode="&quot;$&quot;#,##0.00_);[Red]\(&quot;$&quot;#,##0.00\)"/>
    <numFmt numFmtId="166" formatCode="&quot;$&quot;#,##0"/>
    <numFmt numFmtId="167" formatCode="00000"/>
    <numFmt numFmtId="168" formatCode="0.0%"/>
    <numFmt numFmtId="169" formatCode="&quot;$&quot;#,##0.00"/>
    <numFmt numFmtId="170" formatCode="0_);[Red]\(0\)"/>
    <numFmt numFmtId="171" formatCode="#,##0_ ;[Red]\-#,##0\ "/>
    <numFmt numFmtId="172" formatCode="#,##0_ ;\-#,##0\ "/>
    <numFmt numFmtId="173" formatCode="#,##0.0;[Red]\-#,##0.0"/>
    <numFmt numFmtId="174" formatCode="[$-409]mmmm\ d\,\ yyyy;@"/>
    <numFmt numFmtId="175" formatCode="&quot;$&quot;#,##0.0_);[Red]\(&quot;$&quot;#,##0.0\)"/>
    <numFmt numFmtId="176" formatCode="#,##0.0"/>
    <numFmt numFmtId="177" formatCode="#,##0.0_ ;[Red]\-#,##0.0\ "/>
    <numFmt numFmtId="178" formatCode="&quot;$&quot;#,##0.0"/>
  </numFmts>
  <fonts count="7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name val="Arial"/>
      <family val="2"/>
    </font>
    <font>
      <sz val="12"/>
      <color theme="1"/>
      <name val="Calibri"/>
      <family val="2"/>
    </font>
    <font>
      <u/>
      <sz val="10"/>
      <color theme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i/>
      <sz val="10"/>
      <color theme="0"/>
      <name val="Arial"/>
      <family val="2"/>
    </font>
    <font>
      <b/>
      <u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i/>
      <sz val="11"/>
      <color theme="0"/>
      <name val="Calibri"/>
      <family val="2"/>
      <scheme val="minor"/>
    </font>
    <font>
      <sz val="9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18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0"/>
      <color theme="7" tint="-0.499984740745262"/>
      <name val="Calibri"/>
      <family val="2"/>
      <scheme val="minor"/>
    </font>
    <font>
      <b/>
      <i/>
      <sz val="10"/>
      <color rgb="FF7F7F7F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i/>
      <sz val="9"/>
      <color rgb="FF3F3F76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3" tint="0.7999816888943144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FFFF"/>
      <name val="Arial"/>
      <family val="2"/>
    </font>
    <font>
      <sz val="10"/>
      <color theme="1"/>
      <name val="Arial (Body)"/>
    </font>
    <font>
      <b/>
      <sz val="10"/>
      <color rgb="FFFFFFFF"/>
      <name val="Arial"/>
      <family val="2"/>
    </font>
    <font>
      <i/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5" tint="0.59999389629810485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7A6A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Dot">
        <color auto="1"/>
      </left>
      <right style="mediumDashDot">
        <color auto="1"/>
      </right>
      <top style="mediumDashDot">
        <color auto="1"/>
      </top>
      <bottom style="mediumDashDot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/>
      <top style="medium">
        <color theme="4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F7F7F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rgb="FF7F7F7F"/>
      </left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medium">
        <color rgb="FFB7B7B7"/>
      </top>
      <bottom style="medium">
        <color rgb="FFB7B7B7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thin">
        <color theme="4" tint="0.39997558519241921"/>
      </top>
      <bottom/>
      <diagonal/>
    </border>
    <border>
      <left style="medium">
        <color rgb="FF000000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rgb="FF000000"/>
      </left>
      <right/>
      <top style="thin">
        <color theme="4" tint="0.39997558519241921"/>
      </top>
      <bottom style="medium">
        <color rgb="FF000000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rgb="FF000000"/>
      </bottom>
      <diagonal/>
    </border>
    <border>
      <left style="thin">
        <color rgb="FF7F7F7F"/>
      </left>
      <right style="hair">
        <color rgb="FF7F7F7F"/>
      </right>
      <top style="medium">
        <color theme="4"/>
      </top>
      <bottom/>
      <diagonal/>
    </border>
    <border>
      <left style="thin">
        <color rgb="FF7F7F7F"/>
      </left>
      <right style="hair">
        <color rgb="FF7F7F7F"/>
      </right>
      <top style="thin">
        <color theme="4"/>
      </top>
      <bottom/>
      <diagonal/>
    </border>
    <border>
      <left style="thin">
        <color rgb="FF7F7F7F"/>
      </left>
      <right style="hair">
        <color rgb="FF7F7F7F"/>
      </right>
      <top style="thin">
        <color theme="4"/>
      </top>
      <bottom style="thin">
        <color theme="4"/>
      </bottom>
      <diagonal/>
    </border>
  </borders>
  <cellStyleXfs count="14">
    <xf numFmtId="0" fontId="0" fillId="0" borderId="0"/>
    <xf numFmtId="0" fontId="1" fillId="0" borderId="0"/>
    <xf numFmtId="0" fontId="8" fillId="5" borderId="5" applyNumberFormat="0" applyAlignment="0" applyProtection="0"/>
    <xf numFmtId="0" fontId="11" fillId="6" borderId="0" applyNumberFormat="0" applyBorder="0" applyAlignment="0" applyProtection="0"/>
    <xf numFmtId="167" fontId="7" fillId="0" borderId="6">
      <alignment horizontal="center"/>
    </xf>
    <xf numFmtId="0" fontId="7" fillId="0" borderId="7">
      <alignment horizontal="center"/>
    </xf>
    <xf numFmtId="0" fontId="14" fillId="0" borderId="0"/>
    <xf numFmtId="0" fontId="15" fillId="0" borderId="0" applyNumberFormat="0" applyFill="0" applyBorder="0" applyAlignment="0" applyProtection="0"/>
    <xf numFmtId="0" fontId="16" fillId="11" borderId="11" applyNumberFormat="0" applyAlignment="0" applyProtection="0"/>
    <xf numFmtId="0" fontId="17" fillId="11" borderId="5" applyNumberFormat="0" applyAlignment="0" applyProtection="0"/>
    <xf numFmtId="0" fontId="7" fillId="15" borderId="21" applyNumberFormat="0" applyFont="0" applyAlignment="0" applyProtection="0"/>
    <xf numFmtId="0" fontId="26" fillId="0" borderId="0"/>
    <xf numFmtId="0" fontId="32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602">
    <xf numFmtId="0" fontId="0" fillId="0" borderId="0" xfId="0"/>
    <xf numFmtId="0" fontId="3" fillId="3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1" fillId="0" borderId="2" xfId="1" applyBorder="1"/>
    <xf numFmtId="1" fontId="1" fillId="0" borderId="0" xfId="1" applyNumberFormat="1" applyAlignment="1">
      <alignment horizontal="center"/>
    </xf>
    <xf numFmtId="0" fontId="1" fillId="0" borderId="3" xfId="1" applyBorder="1"/>
    <xf numFmtId="0" fontId="1" fillId="0" borderId="4" xfId="1" applyBorder="1"/>
    <xf numFmtId="0" fontId="1" fillId="0" borderId="0" xfId="1"/>
    <xf numFmtId="0" fontId="5" fillId="4" borderId="0" xfId="0" applyFont="1" applyFill="1" applyAlignment="1">
      <alignment horizontal="center"/>
    </xf>
    <xf numFmtId="9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0" fillId="0" borderId="0" xfId="0" applyFont="1"/>
    <xf numFmtId="0" fontId="13" fillId="0" borderId="0" xfId="0" applyFont="1"/>
    <xf numFmtId="0" fontId="0" fillId="0" borderId="0" xfId="0" applyAlignment="1">
      <alignment horizontal="center" vertical="center"/>
    </xf>
    <xf numFmtId="0" fontId="15" fillId="3" borderId="13" xfId="7" applyFill="1" applyBorder="1"/>
    <xf numFmtId="0" fontId="0" fillId="3" borderId="13" xfId="0" applyFill="1" applyBorder="1"/>
    <xf numFmtId="0" fontId="0" fillId="3" borderId="14" xfId="0" applyFill="1" applyBorder="1"/>
    <xf numFmtId="0" fontId="10" fillId="3" borderId="15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/>
    </xf>
    <xf numFmtId="9" fontId="0" fillId="3" borderId="18" xfId="0" applyNumberFormat="1" applyFill="1" applyBorder="1" applyAlignment="1">
      <alignment horizontal="center"/>
    </xf>
    <xf numFmtId="0" fontId="0" fillId="3" borderId="18" xfId="0" applyFill="1" applyBorder="1"/>
    <xf numFmtId="0" fontId="0" fillId="3" borderId="19" xfId="0" applyFill="1" applyBorder="1"/>
    <xf numFmtId="0" fontId="0" fillId="3" borderId="16" xfId="0" applyFill="1" applyBorder="1" applyAlignment="1">
      <alignment horizontal="center" vertical="center"/>
    </xf>
    <xf numFmtId="0" fontId="0" fillId="3" borderId="16" xfId="0" applyFill="1" applyBorder="1"/>
    <xf numFmtId="166" fontId="1" fillId="3" borderId="0" xfId="1" applyNumberFormat="1" applyFill="1" applyAlignment="1">
      <alignment horizontal="center"/>
    </xf>
    <xf numFmtId="0" fontId="2" fillId="2" borderId="12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0" fillId="2" borderId="9" xfId="1" applyFont="1" applyFill="1" applyBorder="1" applyAlignment="1">
      <alignment horizontal="center" vertical="center"/>
    </xf>
    <xf numFmtId="0" fontId="20" fillId="2" borderId="10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left" vertical="center"/>
    </xf>
    <xf numFmtId="9" fontId="8" fillId="5" borderId="5" xfId="2" applyNumberFormat="1" applyAlignment="1">
      <alignment horizontal="center"/>
    </xf>
    <xf numFmtId="0" fontId="9" fillId="12" borderId="8" xfId="0" applyFont="1" applyFill="1" applyBorder="1" applyAlignment="1">
      <alignment horizontal="left" vertical="center"/>
    </xf>
    <xf numFmtId="166" fontId="1" fillId="7" borderId="0" xfId="1" applyNumberFormat="1" applyFill="1" applyAlignment="1">
      <alignment horizontal="center"/>
    </xf>
    <xf numFmtId="0" fontId="2" fillId="12" borderId="12" xfId="1" applyFont="1" applyFill="1" applyBorder="1" applyAlignment="1">
      <alignment horizontal="center" vertical="center"/>
    </xf>
    <xf numFmtId="0" fontId="2" fillId="12" borderId="8" xfId="1" applyFont="1" applyFill="1" applyBorder="1" applyAlignment="1">
      <alignment horizontal="center" vertical="center"/>
    </xf>
    <xf numFmtId="0" fontId="2" fillId="12" borderId="9" xfId="1" applyFont="1" applyFill="1" applyBorder="1" applyAlignment="1">
      <alignment horizontal="center" vertical="center"/>
    </xf>
    <xf numFmtId="0" fontId="20" fillId="12" borderId="9" xfId="1" applyFont="1" applyFill="1" applyBorder="1" applyAlignment="1">
      <alignment horizontal="center" vertical="center"/>
    </xf>
    <xf numFmtId="0" fontId="20" fillId="12" borderId="10" xfId="1" applyFont="1" applyFill="1" applyBorder="1" applyAlignment="1">
      <alignment horizontal="center" vertical="center"/>
    </xf>
    <xf numFmtId="168" fontId="2" fillId="10" borderId="0" xfId="0" applyNumberFormat="1" applyFont="1" applyFill="1" applyAlignment="1">
      <alignment horizontal="center" vertical="center" wrapText="1"/>
    </xf>
    <xf numFmtId="0" fontId="9" fillId="13" borderId="0" xfId="0" applyFont="1" applyFill="1" applyAlignment="1">
      <alignment horizontal="left" vertical="center"/>
    </xf>
    <xf numFmtId="0" fontId="9" fillId="13" borderId="0" xfId="0" applyFont="1" applyFill="1" applyAlignment="1">
      <alignment horizontal="center" vertical="center"/>
    </xf>
    <xf numFmtId="0" fontId="2" fillId="13" borderId="12" xfId="1" applyFont="1" applyFill="1" applyBorder="1" applyAlignment="1">
      <alignment horizontal="center" vertical="center"/>
    </xf>
    <xf numFmtId="0" fontId="2" fillId="13" borderId="8" xfId="1" applyFont="1" applyFill="1" applyBorder="1" applyAlignment="1">
      <alignment horizontal="center" vertical="center"/>
    </xf>
    <xf numFmtId="0" fontId="2" fillId="13" borderId="9" xfId="1" applyFont="1" applyFill="1" applyBorder="1" applyAlignment="1">
      <alignment horizontal="center" vertical="center"/>
    </xf>
    <xf numFmtId="0" fontId="20" fillId="13" borderId="9" xfId="1" applyFont="1" applyFill="1" applyBorder="1" applyAlignment="1">
      <alignment horizontal="center" vertical="center"/>
    </xf>
    <xf numFmtId="0" fontId="20" fillId="13" borderId="10" xfId="1" applyFont="1" applyFill="1" applyBorder="1" applyAlignment="1">
      <alignment horizontal="center" vertical="center"/>
    </xf>
    <xf numFmtId="166" fontId="1" fillId="14" borderId="0" xfId="1" applyNumberFormat="1" applyFill="1" applyAlignment="1">
      <alignment horizontal="center"/>
    </xf>
    <xf numFmtId="9" fontId="1" fillId="0" borderId="0" xfId="1" applyNumberFormat="1" applyAlignment="1">
      <alignment horizontal="center"/>
    </xf>
    <xf numFmtId="9" fontId="11" fillId="12" borderId="5" xfId="2" applyNumberFormat="1" applyFont="1" applyFill="1" applyAlignment="1">
      <alignment horizontal="center"/>
    </xf>
    <xf numFmtId="9" fontId="21" fillId="12" borderId="5" xfId="2" applyNumberFormat="1" applyFont="1" applyFill="1" applyAlignment="1">
      <alignment horizontal="left"/>
    </xf>
    <xf numFmtId="0" fontId="0" fillId="10" borderId="22" xfId="0" applyFill="1" applyBorder="1" applyAlignment="1">
      <alignment horizontal="center"/>
    </xf>
    <xf numFmtId="0" fontId="0" fillId="10" borderId="23" xfId="0" applyFill="1" applyBorder="1"/>
    <xf numFmtId="0" fontId="0" fillId="10" borderId="24" xfId="0" applyFill="1" applyBorder="1" applyAlignment="1">
      <alignment horizontal="center"/>
    </xf>
    <xf numFmtId="0" fontId="0" fillId="10" borderId="25" xfId="0" applyFill="1" applyBorder="1"/>
    <xf numFmtId="0" fontId="22" fillId="10" borderId="24" xfId="0" applyFont="1" applyFill="1" applyBorder="1" applyAlignment="1">
      <alignment horizontal="center"/>
    </xf>
    <xf numFmtId="0" fontId="22" fillId="10" borderId="26" xfId="0" applyFont="1" applyFill="1" applyBorder="1" applyAlignment="1">
      <alignment horizontal="center"/>
    </xf>
    <xf numFmtId="0" fontId="0" fillId="10" borderId="27" xfId="0" applyFill="1" applyBorder="1"/>
    <xf numFmtId="0" fontId="0" fillId="10" borderId="0" xfId="0" applyFill="1"/>
    <xf numFmtId="169" fontId="0" fillId="0" borderId="0" xfId="0" applyNumberFormat="1"/>
    <xf numFmtId="0" fontId="0" fillId="3" borderId="15" xfId="0" applyFill="1" applyBorder="1" applyAlignment="1">
      <alignment horizontal="center"/>
    </xf>
    <xf numFmtId="0" fontId="25" fillId="3" borderId="12" xfId="0" applyFont="1" applyFill="1" applyBorder="1" applyAlignment="1">
      <alignment horizontal="center" vertical="center"/>
    </xf>
    <xf numFmtId="9" fontId="11" fillId="18" borderId="5" xfId="2" applyNumberFormat="1" applyFont="1" applyFill="1" applyAlignment="1">
      <alignment horizontal="left"/>
    </xf>
    <xf numFmtId="0" fontId="11" fillId="18" borderId="0" xfId="0" applyFont="1" applyFill="1"/>
    <xf numFmtId="0" fontId="0" fillId="20" borderId="0" xfId="0" applyFill="1"/>
    <xf numFmtId="0" fontId="9" fillId="17" borderId="8" xfId="0" applyFont="1" applyFill="1" applyBorder="1" applyAlignment="1">
      <alignment horizontal="center"/>
    </xf>
    <xf numFmtId="0" fontId="9" fillId="17" borderId="10" xfId="0" applyFont="1" applyFill="1" applyBorder="1" applyAlignment="1">
      <alignment horizontal="center"/>
    </xf>
    <xf numFmtId="0" fontId="30" fillId="3" borderId="0" xfId="1" applyFont="1" applyFill="1" applyAlignment="1">
      <alignment horizontal="center"/>
    </xf>
    <xf numFmtId="166" fontId="1" fillId="0" borderId="13" xfId="1" applyNumberFormat="1" applyBorder="1" applyAlignment="1">
      <alignment horizontal="center"/>
    </xf>
    <xf numFmtId="166" fontId="1" fillId="0" borderId="0" xfId="1" applyNumberFormat="1" applyAlignment="1">
      <alignment horizontal="center"/>
    </xf>
    <xf numFmtId="0" fontId="1" fillId="0" borderId="14" xfId="1" applyBorder="1"/>
    <xf numFmtId="0" fontId="1" fillId="0" borderId="16" xfId="1" applyBorder="1"/>
    <xf numFmtId="0" fontId="1" fillId="0" borderId="19" xfId="1" applyBorder="1"/>
    <xf numFmtId="0" fontId="2" fillId="2" borderId="17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1" fillId="0" borderId="0" xfId="0" applyFont="1"/>
    <xf numFmtId="0" fontId="0" fillId="0" borderId="4" xfId="0" applyBorder="1"/>
    <xf numFmtId="0" fontId="1" fillId="0" borderId="16" xfId="0" applyFont="1" applyBorder="1"/>
    <xf numFmtId="1" fontId="1" fillId="0" borderId="0" xfId="0" applyNumberFormat="1" applyFont="1" applyAlignment="1">
      <alignment horizontal="center"/>
    </xf>
    <xf numFmtId="0" fontId="35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29" fillId="7" borderId="0" xfId="0" applyFont="1" applyFill="1" applyAlignment="1" applyProtection="1">
      <alignment horizontal="center" vertical="center"/>
      <protection locked="0"/>
    </xf>
    <xf numFmtId="0" fontId="36" fillId="9" borderId="0" xfId="0" applyFont="1" applyFill="1" applyAlignment="1" applyProtection="1">
      <alignment horizontal="center" vertical="center"/>
      <protection locked="0"/>
    </xf>
    <xf numFmtId="0" fontId="29" fillId="9" borderId="0" xfId="0" applyFont="1" applyFill="1" applyAlignment="1" applyProtection="1">
      <alignment horizontal="center" vertical="center"/>
      <protection locked="0"/>
    </xf>
    <xf numFmtId="0" fontId="36" fillId="7" borderId="0" xfId="0" applyFont="1" applyFill="1" applyAlignment="1" applyProtection="1">
      <alignment horizontal="center" vertical="center"/>
      <protection locked="0"/>
    </xf>
    <xf numFmtId="166" fontId="8" fillId="5" borderId="29" xfId="2" applyNumberFormat="1" applyBorder="1" applyAlignment="1" applyProtection="1">
      <alignment horizontal="center" vertical="center"/>
      <protection locked="0"/>
    </xf>
    <xf numFmtId="0" fontId="35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9" fillId="6" borderId="30" xfId="3" applyFont="1" applyBorder="1" applyAlignment="1">
      <alignment horizontal="center" vertical="center" wrapText="1"/>
    </xf>
    <xf numFmtId="0" fontId="9" fillId="6" borderId="30" xfId="3" applyFont="1" applyBorder="1" applyAlignment="1">
      <alignment horizontal="center" vertical="center"/>
    </xf>
    <xf numFmtId="0" fontId="9" fillId="6" borderId="31" xfId="3" applyFont="1" applyBorder="1" applyAlignment="1">
      <alignment horizontal="center" vertical="center" wrapText="1"/>
    </xf>
    <xf numFmtId="166" fontId="0" fillId="16" borderId="34" xfId="0" applyNumberFormat="1" applyFill="1" applyBorder="1" applyAlignment="1">
      <alignment horizontal="center"/>
    </xf>
    <xf numFmtId="9" fontId="0" fillId="16" borderId="32" xfId="0" applyNumberFormat="1" applyFill="1" applyBorder="1" applyAlignment="1">
      <alignment horizontal="center"/>
    </xf>
    <xf numFmtId="0" fontId="10" fillId="20" borderId="32" xfId="0" applyFont="1" applyFill="1" applyBorder="1"/>
    <xf numFmtId="0" fontId="34" fillId="8" borderId="32" xfId="12" applyFont="1" applyFill="1" applyBorder="1"/>
    <xf numFmtId="166" fontId="0" fillId="0" borderId="37" xfId="0" applyNumberFormat="1" applyBorder="1" applyAlignment="1">
      <alignment horizontal="center"/>
    </xf>
    <xf numFmtId="9" fontId="0" fillId="0" borderId="30" xfId="0" applyNumberFormat="1" applyBorder="1" applyAlignment="1">
      <alignment horizontal="center"/>
    </xf>
    <xf numFmtId="0" fontId="10" fillId="20" borderId="30" xfId="0" applyFont="1" applyFill="1" applyBorder="1"/>
    <xf numFmtId="0" fontId="34" fillId="8" borderId="30" xfId="12" applyFont="1" applyFill="1" applyBorder="1"/>
    <xf numFmtId="166" fontId="0" fillId="16" borderId="37" xfId="0" applyNumberFormat="1" applyFill="1" applyBorder="1" applyAlignment="1">
      <alignment horizontal="center"/>
    </xf>
    <xf numFmtId="9" fontId="0" fillId="16" borderId="30" xfId="0" applyNumberFormat="1" applyFill="1" applyBorder="1" applyAlignment="1">
      <alignment horizontal="center"/>
    </xf>
    <xf numFmtId="0" fontId="0" fillId="20" borderId="30" xfId="0" applyFill="1" applyBorder="1"/>
    <xf numFmtId="166" fontId="0" fillId="16" borderId="39" xfId="0" applyNumberFormat="1" applyFill="1" applyBorder="1" applyAlignment="1">
      <alignment horizontal="center"/>
    </xf>
    <xf numFmtId="9" fontId="0" fillId="16" borderId="38" xfId="0" applyNumberFormat="1" applyFill="1" applyBorder="1" applyAlignment="1">
      <alignment horizontal="center"/>
    </xf>
    <xf numFmtId="0" fontId="0" fillId="20" borderId="38" xfId="0" applyFill="1" applyBorder="1"/>
    <xf numFmtId="0" fontId="34" fillId="8" borderId="38" xfId="12" applyFont="1" applyFill="1" applyBorder="1"/>
    <xf numFmtId="0" fontId="9" fillId="6" borderId="30" xfId="3" applyNumberFormat="1" applyFont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0" borderId="8" xfId="6" applyFont="1" applyBorder="1" applyAlignment="1">
      <alignment horizontal="center" vertical="center"/>
    </xf>
    <xf numFmtId="0" fontId="0" fillId="16" borderId="41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16" borderId="42" xfId="0" applyFill="1" applyBorder="1" applyAlignment="1">
      <alignment horizontal="center"/>
    </xf>
    <xf numFmtId="0" fontId="0" fillId="16" borderId="43" xfId="0" applyFill="1" applyBorder="1" applyAlignment="1">
      <alignment horizontal="center"/>
    </xf>
    <xf numFmtId="170" fontId="0" fillId="16" borderId="41" xfId="0" applyNumberFormat="1" applyFill="1" applyBorder="1" applyAlignment="1">
      <alignment horizontal="center"/>
    </xf>
    <xf numFmtId="170" fontId="0" fillId="0" borderId="42" xfId="0" applyNumberFormat="1" applyBorder="1" applyAlignment="1">
      <alignment horizontal="center"/>
    </xf>
    <xf numFmtId="170" fontId="0" fillId="16" borderId="42" xfId="0" applyNumberFormat="1" applyFill="1" applyBorder="1" applyAlignment="1">
      <alignment horizontal="center"/>
    </xf>
    <xf numFmtId="170" fontId="0" fillId="16" borderId="43" xfId="0" applyNumberFormat="1" applyFill="1" applyBorder="1" applyAlignment="1">
      <alignment horizontal="center"/>
    </xf>
    <xf numFmtId="0" fontId="7" fillId="8" borderId="0" xfId="6" applyFont="1" applyFill="1" applyAlignment="1">
      <alignment horizontal="center" vertical="center" wrapText="1"/>
    </xf>
    <xf numFmtId="0" fontId="23" fillId="18" borderId="0" xfId="0" applyFont="1" applyFill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/>
    </xf>
    <xf numFmtId="0" fontId="10" fillId="3" borderId="0" xfId="0" applyFont="1" applyFill="1"/>
    <xf numFmtId="0" fontId="39" fillId="3" borderId="0" xfId="0" applyFont="1" applyFill="1"/>
    <xf numFmtId="164" fontId="0" fillId="3" borderId="17" xfId="0" applyNumberFormat="1" applyFill="1" applyBorder="1" applyAlignment="1">
      <alignment horizontal="left"/>
    </xf>
    <xf numFmtId="0" fontId="39" fillId="3" borderId="15" xfId="0" applyFont="1" applyFill="1" applyBorder="1"/>
    <xf numFmtId="0" fontId="40" fillId="0" borderId="0" xfId="0" applyFont="1"/>
    <xf numFmtId="0" fontId="0" fillId="20" borderId="0" xfId="0" applyFill="1" applyProtection="1">
      <protection locked="0"/>
    </xf>
    <xf numFmtId="0" fontId="0" fillId="20" borderId="0" xfId="0" applyFill="1" applyAlignment="1" applyProtection="1">
      <alignment horizontal="center" vertical="center"/>
      <protection locked="0"/>
    </xf>
    <xf numFmtId="0" fontId="10" fillId="20" borderId="0" xfId="0" applyFont="1" applyFill="1" applyProtection="1">
      <protection locked="0"/>
    </xf>
    <xf numFmtId="38" fontId="8" fillId="5" borderId="33" xfId="2" applyNumberFormat="1" applyBorder="1" applyAlignment="1" applyProtection="1">
      <alignment horizontal="center"/>
      <protection locked="0"/>
    </xf>
    <xf numFmtId="9" fontId="8" fillId="5" borderId="5" xfId="2" applyNumberFormat="1" applyAlignment="1" applyProtection="1">
      <alignment horizontal="center"/>
      <protection locked="0"/>
    </xf>
    <xf numFmtId="9" fontId="33" fillId="9" borderId="32" xfId="0" applyNumberFormat="1" applyFont="1" applyFill="1" applyBorder="1" applyAlignment="1" applyProtection="1">
      <alignment horizontal="left"/>
      <protection locked="0"/>
    </xf>
    <xf numFmtId="9" fontId="33" fillId="9" borderId="38" xfId="0" applyNumberFormat="1" applyFont="1" applyFill="1" applyBorder="1" applyAlignment="1" applyProtection="1">
      <alignment horizontal="left"/>
      <protection locked="0"/>
    </xf>
    <xf numFmtId="9" fontId="33" fillId="9" borderId="30" xfId="0" applyNumberFormat="1" applyFont="1" applyFill="1" applyBorder="1" applyAlignment="1" applyProtection="1">
      <alignment horizontal="left"/>
      <protection locked="0"/>
    </xf>
    <xf numFmtId="0" fontId="0" fillId="16" borderId="30" xfId="0" applyFill="1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164" fontId="1" fillId="0" borderId="12" xfId="1" applyNumberFormat="1" applyBorder="1" applyAlignment="1">
      <alignment horizontal="center"/>
    </xf>
    <xf numFmtId="164" fontId="1" fillId="0" borderId="13" xfId="1" applyNumberFormat="1" applyBorder="1" applyAlignment="1">
      <alignment horizontal="center"/>
    </xf>
    <xf numFmtId="164" fontId="1" fillId="0" borderId="14" xfId="1" applyNumberFormat="1" applyBorder="1" applyAlignment="1">
      <alignment horizontal="center"/>
    </xf>
    <xf numFmtId="164" fontId="1" fillId="0" borderId="15" xfId="1" applyNumberFormat="1" applyBorder="1" applyAlignment="1">
      <alignment horizontal="center"/>
    </xf>
    <xf numFmtId="164" fontId="1" fillId="0" borderId="16" xfId="1" applyNumberFormat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1" fillId="16" borderId="0" xfId="1" applyFill="1"/>
    <xf numFmtId="0" fontId="18" fillId="3" borderId="28" xfId="0" applyFont="1" applyFill="1" applyBorder="1" applyAlignment="1">
      <alignment horizontal="left"/>
    </xf>
    <xf numFmtId="38" fontId="0" fillId="16" borderId="41" xfId="0" applyNumberFormat="1" applyFill="1" applyBorder="1" applyAlignment="1">
      <alignment horizontal="center"/>
    </xf>
    <xf numFmtId="38" fontId="0" fillId="0" borderId="42" xfId="0" applyNumberFormat="1" applyBorder="1" applyAlignment="1">
      <alignment horizontal="center"/>
    </xf>
    <xf numFmtId="38" fontId="0" fillId="16" borderId="42" xfId="0" applyNumberFormat="1" applyFill="1" applyBorder="1" applyAlignment="1">
      <alignment horizontal="center"/>
    </xf>
    <xf numFmtId="38" fontId="0" fillId="16" borderId="43" xfId="0" applyNumberFormat="1" applyFill="1" applyBorder="1" applyAlignment="1">
      <alignment horizontal="center"/>
    </xf>
    <xf numFmtId="0" fontId="9" fillId="6" borderId="0" xfId="3" applyFont="1" applyBorder="1" applyAlignment="1">
      <alignment horizontal="center" vertical="center" wrapText="1"/>
    </xf>
    <xf numFmtId="0" fontId="9" fillId="6" borderId="45" xfId="3" applyFont="1" applyBorder="1" applyAlignment="1">
      <alignment horizontal="center" vertical="center" wrapText="1"/>
    </xf>
    <xf numFmtId="0" fontId="9" fillId="6" borderId="45" xfId="3" applyFont="1" applyBorder="1" applyAlignment="1">
      <alignment horizontal="center" vertical="center"/>
    </xf>
    <xf numFmtId="0" fontId="9" fillId="6" borderId="45" xfId="3" applyNumberFormat="1" applyFont="1" applyBorder="1" applyAlignment="1">
      <alignment horizontal="center" vertical="center" wrapText="1"/>
    </xf>
    <xf numFmtId="0" fontId="9" fillId="6" borderId="46" xfId="3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Continuous"/>
    </xf>
    <xf numFmtId="0" fontId="0" fillId="3" borderId="9" xfId="0" applyFill="1" applyBorder="1" applyAlignment="1">
      <alignment horizontal="centerContinuous"/>
    </xf>
    <xf numFmtId="0" fontId="41" fillId="3" borderId="12" xfId="0" applyFont="1" applyFill="1" applyBorder="1"/>
    <xf numFmtId="0" fontId="41" fillId="3" borderId="15" xfId="0" applyFont="1" applyFill="1" applyBorder="1"/>
    <xf numFmtId="0" fontId="41" fillId="3" borderId="17" xfId="0" applyFont="1" applyFill="1" applyBorder="1"/>
    <xf numFmtId="0" fontId="41" fillId="19" borderId="13" xfId="0" applyFont="1" applyFill="1" applyBorder="1" applyAlignment="1" applyProtection="1">
      <alignment horizontal="left" indent="1"/>
      <protection locked="0"/>
    </xf>
    <xf numFmtId="0" fontId="41" fillId="3" borderId="16" xfId="0" applyFont="1" applyFill="1" applyBorder="1"/>
    <xf numFmtId="0" fontId="41" fillId="3" borderId="18" xfId="0" applyFont="1" applyFill="1" applyBorder="1" applyAlignment="1">
      <alignment horizontal="left" indent="1"/>
    </xf>
    <xf numFmtId="0" fontId="41" fillId="3" borderId="14" xfId="0" applyFont="1" applyFill="1" applyBorder="1" applyAlignment="1">
      <alignment horizontal="left" indent="1"/>
    </xf>
    <xf numFmtId="0" fontId="41" fillId="3" borderId="16" xfId="0" applyFont="1" applyFill="1" applyBorder="1" applyAlignment="1">
      <alignment horizontal="left" indent="1"/>
    </xf>
    <xf numFmtId="0" fontId="41" fillId="3" borderId="47" xfId="0" applyFont="1" applyFill="1" applyBorder="1"/>
    <xf numFmtId="171" fontId="41" fillId="3" borderId="48" xfId="0" applyNumberFormat="1" applyFont="1" applyFill="1" applyBorder="1" applyAlignment="1">
      <alignment horizontal="right" indent="1"/>
    </xf>
    <xf numFmtId="0" fontId="39" fillId="3" borderId="49" xfId="0" applyFont="1" applyFill="1" applyBorder="1" applyAlignment="1">
      <alignment horizontal="left" indent="1"/>
    </xf>
    <xf numFmtId="171" fontId="41" fillId="19" borderId="50" xfId="0" applyNumberFormat="1" applyFont="1" applyFill="1" applyBorder="1" applyAlignment="1" applyProtection="1">
      <alignment horizontal="right" indent="1"/>
      <protection locked="0"/>
    </xf>
    <xf numFmtId="0" fontId="41" fillId="4" borderId="51" xfId="0" applyFont="1" applyFill="1" applyBorder="1"/>
    <xf numFmtId="171" fontId="41" fillId="4" borderId="52" xfId="0" applyNumberFormat="1" applyFont="1" applyFill="1" applyBorder="1" applyAlignment="1">
      <alignment horizontal="right" indent="1"/>
    </xf>
    <xf numFmtId="171" fontId="28" fillId="3" borderId="50" xfId="0" applyNumberFormat="1" applyFont="1" applyFill="1" applyBorder="1" applyAlignment="1">
      <alignment horizontal="right" indent="1"/>
    </xf>
    <xf numFmtId="0" fontId="41" fillId="3" borderId="49" xfId="0" applyFont="1" applyFill="1" applyBorder="1"/>
    <xf numFmtId="171" fontId="41" fillId="3" borderId="50" xfId="0" applyNumberFormat="1" applyFont="1" applyFill="1" applyBorder="1" applyAlignment="1">
      <alignment horizontal="right" indent="1"/>
    </xf>
    <xf numFmtId="0" fontId="41" fillId="3" borderId="55" xfId="0" applyFont="1" applyFill="1" applyBorder="1"/>
    <xf numFmtId="3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0" fontId="29" fillId="19" borderId="58" xfId="0" applyFont="1" applyFill="1" applyBorder="1" applyAlignment="1" applyProtection="1">
      <alignment horizontal="center"/>
      <protection locked="0"/>
    </xf>
    <xf numFmtId="0" fontId="29" fillId="19" borderId="56" xfId="0" applyFont="1" applyFill="1" applyBorder="1" applyAlignment="1" applyProtection="1">
      <alignment horizontal="center"/>
      <protection locked="0"/>
    </xf>
    <xf numFmtId="0" fontId="29" fillId="19" borderId="61" xfId="0" applyFont="1" applyFill="1" applyBorder="1" applyAlignment="1" applyProtection="1">
      <alignment horizontal="center"/>
      <protection locked="0"/>
    </xf>
    <xf numFmtId="0" fontId="29" fillId="19" borderId="59" xfId="0" applyFont="1" applyFill="1" applyBorder="1" applyAlignment="1" applyProtection="1">
      <alignment horizontal="center"/>
      <protection locked="0"/>
    </xf>
    <xf numFmtId="0" fontId="29" fillId="19" borderId="63" xfId="0" applyFont="1" applyFill="1" applyBorder="1" applyAlignment="1" applyProtection="1">
      <alignment horizontal="center"/>
      <protection locked="0"/>
    </xf>
    <xf numFmtId="0" fontId="36" fillId="3" borderId="64" xfId="0" applyFont="1" applyFill="1" applyBorder="1" applyAlignment="1">
      <alignment horizontal="center" wrapText="1"/>
    </xf>
    <xf numFmtId="0" fontId="29" fillId="19" borderId="57" xfId="0" applyFont="1" applyFill="1" applyBorder="1" applyAlignment="1" applyProtection="1">
      <alignment horizontal="center"/>
      <protection locked="0"/>
    </xf>
    <xf numFmtId="0" fontId="29" fillId="19" borderId="60" xfId="0" applyFont="1" applyFill="1" applyBorder="1" applyAlignment="1" applyProtection="1">
      <alignment horizontal="center"/>
      <protection locked="0"/>
    </xf>
    <xf numFmtId="0" fontId="29" fillId="19" borderId="62" xfId="0" applyFont="1" applyFill="1" applyBorder="1" applyAlignment="1" applyProtection="1">
      <alignment horizontal="center"/>
      <protection locked="0"/>
    </xf>
    <xf numFmtId="0" fontId="41" fillId="3" borderId="66" xfId="0" applyFont="1" applyFill="1" applyBorder="1" applyAlignment="1">
      <alignment horizontal="center"/>
    </xf>
    <xf numFmtId="0" fontId="41" fillId="3" borderId="24" xfId="0" applyFont="1" applyFill="1" applyBorder="1" applyAlignment="1">
      <alignment horizontal="center" vertical="center"/>
    </xf>
    <xf numFmtId="0" fontId="41" fillId="3" borderId="24" xfId="0" applyFont="1" applyFill="1" applyBorder="1" applyAlignment="1">
      <alignment horizontal="center" vertical="center" wrapText="1"/>
    </xf>
    <xf numFmtId="0" fontId="41" fillId="3" borderId="26" xfId="0" applyFont="1" applyFill="1" applyBorder="1" applyAlignment="1">
      <alignment horizontal="center" vertical="center" wrapText="1"/>
    </xf>
    <xf numFmtId="0" fontId="28" fillId="0" borderId="44" xfId="0" applyFont="1" applyBorder="1" applyAlignment="1">
      <alignment horizontal="left" vertical="center" wrapText="1" indent="1"/>
    </xf>
    <xf numFmtId="0" fontId="28" fillId="0" borderId="44" xfId="0" applyFont="1" applyBorder="1" applyAlignment="1">
      <alignment horizontal="left" vertical="top" wrapText="1" indent="1"/>
    </xf>
    <xf numFmtId="0" fontId="41" fillId="0" borderId="67" xfId="0" applyFont="1" applyBorder="1" applyAlignment="1">
      <alignment horizontal="left" vertical="top" wrapText="1" indent="1"/>
    </xf>
    <xf numFmtId="0" fontId="9" fillId="2" borderId="10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36" fillId="3" borderId="72" xfId="0" applyFont="1" applyFill="1" applyBorder="1" applyAlignment="1">
      <alignment horizontal="center"/>
    </xf>
    <xf numFmtId="0" fontId="36" fillId="3" borderId="73" xfId="0" applyFont="1" applyFill="1" applyBorder="1" applyAlignment="1">
      <alignment horizontal="center" wrapText="1"/>
    </xf>
    <xf numFmtId="0" fontId="36" fillId="3" borderId="74" xfId="0" applyFont="1" applyFill="1" applyBorder="1" applyAlignment="1">
      <alignment horizontal="center" wrapText="1"/>
    </xf>
    <xf numFmtId="173" fontId="36" fillId="3" borderId="15" xfId="0" applyNumberFormat="1" applyFont="1" applyFill="1" applyBorder="1" applyAlignment="1">
      <alignment horizontal="center"/>
    </xf>
    <xf numFmtId="0" fontId="29" fillId="19" borderId="68" xfId="0" applyFont="1" applyFill="1" applyBorder="1" applyAlignment="1" applyProtection="1">
      <alignment horizontal="center"/>
      <protection locked="0"/>
    </xf>
    <xf numFmtId="9" fontId="29" fillId="22" borderId="13" xfId="0" applyNumberFormat="1" applyFont="1" applyFill="1" applyBorder="1" applyAlignment="1" applyProtection="1">
      <alignment horizontal="center"/>
      <protection locked="0"/>
    </xf>
    <xf numFmtId="0" fontId="29" fillId="19" borderId="70" xfId="0" applyFont="1" applyFill="1" applyBorder="1" applyAlignment="1" applyProtection="1">
      <alignment horizontal="center"/>
      <protection locked="0"/>
    </xf>
    <xf numFmtId="9" fontId="29" fillId="22" borderId="0" xfId="0" applyNumberFormat="1" applyFont="1" applyFill="1" applyAlignment="1" applyProtection="1">
      <alignment horizontal="center"/>
      <protection locked="0"/>
    </xf>
    <xf numFmtId="0" fontId="29" fillId="19" borderId="75" xfId="0" applyFont="1" applyFill="1" applyBorder="1" applyAlignment="1" applyProtection="1">
      <alignment horizontal="center"/>
      <protection locked="0"/>
    </xf>
    <xf numFmtId="0" fontId="29" fillId="19" borderId="77" xfId="0" applyFont="1" applyFill="1" applyBorder="1" applyAlignment="1" applyProtection="1">
      <alignment horizontal="center"/>
      <protection locked="0"/>
    </xf>
    <xf numFmtId="0" fontId="29" fillId="19" borderId="78" xfId="0" applyFont="1" applyFill="1" applyBorder="1" applyAlignment="1" applyProtection="1">
      <alignment horizontal="center"/>
      <protection locked="0"/>
    </xf>
    <xf numFmtId="0" fontId="29" fillId="19" borderId="79" xfId="0" applyFont="1" applyFill="1" applyBorder="1" applyAlignment="1" applyProtection="1">
      <alignment horizontal="center"/>
      <protection locked="0"/>
    </xf>
    <xf numFmtId="0" fontId="29" fillId="19" borderId="80" xfId="0" applyFont="1" applyFill="1" applyBorder="1" applyAlignment="1" applyProtection="1">
      <alignment horizontal="center"/>
      <protection locked="0"/>
    </xf>
    <xf numFmtId="9" fontId="29" fillId="22" borderId="81" xfId="0" applyNumberFormat="1" applyFont="1" applyFill="1" applyBorder="1" applyAlignment="1" applyProtection="1">
      <alignment horizontal="center"/>
      <protection locked="0"/>
    </xf>
    <xf numFmtId="9" fontId="37" fillId="8" borderId="20" xfId="2" applyNumberFormat="1" applyFont="1" applyFill="1" applyBorder="1" applyAlignment="1" applyProtection="1">
      <alignment horizontal="center" vertical="center"/>
      <protection hidden="1"/>
    </xf>
    <xf numFmtId="166" fontId="17" fillId="11" borderId="1" xfId="9" applyNumberFormat="1" applyBorder="1" applyAlignment="1" applyProtection="1">
      <alignment horizontal="center" vertical="center"/>
      <protection hidden="1"/>
    </xf>
    <xf numFmtId="166" fontId="37" fillId="20" borderId="5" xfId="2" applyNumberFormat="1" applyFont="1" applyFill="1" applyAlignment="1" applyProtection="1">
      <alignment horizontal="center" vertical="center"/>
      <protection hidden="1"/>
    </xf>
    <xf numFmtId="0" fontId="36" fillId="3" borderId="72" xfId="0" applyFont="1" applyFill="1" applyBorder="1" applyAlignment="1">
      <alignment horizontal="center" wrapText="1"/>
    </xf>
    <xf numFmtId="173" fontId="36" fillId="3" borderId="69" xfId="0" applyNumberFormat="1" applyFont="1" applyFill="1" applyBorder="1" applyAlignment="1" applyProtection="1">
      <alignment horizontal="center"/>
      <protection hidden="1"/>
    </xf>
    <xf numFmtId="173" fontId="36" fillId="3" borderId="71" xfId="0" applyNumberFormat="1" applyFont="1" applyFill="1" applyBorder="1" applyAlignment="1" applyProtection="1">
      <alignment horizontal="center"/>
      <protection hidden="1"/>
    </xf>
    <xf numFmtId="173" fontId="36" fillId="3" borderId="76" xfId="0" applyNumberFormat="1" applyFont="1" applyFill="1" applyBorder="1" applyAlignment="1" applyProtection="1">
      <alignment horizontal="center"/>
      <protection hidden="1"/>
    </xf>
    <xf numFmtId="173" fontId="36" fillId="3" borderId="82" xfId="0" applyNumberFormat="1" applyFont="1" applyFill="1" applyBorder="1" applyAlignment="1" applyProtection="1">
      <alignment horizontal="center"/>
      <protection hidden="1"/>
    </xf>
    <xf numFmtId="0" fontId="9" fillId="0" borderId="0" xfId="0" quotePrefix="1" applyFont="1" applyAlignment="1">
      <alignment vertical="center"/>
    </xf>
    <xf numFmtId="3" fontId="29" fillId="19" borderId="57" xfId="0" applyNumberFormat="1" applyFont="1" applyFill="1" applyBorder="1" applyAlignment="1" applyProtection="1">
      <alignment horizontal="center"/>
      <protection locked="0"/>
    </xf>
    <xf numFmtId="3" fontId="29" fillId="19" borderId="13" xfId="0" applyNumberFormat="1" applyFont="1" applyFill="1" applyBorder="1" applyAlignment="1" applyProtection="1">
      <alignment horizontal="center"/>
      <protection locked="0"/>
    </xf>
    <xf numFmtId="3" fontId="29" fillId="19" borderId="60" xfId="0" applyNumberFormat="1" applyFont="1" applyFill="1" applyBorder="1" applyAlignment="1" applyProtection="1">
      <alignment horizontal="center"/>
      <protection locked="0"/>
    </xf>
    <xf numFmtId="3" fontId="29" fillId="19" borderId="0" xfId="0" applyNumberFormat="1" applyFont="1" applyFill="1" applyAlignment="1" applyProtection="1">
      <alignment horizontal="center"/>
      <protection locked="0"/>
    </xf>
    <xf numFmtId="3" fontId="29" fillId="19" borderId="62" xfId="0" applyNumberFormat="1" applyFont="1" applyFill="1" applyBorder="1" applyAlignment="1" applyProtection="1">
      <alignment horizontal="center"/>
      <protection locked="0"/>
    </xf>
    <xf numFmtId="3" fontId="29" fillId="19" borderId="79" xfId="0" applyNumberFormat="1" applyFont="1" applyFill="1" applyBorder="1" applyAlignment="1" applyProtection="1">
      <alignment horizontal="center"/>
      <protection locked="0"/>
    </xf>
    <xf numFmtId="3" fontId="29" fillId="19" borderId="81" xfId="0" applyNumberFormat="1" applyFont="1" applyFill="1" applyBorder="1" applyAlignment="1" applyProtection="1">
      <alignment horizontal="center"/>
      <protection locked="0"/>
    </xf>
    <xf numFmtId="0" fontId="9" fillId="0" borderId="0" xfId="0" applyFont="1"/>
    <xf numFmtId="168" fontId="37" fillId="20" borderId="10" xfId="2" applyNumberFormat="1" applyFont="1" applyFill="1" applyBorder="1" applyAlignment="1" applyProtection="1">
      <alignment horizontal="center" vertical="center"/>
      <protection locked="0"/>
    </xf>
    <xf numFmtId="0" fontId="9" fillId="10" borderId="0" xfId="6" applyFont="1" applyFill="1" applyAlignment="1">
      <alignment horizontal="center" vertical="center"/>
    </xf>
    <xf numFmtId="168" fontId="9" fillId="10" borderId="0" xfId="2" applyNumberFormat="1" applyFont="1" applyFill="1" applyBorder="1" applyAlignment="1" applyProtection="1">
      <alignment horizontal="center" vertical="center"/>
      <protection hidden="1"/>
    </xf>
    <xf numFmtId="166" fontId="0" fillId="0" borderId="0" xfId="0" applyNumberFormat="1" applyAlignment="1">
      <alignment horizontal="center"/>
    </xf>
    <xf numFmtId="0" fontId="2" fillId="23" borderId="0" xfId="1" applyFont="1" applyFill="1" applyAlignment="1">
      <alignment horizontal="center" vertical="center"/>
    </xf>
    <xf numFmtId="0" fontId="2" fillId="23" borderId="17" xfId="1" applyFont="1" applyFill="1" applyBorder="1" applyAlignment="1">
      <alignment horizontal="center" vertical="center"/>
    </xf>
    <xf numFmtId="0" fontId="2" fillId="23" borderId="18" xfId="1" applyFont="1" applyFill="1" applyBorder="1" applyAlignment="1">
      <alignment horizontal="center" vertical="center"/>
    </xf>
    <xf numFmtId="0" fontId="10" fillId="20" borderId="0" xfId="0" applyFont="1" applyFill="1"/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165" fontId="12" fillId="5" borderId="5" xfId="2" applyNumberFormat="1" applyFont="1" applyAlignment="1" applyProtection="1">
      <alignment horizontal="center"/>
      <protection locked="0"/>
    </xf>
    <xf numFmtId="9" fontId="12" fillId="5" borderId="5" xfId="2" applyNumberFormat="1" applyFont="1" applyAlignment="1" applyProtection="1">
      <alignment horizontal="center"/>
      <protection locked="0"/>
    </xf>
    <xf numFmtId="38" fontId="38" fillId="20" borderId="83" xfId="2" applyNumberFormat="1" applyFont="1" applyFill="1" applyBorder="1" applyAlignment="1" applyProtection="1">
      <alignment horizontal="center"/>
      <protection locked="0"/>
    </xf>
    <xf numFmtId="0" fontId="0" fillId="16" borderId="0" xfId="0" applyFill="1" applyAlignment="1">
      <alignment horizontal="center"/>
    </xf>
    <xf numFmtId="9" fontId="0" fillId="20" borderId="0" xfId="0" applyNumberFormat="1" applyFill="1" applyAlignment="1" applyProtection="1">
      <alignment horizontal="center" vertical="center"/>
      <protection locked="0"/>
    </xf>
    <xf numFmtId="168" fontId="16" fillId="11" borderId="44" xfId="8" applyNumberFormat="1" applyBorder="1" applyAlignment="1">
      <alignment horizontal="center"/>
    </xf>
    <xf numFmtId="168" fontId="8" fillId="5" borderId="2" xfId="2" applyNumberFormat="1" applyBorder="1" applyAlignment="1" applyProtection="1">
      <alignment horizontal="center" vertical="center"/>
      <protection locked="0"/>
    </xf>
    <xf numFmtId="175" fontId="17" fillId="11" borderId="44" xfId="9" applyNumberFormat="1" applyBorder="1" applyAlignment="1" applyProtection="1">
      <alignment horizontal="center" vertical="center"/>
      <protection hidden="1"/>
    </xf>
    <xf numFmtId="3" fontId="0" fillId="0" borderId="0" xfId="0" applyNumberFormat="1"/>
    <xf numFmtId="3" fontId="12" fillId="15" borderId="35" xfId="10" applyNumberFormat="1" applyFont="1" applyBorder="1" applyAlignment="1" applyProtection="1">
      <alignment horizontal="center" wrapText="1"/>
      <protection hidden="1"/>
    </xf>
    <xf numFmtId="3" fontId="12" fillId="15" borderId="36" xfId="10" applyNumberFormat="1" applyFont="1" applyBorder="1" applyAlignment="1" applyProtection="1">
      <alignment horizontal="center" wrapText="1"/>
      <protection hidden="1"/>
    </xf>
    <xf numFmtId="3" fontId="12" fillId="15" borderId="40" xfId="10" applyNumberFormat="1" applyFont="1" applyBorder="1" applyAlignment="1" applyProtection="1">
      <alignment horizontal="center" wrapText="1"/>
      <protection hidden="1"/>
    </xf>
    <xf numFmtId="0" fontId="9" fillId="2" borderId="15" xfId="0" applyFont="1" applyFill="1" applyBorder="1" applyAlignment="1">
      <alignment horizontal="center" vertical="center"/>
    </xf>
    <xf numFmtId="0" fontId="0" fillId="14" borderId="44" xfId="0" applyFill="1" applyBorder="1"/>
    <xf numFmtId="0" fontId="0" fillId="25" borderId="44" xfId="0" applyFill="1" applyBorder="1"/>
    <xf numFmtId="0" fontId="0" fillId="21" borderId="44" xfId="0" applyFill="1" applyBorder="1"/>
    <xf numFmtId="0" fontId="10" fillId="10" borderId="0" xfId="0" applyFont="1" applyFill="1"/>
    <xf numFmtId="0" fontId="0" fillId="10" borderId="0" xfId="0" applyFill="1" applyAlignment="1">
      <alignment horizontal="center"/>
    </xf>
    <xf numFmtId="0" fontId="9" fillId="26" borderId="0" xfId="0" applyFont="1" applyFill="1"/>
    <xf numFmtId="0" fontId="9" fillId="26" borderId="0" xfId="0" applyFont="1" applyFill="1" applyAlignment="1">
      <alignment horizontal="center"/>
    </xf>
    <xf numFmtId="0" fontId="10" fillId="8" borderId="0" xfId="0" applyFont="1" applyFill="1"/>
    <xf numFmtId="0" fontId="43" fillId="10" borderId="0" xfId="0" applyFont="1" applyFill="1" applyAlignment="1">
      <alignment horizontal="center"/>
    </xf>
    <xf numFmtId="0" fontId="44" fillId="10" borderId="0" xfId="0" applyFont="1" applyFill="1" applyAlignment="1">
      <alignment horizontal="center"/>
    </xf>
    <xf numFmtId="0" fontId="29" fillId="10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175" fontId="29" fillId="11" borderId="44" xfId="9" applyNumberFormat="1" applyFont="1" applyBorder="1" applyAlignment="1" applyProtection="1">
      <alignment horizontal="center" vertical="center"/>
      <protection hidden="1"/>
    </xf>
    <xf numFmtId="175" fontId="29" fillId="11" borderId="85" xfId="9" applyNumberFormat="1" applyFont="1" applyBorder="1" applyAlignment="1" applyProtection="1">
      <alignment horizontal="center" vertical="center"/>
      <protection hidden="1"/>
    </xf>
    <xf numFmtId="175" fontId="36" fillId="11" borderId="1" xfId="9" applyNumberFormat="1" applyFont="1" applyBorder="1" applyAlignment="1" applyProtection="1">
      <alignment horizontal="center" vertical="center"/>
      <protection hidden="1"/>
    </xf>
    <xf numFmtId="0" fontId="45" fillId="28" borderId="84" xfId="0" applyFont="1" applyFill="1" applyBorder="1" applyAlignment="1">
      <alignment horizontal="center"/>
    </xf>
    <xf numFmtId="0" fontId="28" fillId="16" borderId="84" xfId="0" applyFont="1" applyFill="1" applyBorder="1" applyAlignment="1">
      <alignment horizontal="center"/>
    </xf>
    <xf numFmtId="3" fontId="10" fillId="0" borderId="0" xfId="0" applyNumberFormat="1" applyFont="1"/>
    <xf numFmtId="3" fontId="10" fillId="20" borderId="0" xfId="0" applyNumberFormat="1" applyFont="1" applyFill="1"/>
    <xf numFmtId="0" fontId="41" fillId="19" borderId="0" xfId="0" applyFont="1" applyFill="1" applyAlignment="1" applyProtection="1">
      <alignment horizontal="left" indent="1"/>
      <protection locked="0"/>
    </xf>
    <xf numFmtId="0" fontId="41" fillId="3" borderId="0" xfId="0" applyFont="1" applyFill="1" applyAlignment="1">
      <alignment horizontal="left" indent="1"/>
    </xf>
    <xf numFmtId="174" fontId="41" fillId="19" borderId="16" xfId="0" applyNumberFormat="1" applyFont="1" applyFill="1" applyBorder="1" applyAlignment="1" applyProtection="1">
      <alignment horizontal="left" indent="1"/>
      <protection locked="0"/>
    </xf>
    <xf numFmtId="174" fontId="41" fillId="19" borderId="0" xfId="0" applyNumberFormat="1" applyFont="1" applyFill="1" applyAlignment="1" applyProtection="1">
      <alignment horizontal="left" indent="1"/>
      <protection locked="0"/>
    </xf>
    <xf numFmtId="166" fontId="0" fillId="29" borderId="41" xfId="0" applyNumberFormat="1" applyFill="1" applyBorder="1" applyAlignment="1" applyProtection="1">
      <alignment horizontal="center"/>
      <protection hidden="1"/>
    </xf>
    <xf numFmtId="166" fontId="0" fillId="14" borderId="42" xfId="0" applyNumberFormat="1" applyFill="1" applyBorder="1" applyAlignment="1" applyProtection="1">
      <alignment horizontal="center"/>
      <protection hidden="1"/>
    </xf>
    <xf numFmtId="166" fontId="0" fillId="29" borderId="42" xfId="0" applyNumberFormat="1" applyFill="1" applyBorder="1" applyAlignment="1" applyProtection="1">
      <alignment horizontal="center"/>
      <protection hidden="1"/>
    </xf>
    <xf numFmtId="166" fontId="0" fillId="29" borderId="43" xfId="0" applyNumberFormat="1" applyFill="1" applyBorder="1" applyAlignment="1" applyProtection="1">
      <alignment horizontal="center"/>
      <protection hidden="1"/>
    </xf>
    <xf numFmtId="164" fontId="1" fillId="0" borderId="0" xfId="1" applyNumberFormat="1" applyAlignment="1">
      <alignment horizontal="center"/>
    </xf>
    <xf numFmtId="164" fontId="1" fillId="0" borderId="17" xfId="1" applyNumberFormat="1" applyBorder="1" applyAlignment="1">
      <alignment horizontal="center"/>
    </xf>
    <xf numFmtId="164" fontId="1" fillId="0" borderId="18" xfId="1" applyNumberFormat="1" applyBorder="1" applyAlignment="1">
      <alignment horizontal="center"/>
    </xf>
    <xf numFmtId="164" fontId="1" fillId="0" borderId="19" xfId="1" applyNumberFormat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0" fillId="4" borderId="0" xfId="0" applyFill="1"/>
    <xf numFmtId="0" fontId="0" fillId="16" borderId="0" xfId="0" applyFill="1" applyAlignment="1" applyProtection="1">
      <alignment horizontal="center"/>
      <protection hidden="1"/>
    </xf>
    <xf numFmtId="0" fontId="15" fillId="0" borderId="0" xfId="7" quotePrefix="1" applyAlignment="1">
      <alignment vertical="center"/>
    </xf>
    <xf numFmtId="0" fontId="47" fillId="0" borderId="0" xfId="0" applyFont="1"/>
    <xf numFmtId="14" fontId="47" fillId="0" borderId="0" xfId="0" applyNumberFormat="1" applyFont="1"/>
    <xf numFmtId="22" fontId="47" fillId="0" borderId="0" xfId="0" applyNumberFormat="1" applyFont="1"/>
    <xf numFmtId="0" fontId="43" fillId="0" borderId="44" xfId="0" applyFont="1" applyBorder="1" applyAlignment="1">
      <alignment horizontal="center"/>
    </xf>
    <xf numFmtId="0" fontId="0" fillId="16" borderId="84" xfId="0" applyFill="1" applyBorder="1" applyAlignment="1">
      <alignment horizontal="center"/>
    </xf>
    <xf numFmtId="0" fontId="10" fillId="27" borderId="0" xfId="0" applyFont="1" applyFill="1"/>
    <xf numFmtId="3" fontId="10" fillId="27" borderId="0" xfId="0" applyNumberFormat="1" applyFont="1" applyFill="1"/>
    <xf numFmtId="0" fontId="10" fillId="31" borderId="0" xfId="0" applyFont="1" applyFill="1"/>
    <xf numFmtId="0" fontId="0" fillId="31" borderId="0" xfId="0" applyFill="1"/>
    <xf numFmtId="9" fontId="0" fillId="4" borderId="0" xfId="0" applyNumberFormat="1" applyFill="1"/>
    <xf numFmtId="0" fontId="41" fillId="4" borderId="86" xfId="0" applyFont="1" applyFill="1" applyBorder="1"/>
    <xf numFmtId="172" fontId="42" fillId="3" borderId="87" xfId="0" applyNumberFormat="1" applyFont="1" applyFill="1" applyBorder="1" applyAlignment="1">
      <alignment horizontal="right" indent="1"/>
    </xf>
    <xf numFmtId="0" fontId="0" fillId="0" borderId="15" xfId="0" applyBorder="1"/>
    <xf numFmtId="0" fontId="0" fillId="0" borderId="17" xfId="0" applyBorder="1"/>
    <xf numFmtId="0" fontId="0" fillId="0" borderId="3" xfId="0" applyBorder="1"/>
    <xf numFmtId="0" fontId="1" fillId="0" borderId="12" xfId="1" applyBorder="1"/>
    <xf numFmtId="0" fontId="1" fillId="0" borderId="15" xfId="1" applyBorder="1"/>
    <xf numFmtId="166" fontId="1" fillId="0" borderId="12" xfId="1" applyNumberFormat="1" applyBorder="1" applyAlignment="1">
      <alignment horizontal="center"/>
    </xf>
    <xf numFmtId="166" fontId="1" fillId="0" borderId="14" xfId="1" applyNumberFormat="1" applyBorder="1" applyAlignment="1">
      <alignment horizontal="center"/>
    </xf>
    <xf numFmtId="166" fontId="1" fillId="0" borderId="15" xfId="1" applyNumberFormat="1" applyBorder="1" applyAlignment="1">
      <alignment horizontal="center"/>
    </xf>
    <xf numFmtId="166" fontId="1" fillId="0" borderId="16" xfId="1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0" fontId="1" fillId="20" borderId="2" xfId="1" applyFill="1" applyBorder="1"/>
    <xf numFmtId="0" fontId="1" fillId="20" borderId="3" xfId="1" applyFill="1" applyBorder="1"/>
    <xf numFmtId="0" fontId="0" fillId="20" borderId="3" xfId="0" applyFill="1" applyBorder="1"/>
    <xf numFmtId="0" fontId="0" fillId="20" borderId="4" xfId="0" applyFill="1" applyBorder="1"/>
    <xf numFmtId="0" fontId="1" fillId="19" borderId="3" xfId="1" applyFill="1" applyBorder="1"/>
    <xf numFmtId="0" fontId="1" fillId="19" borderId="12" xfId="1" applyFill="1" applyBorder="1"/>
    <xf numFmtId="0" fontId="1" fillId="19" borderId="15" xfId="1" applyFill="1" applyBorder="1"/>
    <xf numFmtId="0" fontId="0" fillId="19" borderId="4" xfId="0" applyFill="1" applyBorder="1"/>
    <xf numFmtId="0" fontId="1" fillId="19" borderId="17" xfId="1" applyFill="1" applyBorder="1"/>
    <xf numFmtId="168" fontId="0" fillId="0" borderId="0" xfId="0" applyNumberFormat="1"/>
    <xf numFmtId="14" fontId="0" fillId="0" borderId="0" xfId="0" applyNumberFormat="1"/>
    <xf numFmtId="14" fontId="10" fillId="3" borderId="0" xfId="0" applyNumberFormat="1" applyFont="1" applyFill="1"/>
    <xf numFmtId="0" fontId="48" fillId="0" borderId="0" xfId="0" applyFont="1"/>
    <xf numFmtId="0" fontId="48" fillId="0" borderId="0" xfId="0" applyFont="1" applyProtection="1">
      <protection hidden="1"/>
    </xf>
    <xf numFmtId="0" fontId="10" fillId="0" borderId="0" xfId="6" applyFont="1" applyAlignment="1">
      <alignment horizontal="center" vertical="center"/>
    </xf>
    <xf numFmtId="168" fontId="37" fillId="7" borderId="0" xfId="2" applyNumberFormat="1" applyFont="1" applyFill="1" applyBorder="1" applyAlignment="1" applyProtection="1">
      <alignment horizontal="center" vertical="center"/>
      <protection locked="0"/>
    </xf>
    <xf numFmtId="176" fontId="8" fillId="5" borderId="33" xfId="2" applyNumberFormat="1" applyBorder="1" applyAlignment="1" applyProtection="1">
      <alignment horizontal="center"/>
      <protection locked="0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168" fontId="29" fillId="19" borderId="13" xfId="0" applyNumberFormat="1" applyFont="1" applyFill="1" applyBorder="1" applyAlignment="1" applyProtection="1">
      <alignment horizontal="center"/>
      <protection locked="0"/>
    </xf>
    <xf numFmtId="0" fontId="36" fillId="3" borderId="0" xfId="0" applyFont="1" applyFill="1" applyAlignment="1">
      <alignment horizontal="center" wrapText="1"/>
    </xf>
    <xf numFmtId="173" fontId="29" fillId="3" borderId="0" xfId="0" applyNumberFormat="1" applyFont="1" applyFill="1" applyAlignment="1" applyProtection="1">
      <alignment horizontal="center"/>
      <protection hidden="1"/>
    </xf>
    <xf numFmtId="0" fontId="23" fillId="2" borderId="1" xfId="0" applyFont="1" applyFill="1" applyBorder="1" applyAlignment="1">
      <alignment horizontal="center" vertical="center"/>
    </xf>
    <xf numFmtId="0" fontId="9" fillId="6" borderId="0" xfId="3" applyFont="1" applyAlignment="1">
      <alignment horizontal="center" vertical="center" wrapText="1"/>
    </xf>
    <xf numFmtId="0" fontId="2" fillId="13" borderId="88" xfId="1" applyFont="1" applyFill="1" applyBorder="1" applyAlignment="1">
      <alignment horizontal="center" vertical="center"/>
    </xf>
    <xf numFmtId="0" fontId="2" fillId="23" borderId="89" xfId="1" applyFont="1" applyFill="1" applyBorder="1" applyAlignment="1">
      <alignment horizontal="center" vertical="center"/>
    </xf>
    <xf numFmtId="0" fontId="2" fillId="12" borderId="0" xfId="1" applyFont="1" applyFill="1" applyAlignment="1">
      <alignment horizontal="center" vertical="center"/>
    </xf>
    <xf numFmtId="0" fontId="49" fillId="8" borderId="30" xfId="12" applyFont="1" applyFill="1" applyBorder="1"/>
    <xf numFmtId="0" fontId="49" fillId="8" borderId="38" xfId="12" applyFont="1" applyFill="1" applyBorder="1"/>
    <xf numFmtId="0" fontId="0" fillId="0" borderId="0" xfId="0" applyProtection="1">
      <protection locked="0"/>
    </xf>
    <xf numFmtId="0" fontId="50" fillId="4" borderId="46" xfId="3" applyFont="1" applyFill="1" applyBorder="1" applyAlignment="1">
      <alignment horizontal="center" vertical="center" wrapText="1"/>
    </xf>
    <xf numFmtId="0" fontId="0" fillId="0" borderId="0" xfId="0" applyProtection="1">
      <protection hidden="1"/>
    </xf>
    <xf numFmtId="0" fontId="2" fillId="12" borderId="10" xfId="1" applyFont="1" applyFill="1" applyBorder="1" applyAlignment="1">
      <alignment horizontal="center" vertical="center"/>
    </xf>
    <xf numFmtId="0" fontId="2" fillId="13" borderId="10" xfId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Continuous"/>
    </xf>
    <xf numFmtId="0" fontId="5" fillId="4" borderId="0" xfId="0" applyFont="1" applyFill="1" applyAlignment="1">
      <alignment horizontal="left" vertical="center"/>
    </xf>
    <xf numFmtId="166" fontId="24" fillId="3" borderId="0" xfId="1" applyNumberFormat="1" applyFont="1" applyFill="1" applyAlignment="1" applyProtection="1">
      <alignment horizontal="center"/>
      <protection hidden="1"/>
    </xf>
    <xf numFmtId="166" fontId="24" fillId="14" borderId="0" xfId="1" applyNumberFormat="1" applyFont="1" applyFill="1" applyAlignment="1" applyProtection="1">
      <alignment horizontal="center"/>
      <protection hidden="1"/>
    </xf>
    <xf numFmtId="0" fontId="0" fillId="32" borderId="0" xfId="0" applyFill="1" applyAlignment="1">
      <alignment horizontal="center"/>
    </xf>
    <xf numFmtId="0" fontId="5" fillId="4" borderId="0" xfId="0" applyFont="1" applyFill="1"/>
    <xf numFmtId="0" fontId="36" fillId="3" borderId="72" xfId="0" applyFont="1" applyFill="1" applyBorder="1" applyAlignment="1">
      <alignment horizontal="center" vertical="center" wrapText="1"/>
    </xf>
    <xf numFmtId="0" fontId="29" fillId="19" borderId="90" xfId="0" applyFont="1" applyFill="1" applyBorder="1" applyAlignment="1" applyProtection="1">
      <alignment horizontal="center"/>
      <protection locked="0"/>
    </xf>
    <xf numFmtId="0" fontId="29" fillId="19" borderId="91" xfId="0" applyFont="1" applyFill="1" applyBorder="1" applyAlignment="1" applyProtection="1">
      <alignment horizontal="center"/>
      <protection locked="0"/>
    </xf>
    <xf numFmtId="0" fontId="29" fillId="19" borderId="92" xfId="0" applyFont="1" applyFill="1" applyBorder="1" applyAlignment="1" applyProtection="1">
      <alignment horizontal="center"/>
      <protection locked="0"/>
    </xf>
    <xf numFmtId="0" fontId="29" fillId="19" borderId="93" xfId="0" applyFont="1" applyFill="1" applyBorder="1" applyAlignment="1" applyProtection="1">
      <alignment horizontal="center"/>
      <protection locked="0"/>
    </xf>
    <xf numFmtId="0" fontId="29" fillId="19" borderId="94" xfId="0" applyFont="1" applyFill="1" applyBorder="1" applyAlignment="1" applyProtection="1">
      <alignment horizontal="center"/>
      <protection locked="0"/>
    </xf>
    <xf numFmtId="0" fontId="29" fillId="19" borderId="0" xfId="0" applyFont="1" applyFill="1" applyAlignment="1" applyProtection="1">
      <alignment horizontal="center"/>
      <protection locked="0"/>
    </xf>
    <xf numFmtId="168" fontId="28" fillId="3" borderId="50" xfId="0" applyNumberFormat="1" applyFont="1" applyFill="1" applyBorder="1" applyAlignment="1">
      <alignment horizontal="right" indent="1"/>
    </xf>
    <xf numFmtId="0" fontId="49" fillId="8" borderId="32" xfId="12" applyFont="1" applyFill="1" applyBorder="1" applyProtection="1">
      <protection hidden="1"/>
    </xf>
    <xf numFmtId="0" fontId="0" fillId="32" borderId="0" xfId="0" applyFill="1" applyAlignment="1" applyProtection="1">
      <alignment horizontal="center"/>
      <protection hidden="1"/>
    </xf>
    <xf numFmtId="3" fontId="0" fillId="0" borderId="0" xfId="0" applyNumberFormat="1" applyAlignment="1" applyProtection="1">
      <alignment horizontal="center"/>
      <protection hidden="1"/>
    </xf>
    <xf numFmtId="168" fontId="16" fillId="11" borderId="44" xfId="8" applyNumberFormat="1" applyBorder="1" applyAlignment="1" applyProtection="1">
      <alignment horizontal="center"/>
      <protection hidden="1"/>
    </xf>
    <xf numFmtId="168" fontId="2" fillId="10" borderId="0" xfId="0" applyNumberFormat="1" applyFont="1" applyFill="1" applyAlignment="1" applyProtection="1">
      <alignment horizontal="center" vertical="center" wrapText="1"/>
      <protection hidden="1"/>
    </xf>
    <xf numFmtId="166" fontId="0" fillId="0" borderId="0" xfId="0" applyNumberFormat="1" applyAlignment="1" applyProtection="1">
      <alignment horizontal="center"/>
      <protection hidden="1"/>
    </xf>
    <xf numFmtId="166" fontId="11" fillId="0" borderId="0" xfId="0" applyNumberFormat="1" applyFont="1" applyAlignment="1" applyProtection="1">
      <alignment horizontal="center"/>
      <protection hidden="1"/>
    </xf>
    <xf numFmtId="166" fontId="9" fillId="0" borderId="0" xfId="0" applyNumberFormat="1" applyFont="1" applyAlignment="1" applyProtection="1">
      <alignment horizontal="center"/>
      <protection hidden="1"/>
    </xf>
    <xf numFmtId="166" fontId="0" fillId="0" borderId="0" xfId="0" applyNumberFormat="1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0" fillId="0" borderId="0" xfId="0" applyAlignment="1">
      <alignment vertical="top" wrapText="1"/>
    </xf>
    <xf numFmtId="173" fontId="29" fillId="0" borderId="95" xfId="0" applyNumberFormat="1" applyFont="1" applyBorder="1" applyAlignment="1" applyProtection="1">
      <alignment horizontal="center"/>
      <protection hidden="1"/>
    </xf>
    <xf numFmtId="173" fontId="29" fillId="0" borderId="96" xfId="0" applyNumberFormat="1" applyFont="1" applyBorder="1" applyAlignment="1" applyProtection="1">
      <alignment horizontal="center"/>
      <protection hidden="1"/>
    </xf>
    <xf numFmtId="173" fontId="29" fillId="0" borderId="97" xfId="0" applyNumberFormat="1" applyFont="1" applyBorder="1" applyAlignment="1" applyProtection="1">
      <alignment horizontal="center"/>
      <protection hidden="1"/>
    </xf>
    <xf numFmtId="171" fontId="0" fillId="0" borderId="0" xfId="0" applyNumberFormat="1"/>
    <xf numFmtId="177" fontId="28" fillId="3" borderId="50" xfId="0" applyNumberFormat="1" applyFont="1" applyFill="1" applyBorder="1" applyAlignment="1">
      <alignment horizontal="right" indent="1"/>
    </xf>
    <xf numFmtId="168" fontId="41" fillId="3" borderId="1" xfId="0" applyNumberFormat="1" applyFont="1" applyFill="1" applyBorder="1" applyAlignment="1">
      <alignment horizontal="right" indent="1"/>
    </xf>
    <xf numFmtId="0" fontId="28" fillId="10" borderId="0" xfId="0" applyFont="1" applyFill="1" applyAlignment="1">
      <alignment horizontal="left" indent="1"/>
    </xf>
    <xf numFmtId="0" fontId="28" fillId="10" borderId="16" xfId="0" applyFont="1" applyFill="1" applyBorder="1" applyAlignment="1">
      <alignment horizontal="left" indent="1"/>
    </xf>
    <xf numFmtId="0" fontId="10" fillId="4" borderId="0" xfId="0" applyFont="1" applyFill="1"/>
    <xf numFmtId="2" fontId="0" fillId="19" borderId="44" xfId="0" applyNumberFormat="1" applyFill="1" applyBorder="1" applyAlignment="1">
      <alignment horizontal="center"/>
    </xf>
    <xf numFmtId="0" fontId="29" fillId="19" borderId="98" xfId="0" applyFont="1" applyFill="1" applyBorder="1" applyAlignment="1" applyProtection="1">
      <alignment horizontal="center"/>
      <protection locked="0"/>
    </xf>
    <xf numFmtId="0" fontId="18" fillId="0" borderId="4" xfId="0" applyFont="1" applyBorder="1" applyAlignment="1" applyProtection="1">
      <alignment vertical="center" wrapText="1"/>
      <protection locked="0"/>
    </xf>
    <xf numFmtId="0" fontId="18" fillId="0" borderId="19" xfId="0" applyFont="1" applyBorder="1" applyAlignment="1" applyProtection="1">
      <alignment vertical="center" wrapText="1"/>
      <protection locked="0"/>
    </xf>
    <xf numFmtId="10" fontId="8" fillId="5" borderId="5" xfId="2" applyNumberFormat="1" applyProtection="1">
      <protection locked="0"/>
    </xf>
    <xf numFmtId="10" fontId="10" fillId="0" borderId="44" xfId="0" applyNumberFormat="1" applyFont="1" applyBorder="1"/>
    <xf numFmtId="0" fontId="53" fillId="0" borderId="0" xfId="0" applyFont="1" applyProtection="1">
      <protection hidden="1"/>
    </xf>
    <xf numFmtId="0" fontId="35" fillId="33" borderId="0" xfId="0" applyFont="1" applyFill="1" applyAlignment="1">
      <alignment horizontal="left" indent="1"/>
    </xf>
    <xf numFmtId="0" fontId="51" fillId="33" borderId="16" xfId="0" applyFont="1" applyFill="1" applyBorder="1" applyAlignment="1">
      <alignment horizontal="left" indent="1"/>
    </xf>
    <xf numFmtId="0" fontId="54" fillId="4" borderId="0" xfId="0" applyFont="1" applyFill="1"/>
    <xf numFmtId="0" fontId="2" fillId="23" borderId="1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30" fillId="4" borderId="0" xfId="1" applyFont="1" applyFill="1" applyAlignment="1">
      <alignment horizontal="center"/>
    </xf>
    <xf numFmtId="0" fontId="55" fillId="0" borderId="0" xfId="0" applyFont="1"/>
    <xf numFmtId="0" fontId="56" fillId="4" borderId="10" xfId="1" applyFont="1" applyFill="1" applyBorder="1" applyAlignment="1">
      <alignment horizontal="center" vertical="center"/>
    </xf>
    <xf numFmtId="0" fontId="0" fillId="0" borderId="16" xfId="0" applyBorder="1"/>
    <xf numFmtId="0" fontId="0" fillId="20" borderId="17" xfId="0" applyFill="1" applyBorder="1"/>
    <xf numFmtId="0" fontId="1" fillId="20" borderId="12" xfId="1" applyFill="1" applyBorder="1"/>
    <xf numFmtId="0" fontId="1" fillId="20" borderId="15" xfId="1" applyFill="1" applyBorder="1"/>
    <xf numFmtId="0" fontId="0" fillId="20" borderId="15" xfId="0" applyFill="1" applyBorder="1"/>
    <xf numFmtId="0" fontId="0" fillId="0" borderId="18" xfId="0" applyBorder="1"/>
    <xf numFmtId="0" fontId="0" fillId="0" borderId="19" xfId="0" applyBorder="1"/>
    <xf numFmtId="0" fontId="2" fillId="12" borderId="13" xfId="1" applyFont="1" applyFill="1" applyBorder="1" applyAlignment="1">
      <alignment horizontal="center" vertical="center"/>
    </xf>
    <xf numFmtId="0" fontId="2" fillId="12" borderId="14" xfId="1" applyFont="1" applyFill="1" applyBorder="1" applyAlignment="1">
      <alignment horizontal="center" vertical="center"/>
    </xf>
    <xf numFmtId="0" fontId="2" fillId="13" borderId="14" xfId="1" applyFont="1" applyFill="1" applyBorder="1" applyAlignment="1">
      <alignment horizontal="center" vertical="center"/>
    </xf>
    <xf numFmtId="166" fontId="1" fillId="0" borderId="2" xfId="1" applyNumberFormat="1" applyBorder="1" applyAlignment="1">
      <alignment horizontal="center"/>
    </xf>
    <xf numFmtId="166" fontId="1" fillId="0" borderId="3" xfId="1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38" fontId="1" fillId="0" borderId="12" xfId="1" applyNumberFormat="1" applyBorder="1" applyAlignment="1">
      <alignment horizontal="center"/>
    </xf>
    <xf numFmtId="0" fontId="22" fillId="34" borderId="99" xfId="11" applyFont="1" applyFill="1" applyBorder="1" applyAlignment="1">
      <alignment readingOrder="1"/>
    </xf>
    <xf numFmtId="0" fontId="2" fillId="34" borderId="100" xfId="11" applyFont="1" applyFill="1" applyBorder="1" applyAlignment="1">
      <alignment readingOrder="1"/>
    </xf>
    <xf numFmtId="0" fontId="57" fillId="34" borderId="100" xfId="11" applyFont="1" applyFill="1" applyBorder="1" applyAlignment="1">
      <alignment readingOrder="1"/>
    </xf>
    <xf numFmtId="0" fontId="57" fillId="34" borderId="101" xfId="11" applyFont="1" applyFill="1" applyBorder="1" applyAlignment="1">
      <alignment readingOrder="1"/>
    </xf>
    <xf numFmtId="0" fontId="26" fillId="0" borderId="0" xfId="11"/>
    <xf numFmtId="0" fontId="27" fillId="35" borderId="102" xfId="11" applyFont="1" applyFill="1" applyBorder="1" applyAlignment="1">
      <alignment wrapText="1" readingOrder="1"/>
    </xf>
    <xf numFmtId="0" fontId="27" fillId="35" borderId="101" xfId="11" applyFont="1" applyFill="1" applyBorder="1" applyAlignment="1">
      <alignment horizontal="center" readingOrder="1"/>
    </xf>
    <xf numFmtId="0" fontId="22" fillId="35" borderId="101" xfId="11" applyFont="1" applyFill="1" applyBorder="1" applyAlignment="1">
      <alignment readingOrder="1"/>
    </xf>
    <xf numFmtId="0" fontId="22" fillId="35" borderId="100" xfId="11" applyFont="1" applyFill="1" applyBorder="1" applyAlignment="1">
      <alignment readingOrder="1"/>
    </xf>
    <xf numFmtId="0" fontId="58" fillId="36" borderId="103" xfId="11" applyFont="1" applyFill="1" applyBorder="1"/>
    <xf numFmtId="0" fontId="58" fillId="36" borderId="103" xfId="11" applyFont="1" applyFill="1" applyBorder="1" applyAlignment="1">
      <alignment horizontal="center"/>
    </xf>
    <xf numFmtId="0" fontId="22" fillId="34" borderId="101" xfId="11" applyFont="1" applyFill="1" applyBorder="1" applyAlignment="1">
      <alignment readingOrder="1"/>
    </xf>
    <xf numFmtId="0" fontId="22" fillId="0" borderId="100" xfId="11" applyFont="1" applyBorder="1" applyAlignment="1">
      <alignment readingOrder="1"/>
    </xf>
    <xf numFmtId="0" fontId="22" fillId="0" borderId="104" xfId="11" applyFont="1" applyBorder="1" applyAlignment="1">
      <alignment readingOrder="1"/>
    </xf>
    <xf numFmtId="0" fontId="58" fillId="36" borderId="105" xfId="11" applyFont="1" applyFill="1" applyBorder="1"/>
    <xf numFmtId="0" fontId="22" fillId="0" borderId="101" xfId="11" applyFont="1" applyBorder="1" applyAlignment="1">
      <alignment readingOrder="1"/>
    </xf>
    <xf numFmtId="0" fontId="27" fillId="35" borderId="102" xfId="11" applyFont="1" applyFill="1" applyBorder="1" applyAlignment="1">
      <alignment readingOrder="1"/>
    </xf>
    <xf numFmtId="0" fontId="22" fillId="37" borderId="104" xfId="11" applyFont="1" applyFill="1" applyBorder="1" applyAlignment="1">
      <alignment readingOrder="1"/>
    </xf>
    <xf numFmtId="0" fontId="22" fillId="0" borderId="102" xfId="11" applyFont="1" applyBorder="1" applyAlignment="1">
      <alignment readingOrder="1"/>
    </xf>
    <xf numFmtId="0" fontId="22" fillId="0" borderId="106" xfId="11" applyFont="1" applyBorder="1" applyAlignment="1">
      <alignment readingOrder="1"/>
    </xf>
    <xf numFmtId="0" fontId="59" fillId="34" borderId="102" xfId="11" applyFont="1" applyFill="1" applyBorder="1" applyAlignment="1">
      <alignment readingOrder="1"/>
    </xf>
    <xf numFmtId="0" fontId="59" fillId="34" borderId="104" xfId="11" applyFont="1" applyFill="1" applyBorder="1" applyAlignment="1">
      <alignment readingOrder="1"/>
    </xf>
    <xf numFmtId="0" fontId="57" fillId="34" borderId="107" xfId="11" applyFont="1" applyFill="1" applyBorder="1" applyAlignment="1">
      <alignment readingOrder="1"/>
    </xf>
    <xf numFmtId="0" fontId="57" fillId="34" borderId="108" xfId="11" applyFont="1" applyFill="1" applyBorder="1" applyAlignment="1">
      <alignment readingOrder="1"/>
    </xf>
    <xf numFmtId="0" fontId="27" fillId="0" borderId="104" xfId="11" applyFont="1" applyBorder="1" applyAlignment="1">
      <alignment readingOrder="1"/>
    </xf>
    <xf numFmtId="0" fontId="22" fillId="0" borderId="108" xfId="11" applyFont="1" applyBorder="1" applyAlignment="1">
      <alignment readingOrder="1"/>
    </xf>
    <xf numFmtId="0" fontId="27" fillId="0" borderId="108" xfId="11" applyFont="1" applyBorder="1" applyAlignment="1">
      <alignment readingOrder="1"/>
    </xf>
    <xf numFmtId="9" fontId="26" fillId="0" borderId="0" xfId="11" applyNumberFormat="1"/>
    <xf numFmtId="0" fontId="60" fillId="0" borderId="0" xfId="11" applyFont="1"/>
    <xf numFmtId="0" fontId="61" fillId="0" borderId="0" xfId="11" applyFont="1"/>
    <xf numFmtId="0" fontId="26" fillId="0" borderId="0" xfId="11" applyAlignment="1">
      <alignment horizontal="center"/>
    </xf>
    <xf numFmtId="0" fontId="2" fillId="2" borderId="12" xfId="1" applyFont="1" applyFill="1" applyBorder="1" applyAlignment="1" applyProtection="1">
      <alignment horizontal="center" vertical="center"/>
      <protection hidden="1"/>
    </xf>
    <xf numFmtId="0" fontId="2" fillId="2" borderId="8" xfId="1" applyFont="1" applyFill="1" applyBorder="1" applyAlignment="1" applyProtection="1">
      <alignment horizontal="center" vertical="center"/>
      <protection hidden="1"/>
    </xf>
    <xf numFmtId="0" fontId="2" fillId="2" borderId="9" xfId="1" applyFont="1" applyFill="1" applyBorder="1" applyAlignment="1" applyProtection="1">
      <alignment horizontal="center" vertical="center"/>
      <protection hidden="1"/>
    </xf>
    <xf numFmtId="0" fontId="2" fillId="2" borderId="10" xfId="1" applyFont="1" applyFill="1" applyBorder="1" applyAlignment="1" applyProtection="1">
      <alignment horizontal="center" vertical="center"/>
      <protection hidden="1"/>
    </xf>
    <xf numFmtId="0" fontId="1" fillId="0" borderId="2" xfId="1" applyBorder="1" applyProtection="1">
      <protection hidden="1"/>
    </xf>
    <xf numFmtId="0" fontId="1" fillId="0" borderId="3" xfId="1" applyBorder="1" applyProtection="1">
      <protection hidden="1"/>
    </xf>
    <xf numFmtId="0" fontId="0" fillId="0" borderId="4" xfId="0" applyBorder="1" applyProtection="1">
      <protection hidden="1"/>
    </xf>
    <xf numFmtId="165" fontId="0" fillId="0" borderId="0" xfId="0" applyNumberFormat="1" applyProtection="1">
      <protection hidden="1"/>
    </xf>
    <xf numFmtId="0" fontId="9" fillId="12" borderId="8" xfId="0" applyFont="1" applyFill="1" applyBorder="1" applyAlignment="1" applyProtection="1">
      <alignment horizontal="left" vertical="center"/>
      <protection hidden="1"/>
    </xf>
    <xf numFmtId="0" fontId="2" fillId="12" borderId="12" xfId="1" applyFont="1" applyFill="1" applyBorder="1" applyAlignment="1" applyProtection="1">
      <alignment horizontal="center" vertical="center"/>
      <protection hidden="1"/>
    </xf>
    <xf numFmtId="0" fontId="2" fillId="12" borderId="8" xfId="1" applyFont="1" applyFill="1" applyBorder="1" applyAlignment="1" applyProtection="1">
      <alignment horizontal="center" vertical="center"/>
      <protection hidden="1"/>
    </xf>
    <xf numFmtId="0" fontId="2" fillId="12" borderId="9" xfId="1" applyFont="1" applyFill="1" applyBorder="1" applyAlignment="1" applyProtection="1">
      <alignment horizontal="center" vertical="center"/>
      <protection hidden="1"/>
    </xf>
    <xf numFmtId="0" fontId="9" fillId="13" borderId="0" xfId="0" applyFont="1" applyFill="1" applyAlignment="1" applyProtection="1">
      <alignment horizontal="left" vertical="center"/>
      <protection hidden="1"/>
    </xf>
    <xf numFmtId="0" fontId="9" fillId="13" borderId="0" xfId="0" applyFont="1" applyFill="1" applyAlignment="1" applyProtection="1">
      <alignment horizontal="center" vertical="center"/>
      <protection hidden="1"/>
    </xf>
    <xf numFmtId="0" fontId="2" fillId="13" borderId="12" xfId="1" applyFont="1" applyFill="1" applyBorder="1" applyAlignment="1" applyProtection="1">
      <alignment horizontal="center" vertical="center"/>
      <protection hidden="1"/>
    </xf>
    <xf numFmtId="0" fontId="2" fillId="13" borderId="8" xfId="1" applyFont="1" applyFill="1" applyBorder="1" applyAlignment="1" applyProtection="1">
      <alignment horizontal="center" vertical="center"/>
      <protection hidden="1"/>
    </xf>
    <xf numFmtId="0" fontId="2" fillId="13" borderId="9" xfId="1" applyFont="1" applyFill="1" applyBorder="1" applyAlignment="1" applyProtection="1">
      <alignment horizontal="center" vertical="center"/>
      <protection hidden="1"/>
    </xf>
    <xf numFmtId="0" fontId="20" fillId="13" borderId="9" xfId="1" applyFont="1" applyFill="1" applyBorder="1" applyAlignment="1" applyProtection="1">
      <alignment horizontal="center" vertical="center"/>
      <protection hidden="1"/>
    </xf>
    <xf numFmtId="0" fontId="20" fillId="13" borderId="10" xfId="1" applyFont="1" applyFill="1" applyBorder="1" applyAlignment="1" applyProtection="1">
      <alignment horizontal="center" vertical="center"/>
      <protection hidden="1"/>
    </xf>
    <xf numFmtId="0" fontId="2" fillId="12" borderId="10" xfId="1" applyFont="1" applyFill="1" applyBorder="1" applyAlignment="1" applyProtection="1">
      <alignment horizontal="center" vertical="center"/>
      <protection hidden="1"/>
    </xf>
    <xf numFmtId="0" fontId="1" fillId="0" borderId="12" xfId="1" applyBorder="1" applyProtection="1">
      <protection hidden="1"/>
    </xf>
    <xf numFmtId="0" fontId="1" fillId="0" borderId="15" xfId="1" applyBorder="1" applyProtection="1">
      <protection hidden="1"/>
    </xf>
    <xf numFmtId="0" fontId="0" fillId="0" borderId="15" xfId="0" applyBorder="1" applyProtection="1">
      <protection hidden="1"/>
    </xf>
    <xf numFmtId="0" fontId="0" fillId="0" borderId="17" xfId="0" applyBorder="1" applyProtection="1">
      <protection hidden="1"/>
    </xf>
    <xf numFmtId="0" fontId="2" fillId="23" borderId="10" xfId="1" applyFont="1" applyFill="1" applyBorder="1" applyAlignment="1" applyProtection="1">
      <alignment horizontal="center" vertical="center"/>
      <protection hidden="1"/>
    </xf>
    <xf numFmtId="0" fontId="2" fillId="13" borderId="10" xfId="1" applyFont="1" applyFill="1" applyBorder="1" applyAlignment="1" applyProtection="1">
      <alignment horizontal="center" vertical="center"/>
      <protection hidden="1"/>
    </xf>
    <xf numFmtId="0" fontId="2" fillId="13" borderId="13" xfId="1" applyFont="1" applyFill="1" applyBorder="1" applyAlignment="1" applyProtection="1">
      <alignment horizontal="center" vertical="center"/>
      <protection hidden="1"/>
    </xf>
    <xf numFmtId="0" fontId="2" fillId="13" borderId="14" xfId="1" applyFont="1" applyFill="1" applyBorder="1" applyAlignment="1" applyProtection="1">
      <alignment horizontal="center" vertical="center"/>
      <protection hidden="1"/>
    </xf>
    <xf numFmtId="0" fontId="23" fillId="18" borderId="0" xfId="0" applyFont="1" applyFill="1" applyAlignment="1" applyProtection="1">
      <alignment horizontal="center"/>
      <protection locked="0"/>
    </xf>
    <xf numFmtId="166" fontId="24" fillId="3" borderId="12" xfId="1" applyNumberFormat="1" applyFont="1" applyFill="1" applyBorder="1" applyAlignment="1" applyProtection="1">
      <alignment horizontal="center"/>
      <protection hidden="1"/>
    </xf>
    <xf numFmtId="166" fontId="24" fillId="3" borderId="13" xfId="1" applyNumberFormat="1" applyFont="1" applyFill="1" applyBorder="1" applyAlignment="1" applyProtection="1">
      <alignment horizontal="center"/>
      <protection hidden="1"/>
    </xf>
    <xf numFmtId="166" fontId="24" fillId="3" borderId="14" xfId="1" applyNumberFormat="1" applyFont="1" applyFill="1" applyBorder="1" applyAlignment="1" applyProtection="1">
      <alignment horizontal="center"/>
      <protection hidden="1"/>
    </xf>
    <xf numFmtId="166" fontId="24" fillId="3" borderId="15" xfId="1" applyNumberFormat="1" applyFont="1" applyFill="1" applyBorder="1" applyAlignment="1" applyProtection="1">
      <alignment horizontal="center"/>
      <protection hidden="1"/>
    </xf>
    <xf numFmtId="166" fontId="24" fillId="3" borderId="16" xfId="1" applyNumberFormat="1" applyFont="1" applyFill="1" applyBorder="1" applyAlignment="1" applyProtection="1">
      <alignment horizontal="center"/>
      <protection hidden="1"/>
    </xf>
    <xf numFmtId="166" fontId="24" fillId="3" borderId="17" xfId="1" applyNumberFormat="1" applyFont="1" applyFill="1" applyBorder="1" applyAlignment="1" applyProtection="1">
      <alignment horizontal="center"/>
      <protection hidden="1"/>
    </xf>
    <xf numFmtId="166" fontId="24" fillId="3" borderId="18" xfId="1" applyNumberFormat="1" applyFont="1" applyFill="1" applyBorder="1" applyAlignment="1" applyProtection="1">
      <alignment horizontal="center"/>
      <protection hidden="1"/>
    </xf>
    <xf numFmtId="166" fontId="24" fillId="3" borderId="19" xfId="1" applyNumberFormat="1" applyFont="1" applyFill="1" applyBorder="1" applyAlignment="1" applyProtection="1">
      <alignment horizontal="center"/>
      <protection hidden="1"/>
    </xf>
    <xf numFmtId="166" fontId="24" fillId="14" borderId="12" xfId="1" applyNumberFormat="1" applyFont="1" applyFill="1" applyBorder="1" applyAlignment="1" applyProtection="1">
      <alignment horizontal="center"/>
      <protection hidden="1"/>
    </xf>
    <xf numFmtId="166" fontId="24" fillId="14" borderId="13" xfId="1" applyNumberFormat="1" applyFont="1" applyFill="1" applyBorder="1" applyAlignment="1" applyProtection="1">
      <alignment horizontal="center"/>
      <protection hidden="1"/>
    </xf>
    <xf numFmtId="166" fontId="24" fillId="14" borderId="14" xfId="1" applyNumberFormat="1" applyFont="1" applyFill="1" applyBorder="1" applyAlignment="1" applyProtection="1">
      <alignment horizontal="center"/>
      <protection hidden="1"/>
    </xf>
    <xf numFmtId="166" fontId="24" fillId="14" borderId="15" xfId="1" applyNumberFormat="1" applyFont="1" applyFill="1" applyBorder="1" applyAlignment="1" applyProtection="1">
      <alignment horizontal="center"/>
      <protection hidden="1"/>
    </xf>
    <xf numFmtId="166" fontId="24" fillId="14" borderId="16" xfId="1" applyNumberFormat="1" applyFont="1" applyFill="1" applyBorder="1" applyAlignment="1" applyProtection="1">
      <alignment horizontal="center"/>
      <protection hidden="1"/>
    </xf>
    <xf numFmtId="166" fontId="24" fillId="14" borderId="17" xfId="1" applyNumberFormat="1" applyFont="1" applyFill="1" applyBorder="1" applyAlignment="1" applyProtection="1">
      <alignment horizontal="center"/>
      <protection hidden="1"/>
    </xf>
    <xf numFmtId="166" fontId="24" fillId="14" borderId="18" xfId="1" applyNumberFormat="1" applyFont="1" applyFill="1" applyBorder="1" applyAlignment="1" applyProtection="1">
      <alignment horizontal="center"/>
      <protection hidden="1"/>
    </xf>
    <xf numFmtId="166" fontId="24" fillId="14" borderId="19" xfId="1" applyNumberFormat="1" applyFont="1" applyFill="1" applyBorder="1" applyAlignment="1" applyProtection="1">
      <alignment horizontal="center"/>
      <protection hidden="1"/>
    </xf>
    <xf numFmtId="173" fontId="29" fillId="3" borderId="96" xfId="0" applyNumberFormat="1" applyFont="1" applyFill="1" applyBorder="1" applyAlignment="1" applyProtection="1">
      <alignment horizontal="center"/>
      <protection hidden="1"/>
    </xf>
    <xf numFmtId="0" fontId="0" fillId="10" borderId="0" xfId="0" applyFill="1" applyAlignment="1">
      <alignment horizontal="right"/>
    </xf>
    <xf numFmtId="0" fontId="0" fillId="0" borderId="0" xfId="0" applyAlignment="1">
      <alignment vertical="top"/>
    </xf>
    <xf numFmtId="0" fontId="10" fillId="0" borderId="0" xfId="0" applyFont="1" applyAlignment="1">
      <alignment horizontal="center" vertical="top"/>
    </xf>
    <xf numFmtId="168" fontId="29" fillId="19" borderId="0" xfId="0" applyNumberFormat="1" applyFont="1" applyFill="1" applyAlignment="1" applyProtection="1">
      <alignment horizontal="center"/>
      <protection locked="0"/>
    </xf>
    <xf numFmtId="0" fontId="12" fillId="0" borderId="0" xfId="0" applyFont="1"/>
    <xf numFmtId="0" fontId="36" fillId="20" borderId="0" xfId="0" applyFont="1" applyFill="1"/>
    <xf numFmtId="0" fontId="10" fillId="38" borderId="0" xfId="0" applyFont="1" applyFill="1"/>
    <xf numFmtId="0" fontId="62" fillId="0" borderId="0" xfId="0" applyFont="1" applyAlignment="1" applyProtection="1">
      <alignment horizontal="center"/>
      <protection hidden="1"/>
    </xf>
    <xf numFmtId="0" fontId="0" fillId="19" borderId="0" xfId="0" applyFill="1"/>
    <xf numFmtId="0" fontId="65" fillId="9" borderId="0" xfId="0" applyFont="1" applyFill="1" applyAlignment="1" applyProtection="1">
      <alignment horizontal="center" vertical="center"/>
      <protection locked="0"/>
    </xf>
    <xf numFmtId="0" fontId="66" fillId="2" borderId="1" xfId="0" applyFont="1" applyFill="1" applyBorder="1" applyAlignment="1">
      <alignment horizontal="center" vertical="center" wrapText="1"/>
    </xf>
    <xf numFmtId="0" fontId="2" fillId="23" borderId="109" xfId="1" applyFont="1" applyFill="1" applyBorder="1" applyAlignment="1">
      <alignment horizontal="center" vertical="center"/>
    </xf>
    <xf numFmtId="0" fontId="2" fillId="2" borderId="114" xfId="1" applyFont="1" applyFill="1" applyBorder="1" applyAlignment="1">
      <alignment horizontal="center" vertical="center"/>
    </xf>
    <xf numFmtId="0" fontId="2" fillId="2" borderId="110" xfId="1" applyFont="1" applyFill="1" applyBorder="1" applyAlignment="1">
      <alignment horizontal="center" vertical="center"/>
    </xf>
    <xf numFmtId="0" fontId="2" fillId="2" borderId="111" xfId="1" applyFont="1" applyFill="1" applyBorder="1" applyAlignment="1">
      <alignment horizontal="center" vertical="center"/>
    </xf>
    <xf numFmtId="0" fontId="1" fillId="16" borderId="115" xfId="1" applyFill="1" applyBorder="1"/>
    <xf numFmtId="166" fontId="1" fillId="16" borderId="12" xfId="1" applyNumberFormat="1" applyFill="1" applyBorder="1" applyAlignment="1">
      <alignment horizontal="center"/>
    </xf>
    <xf numFmtId="166" fontId="1" fillId="16" borderId="13" xfId="1" applyNumberFormat="1" applyFill="1" applyBorder="1" applyAlignment="1">
      <alignment horizontal="center"/>
    </xf>
    <xf numFmtId="166" fontId="1" fillId="16" borderId="116" xfId="1" applyNumberFormat="1" applyFill="1" applyBorder="1" applyAlignment="1">
      <alignment horizontal="center"/>
    </xf>
    <xf numFmtId="0" fontId="1" fillId="0" borderId="117" xfId="1" applyBorder="1"/>
    <xf numFmtId="166" fontId="1" fillId="0" borderId="118" xfId="1" applyNumberFormat="1" applyBorder="1" applyAlignment="1">
      <alignment horizontal="center"/>
    </xf>
    <xf numFmtId="166" fontId="1" fillId="0" borderId="119" xfId="1" applyNumberFormat="1" applyBorder="1" applyAlignment="1">
      <alignment horizontal="center"/>
    </xf>
    <xf numFmtId="166" fontId="1" fillId="0" borderId="116" xfId="1" applyNumberFormat="1" applyBorder="1" applyAlignment="1">
      <alignment horizontal="center"/>
    </xf>
    <xf numFmtId="0" fontId="1" fillId="16" borderId="117" xfId="1" applyFill="1" applyBorder="1"/>
    <xf numFmtId="166" fontId="1" fillId="16" borderId="118" xfId="1" applyNumberFormat="1" applyFill="1" applyBorder="1" applyAlignment="1">
      <alignment horizontal="center"/>
    </xf>
    <xf numFmtId="166" fontId="1" fillId="16" borderId="119" xfId="1" applyNumberFormat="1" applyFill="1" applyBorder="1" applyAlignment="1">
      <alignment horizontal="center"/>
    </xf>
    <xf numFmtId="0" fontId="1" fillId="0" borderId="120" xfId="1" applyBorder="1"/>
    <xf numFmtId="166" fontId="1" fillId="0" borderId="121" xfId="1" applyNumberFormat="1" applyBorder="1" applyAlignment="1">
      <alignment horizontal="center"/>
    </xf>
    <xf numFmtId="166" fontId="1" fillId="0" borderId="112" xfId="1" applyNumberFormat="1" applyBorder="1" applyAlignment="1">
      <alignment horizontal="center"/>
    </xf>
    <xf numFmtId="166" fontId="1" fillId="0" borderId="113" xfId="1" applyNumberFormat="1" applyBorder="1" applyAlignment="1">
      <alignment horizontal="center"/>
    </xf>
    <xf numFmtId="0" fontId="10" fillId="0" borderId="0" xfId="6" applyFont="1" applyAlignment="1">
      <alignment horizontal="right" vertical="center"/>
    </xf>
    <xf numFmtId="9" fontId="62" fillId="30" borderId="32" xfId="0" applyNumberFormat="1" applyFont="1" applyFill="1" applyBorder="1" applyAlignment="1">
      <alignment horizontal="center"/>
    </xf>
    <xf numFmtId="9" fontId="62" fillId="7" borderId="30" xfId="0" applyNumberFormat="1" applyFont="1" applyFill="1" applyBorder="1" applyAlignment="1">
      <alignment horizontal="center"/>
    </xf>
    <xf numFmtId="9" fontId="62" fillId="30" borderId="30" xfId="0" applyNumberFormat="1" applyFont="1" applyFill="1" applyBorder="1" applyAlignment="1">
      <alignment horizontal="center"/>
    </xf>
    <xf numFmtId="9" fontId="62" fillId="30" borderId="38" xfId="0" applyNumberFormat="1" applyFont="1" applyFill="1" applyBorder="1" applyAlignment="1">
      <alignment horizontal="center"/>
    </xf>
    <xf numFmtId="168" fontId="37" fillId="20" borderId="0" xfId="2" applyNumberFormat="1" applyFont="1" applyFill="1" applyBorder="1" applyAlignment="1" applyProtection="1">
      <alignment horizontal="center" vertical="center"/>
      <protection locked="0"/>
    </xf>
    <xf numFmtId="0" fontId="0" fillId="19" borderId="17" xfId="0" applyFill="1" applyBorder="1"/>
    <xf numFmtId="0" fontId="1" fillId="19" borderId="16" xfId="1" applyFill="1" applyBorder="1"/>
    <xf numFmtId="0" fontId="0" fillId="19" borderId="19" xfId="0" applyFill="1" applyBorder="1"/>
    <xf numFmtId="0" fontId="1" fillId="19" borderId="2" xfId="1" applyFill="1" applyBorder="1"/>
    <xf numFmtId="0" fontId="0" fillId="19" borderId="3" xfId="0" applyFill="1" applyBorder="1"/>
    <xf numFmtId="0" fontId="2" fillId="12" borderId="13" xfId="1" applyFont="1" applyFill="1" applyBorder="1" applyAlignment="1" applyProtection="1">
      <alignment horizontal="center" vertical="center"/>
      <protection hidden="1"/>
    </xf>
    <xf numFmtId="0" fontId="20" fillId="12" borderId="13" xfId="1" applyFont="1" applyFill="1" applyBorder="1" applyAlignment="1" applyProtection="1">
      <alignment horizontal="center" vertical="center"/>
      <protection hidden="1"/>
    </xf>
    <xf numFmtId="0" fontId="20" fillId="12" borderId="14" xfId="1" applyFont="1" applyFill="1" applyBorder="1" applyAlignment="1" applyProtection="1">
      <alignment horizontal="center" vertical="center"/>
      <protection hidden="1"/>
    </xf>
    <xf numFmtId="166" fontId="24" fillId="7" borderId="13" xfId="1" applyNumberFormat="1" applyFont="1" applyFill="1" applyBorder="1" applyAlignment="1" applyProtection="1">
      <alignment horizontal="center"/>
      <protection hidden="1"/>
    </xf>
    <xf numFmtId="166" fontId="24" fillId="7" borderId="14" xfId="1" applyNumberFormat="1" applyFont="1" applyFill="1" applyBorder="1" applyAlignment="1" applyProtection="1">
      <alignment horizontal="center"/>
      <protection hidden="1"/>
    </xf>
    <xf numFmtId="166" fontId="24" fillId="7" borderId="0" xfId="1" applyNumberFormat="1" applyFont="1" applyFill="1" applyAlignment="1" applyProtection="1">
      <alignment horizontal="center"/>
      <protection hidden="1"/>
    </xf>
    <xf numFmtId="166" fontId="24" fillId="7" borderId="16" xfId="1" applyNumberFormat="1" applyFont="1" applyFill="1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166" fontId="0" fillId="0" borderId="16" xfId="0" applyNumberFormat="1" applyBorder="1" applyAlignment="1" applyProtection="1">
      <alignment horizontal="center"/>
      <protection hidden="1"/>
    </xf>
    <xf numFmtId="166" fontId="0" fillId="0" borderId="18" xfId="0" applyNumberFormat="1" applyBorder="1" applyAlignment="1" applyProtection="1">
      <alignment horizontal="center"/>
      <protection hidden="1"/>
    </xf>
    <xf numFmtId="166" fontId="0" fillId="0" borderId="19" xfId="0" applyNumberFormat="1" applyBorder="1" applyAlignment="1" applyProtection="1">
      <alignment horizontal="center"/>
      <protection hidden="1"/>
    </xf>
    <xf numFmtId="0" fontId="9" fillId="23" borderId="46" xfId="3" applyFont="1" applyFill="1" applyBorder="1" applyAlignment="1">
      <alignment horizontal="center" vertical="center" wrapText="1"/>
    </xf>
    <xf numFmtId="166" fontId="0" fillId="16" borderId="122" xfId="0" applyNumberFormat="1" applyFill="1" applyBorder="1" applyAlignment="1">
      <alignment horizontal="center"/>
    </xf>
    <xf numFmtId="166" fontId="0" fillId="0" borderId="123" xfId="0" applyNumberFormat="1" applyBorder="1" applyAlignment="1">
      <alignment horizontal="center"/>
    </xf>
    <xf numFmtId="166" fontId="0" fillId="16" borderId="123" xfId="0" applyNumberFormat="1" applyFill="1" applyBorder="1" applyAlignment="1">
      <alignment horizontal="center"/>
    </xf>
    <xf numFmtId="166" fontId="0" fillId="16" borderId="124" xfId="0" applyNumberFormat="1" applyFill="1" applyBorder="1" applyAlignment="1">
      <alignment horizontal="center"/>
    </xf>
    <xf numFmtId="164" fontId="12" fillId="5" borderId="5" xfId="2" applyNumberFormat="1" applyFont="1" applyAlignment="1" applyProtection="1">
      <alignment horizontal="center"/>
      <protection locked="0"/>
    </xf>
    <xf numFmtId="166" fontId="0" fillId="0" borderId="0" xfId="0" applyNumberFormat="1"/>
    <xf numFmtId="166" fontId="24" fillId="4" borderId="0" xfId="1" applyNumberFormat="1" applyFont="1" applyFill="1" applyAlignment="1" applyProtection="1">
      <alignment horizontal="center"/>
      <protection hidden="1"/>
    </xf>
    <xf numFmtId="9" fontId="0" fillId="0" borderId="0" xfId="13" applyFont="1"/>
    <xf numFmtId="166" fontId="24" fillId="39" borderId="0" xfId="1" applyNumberFormat="1" applyFont="1" applyFill="1" applyAlignment="1" applyProtection="1">
      <alignment horizontal="center"/>
      <protection hidden="1"/>
    </xf>
    <xf numFmtId="178" fontId="0" fillId="0" borderId="0" xfId="0" applyNumberFormat="1"/>
    <xf numFmtId="0" fontId="0" fillId="0" borderId="0" xfId="0" applyAlignment="1">
      <alignment wrapText="1"/>
    </xf>
    <xf numFmtId="0" fontId="58" fillId="36" borderId="105" xfId="11" applyFont="1" applyFill="1" applyBorder="1" applyAlignment="1">
      <alignment horizontal="center"/>
    </xf>
    <xf numFmtId="0" fontId="67" fillId="40" borderId="100" xfId="11" applyFont="1" applyFill="1" applyBorder="1" applyAlignment="1">
      <alignment readingOrder="1"/>
    </xf>
    <xf numFmtId="0" fontId="22" fillId="0" borderId="106" xfId="11" applyFont="1" applyBorder="1" applyAlignment="1">
      <alignment wrapText="1" readingOrder="1"/>
    </xf>
    <xf numFmtId="0" fontId="67" fillId="40" borderId="101" xfId="11" applyFont="1" applyFill="1" applyBorder="1" applyAlignment="1">
      <alignment readingOrder="1"/>
    </xf>
    <xf numFmtId="0" fontId="22" fillId="34" borderId="106" xfId="11" applyFont="1" applyFill="1" applyBorder="1" applyAlignment="1">
      <alignment readingOrder="1"/>
    </xf>
    <xf numFmtId="0" fontId="41" fillId="0" borderId="44" xfId="0" applyFont="1" applyBorder="1" applyAlignment="1">
      <alignment horizontal="left" vertical="center" wrapText="1" indent="4"/>
    </xf>
    <xf numFmtId="0" fontId="28" fillId="0" borderId="44" xfId="0" applyFont="1" applyBorder="1" applyAlignment="1">
      <alignment horizontal="left" vertical="center" indent="4"/>
    </xf>
    <xf numFmtId="0" fontId="41" fillId="0" borderId="44" xfId="0" applyFont="1" applyBorder="1" applyAlignment="1">
      <alignment horizontal="left" vertical="center" indent="4"/>
    </xf>
    <xf numFmtId="0" fontId="41" fillId="0" borderId="67" xfId="0" applyFont="1" applyBorder="1" applyAlignment="1">
      <alignment horizontal="left" vertical="center" wrapText="1" indent="4"/>
    </xf>
    <xf numFmtId="0" fontId="41" fillId="0" borderId="67" xfId="0" applyFont="1" applyBorder="1" applyAlignment="1">
      <alignment horizontal="left" vertical="center" indent="4"/>
    </xf>
    <xf numFmtId="0" fontId="41" fillId="3" borderId="65" xfId="0" applyFont="1" applyFill="1" applyBorder="1" applyAlignment="1">
      <alignment horizontal="center"/>
    </xf>
    <xf numFmtId="0" fontId="41" fillId="3" borderId="66" xfId="0" applyFont="1" applyFill="1" applyBorder="1" applyAlignment="1">
      <alignment horizontal="center"/>
    </xf>
    <xf numFmtId="0" fontId="28" fillId="10" borderId="15" xfId="0" applyFont="1" applyFill="1" applyBorder="1" applyAlignment="1">
      <alignment horizontal="center"/>
    </xf>
    <xf numFmtId="0" fontId="28" fillId="10" borderId="16" xfId="0" applyFont="1" applyFill="1" applyBorder="1" applyAlignment="1">
      <alignment horizontal="center"/>
    </xf>
    <xf numFmtId="0" fontId="41" fillId="19" borderId="16" xfId="0" applyFont="1" applyFill="1" applyBorder="1" applyAlignment="1" applyProtection="1">
      <alignment horizontal="left" indent="1"/>
      <protection locked="0"/>
    </xf>
    <xf numFmtId="0" fontId="41" fillId="19" borderId="0" xfId="0" applyFont="1" applyFill="1" applyAlignment="1" applyProtection="1">
      <alignment horizontal="center"/>
      <protection locked="0"/>
    </xf>
    <xf numFmtId="0" fontId="41" fillId="19" borderId="16" xfId="0" applyFont="1" applyFill="1" applyBorder="1" applyAlignment="1" applyProtection="1">
      <alignment horizontal="center"/>
      <protection locked="0"/>
    </xf>
    <xf numFmtId="0" fontId="28" fillId="10" borderId="13" xfId="0" applyFont="1" applyFill="1" applyBorder="1" applyAlignment="1">
      <alignment horizontal="left" indent="1"/>
    </xf>
    <xf numFmtId="0" fontId="28" fillId="10" borderId="14" xfId="0" applyFont="1" applyFill="1" applyBorder="1" applyAlignment="1">
      <alignment horizontal="left" indent="1"/>
    </xf>
    <xf numFmtId="0" fontId="28" fillId="10" borderId="15" xfId="0" applyFont="1" applyFill="1" applyBorder="1" applyAlignment="1">
      <alignment horizontal="left" indent="1"/>
    </xf>
    <xf numFmtId="0" fontId="28" fillId="10" borderId="16" xfId="0" applyFont="1" applyFill="1" applyBorder="1" applyAlignment="1">
      <alignment horizontal="left" indent="1"/>
    </xf>
    <xf numFmtId="0" fontId="28" fillId="10" borderId="53" xfId="0" applyFont="1" applyFill="1" applyBorder="1" applyAlignment="1">
      <alignment horizontal="center"/>
    </xf>
    <xf numFmtId="0" fontId="28" fillId="10" borderId="54" xfId="0" applyFont="1" applyFill="1" applyBorder="1" applyAlignment="1">
      <alignment horizontal="center"/>
    </xf>
    <xf numFmtId="0" fontId="28" fillId="10" borderId="0" xfId="0" applyFont="1" applyFill="1" applyAlignment="1">
      <alignment horizontal="left" indent="1"/>
    </xf>
    <xf numFmtId="0" fontId="28" fillId="10" borderId="18" xfId="0" applyFont="1" applyFill="1" applyBorder="1" applyAlignment="1">
      <alignment horizontal="left" indent="1"/>
    </xf>
    <xf numFmtId="0" fontId="28" fillId="10" borderId="19" xfId="0" applyFont="1" applyFill="1" applyBorder="1" applyAlignment="1">
      <alignment horizontal="left" indent="1"/>
    </xf>
    <xf numFmtId="0" fontId="39" fillId="10" borderId="0" xfId="0" applyFont="1" applyFill="1" applyAlignment="1">
      <alignment horizontal="left" indent="1"/>
    </xf>
    <xf numFmtId="0" fontId="39" fillId="10" borderId="16" xfId="0" applyFont="1" applyFill="1" applyBorder="1" applyAlignment="1">
      <alignment horizontal="left" indent="1"/>
    </xf>
    <xf numFmtId="0" fontId="52" fillId="10" borderId="0" xfId="0" applyFont="1" applyFill="1" applyAlignment="1">
      <alignment horizontal="left" indent="1"/>
    </xf>
    <xf numFmtId="0" fontId="52" fillId="10" borderId="16" xfId="0" applyFont="1" applyFill="1" applyBorder="1" applyAlignment="1">
      <alignment horizontal="left" indent="1"/>
    </xf>
    <xf numFmtId="0" fontId="9" fillId="17" borderId="8" xfId="0" applyFont="1" applyFill="1" applyBorder="1" applyAlignment="1">
      <alignment horizontal="center"/>
    </xf>
    <xf numFmtId="0" fontId="9" fillId="17" borderId="10" xfId="0" applyFont="1" applyFill="1" applyBorder="1" applyAlignment="1">
      <alignment horizontal="center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</cellXfs>
  <cellStyles count="14">
    <cellStyle name="Accent1" xfId="3" builtinId="29"/>
    <cellStyle name="Calculation" xfId="9" builtinId="22"/>
    <cellStyle name="Explanatory Text" xfId="12" builtinId="53"/>
    <cellStyle name="Hyperlink" xfId="7" builtinId="8"/>
    <cellStyle name="Input" xfId="2" builtinId="20"/>
    <cellStyle name="Normal" xfId="0" builtinId="0"/>
    <cellStyle name="Normal 2" xfId="1" xr:uid="{3A943BE0-BD4B-4F4F-A15D-529D4EFC77F9}"/>
    <cellStyle name="Normal 3" xfId="6" xr:uid="{B1C1C50F-3ADC-4C93-88FE-9813F87F852A}"/>
    <cellStyle name="Normal 4" xfId="11" xr:uid="{E5DBDE61-6642-454E-9882-3D73D2A66B8E}"/>
    <cellStyle name="Note" xfId="10" builtinId="10"/>
    <cellStyle name="Output" xfId="8" builtinId="21"/>
    <cellStyle name="Percent" xfId="13" builtinId="5"/>
    <cellStyle name="Style 1" xfId="4" xr:uid="{B5B19318-8456-4E9B-8BAC-53A1D429A5C5}"/>
    <cellStyle name="Style 2" xfId="5" xr:uid="{62A7F0FE-9D31-42D2-BA7C-5544C1577830}"/>
  </cellStyles>
  <dxfs count="847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theme="7" tint="0.39994506668294322"/>
      </font>
    </dxf>
    <dxf>
      <numFmt numFmtId="168" formatCode="0.0%"/>
    </dxf>
    <dxf>
      <numFmt numFmtId="3" formatCode="#,##0"/>
    </dxf>
    <dxf>
      <font>
        <color theme="5" tint="0.59996337778862885"/>
      </font>
    </dxf>
    <dxf>
      <font>
        <color theme="5" tint="0.59996337778862885"/>
      </font>
    </dxf>
    <dxf>
      <font>
        <b/>
        <i val="0"/>
      </font>
      <fill>
        <patternFill>
          <bgColor rgb="FFFF0000"/>
        </patternFill>
      </fill>
    </dxf>
    <dxf>
      <font>
        <color theme="4"/>
      </font>
    </dxf>
    <dxf>
      <font>
        <color theme="4"/>
      </font>
    </dxf>
    <dxf>
      <numFmt numFmtId="168" formatCode="0.0%"/>
    </dxf>
    <dxf>
      <numFmt numFmtId="3" formatCode="#,##0"/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</dxf>
    <dxf>
      <fill>
        <patternFill>
          <bgColor rgb="FFFFC000"/>
        </patternFill>
      </fill>
    </dxf>
    <dxf>
      <numFmt numFmtId="180" formatCode="[$CAD]\ #,##0"/>
    </dxf>
    <dxf>
      <numFmt numFmtId="166" formatCode="&quot;$&quot;#,##0"/>
    </dxf>
    <dxf>
      <numFmt numFmtId="181" formatCode="[$£-809]#,##0"/>
    </dxf>
    <dxf>
      <numFmt numFmtId="182" formatCode="[$€-2]\ #,##0"/>
    </dxf>
    <dxf>
      <numFmt numFmtId="183" formatCode="[$AUD]\ #,##0"/>
    </dxf>
    <dxf>
      <numFmt numFmtId="180" formatCode="[$CAD]\ #,##0"/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 style="thin">
          <color auto="1"/>
        </bottom>
        <vertical/>
        <horizontal/>
      </border>
    </dxf>
    <dxf>
      <font>
        <color theme="1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181" formatCode="[$£-809]#,##0"/>
    </dxf>
    <dxf>
      <numFmt numFmtId="182" formatCode="[$€-2]\ #,##0"/>
    </dxf>
    <dxf>
      <numFmt numFmtId="183" formatCode="[$AUD]\ #,##0"/>
    </dxf>
    <dxf>
      <numFmt numFmtId="180" formatCode="[$CAD]\ #,##0"/>
    </dxf>
    <dxf>
      <font>
        <b val="0"/>
        <i/>
        <color theme="0" tint="-0.14996795556505021"/>
      </font>
    </dxf>
    <dxf>
      <numFmt numFmtId="181" formatCode="[$£-809]#,##0"/>
    </dxf>
    <dxf>
      <numFmt numFmtId="182" formatCode="[$€-2]\ #,##0"/>
    </dxf>
    <dxf>
      <numFmt numFmtId="183" formatCode="[$AUD]\ #,##0"/>
    </dxf>
    <dxf>
      <numFmt numFmtId="180" formatCode="[$CAD]\ #,##0"/>
    </dxf>
    <dxf>
      <numFmt numFmtId="181" formatCode="[$£-809]#,##0"/>
    </dxf>
    <dxf>
      <numFmt numFmtId="182" formatCode="[$€-2]\ #,##0"/>
    </dxf>
    <dxf>
      <numFmt numFmtId="183" formatCode="[$AUD]\ #,##0"/>
    </dxf>
    <dxf>
      <numFmt numFmtId="180" formatCode="[$CAD]\ #,##0"/>
    </dxf>
    <dxf>
      <numFmt numFmtId="181" formatCode="[$£-809]#,##0"/>
    </dxf>
    <dxf>
      <numFmt numFmtId="182" formatCode="[$€-2]\ #,##0"/>
    </dxf>
    <dxf>
      <numFmt numFmtId="183" formatCode="[$AUD]\ #,##0"/>
    </dxf>
    <dxf>
      <numFmt numFmtId="180" formatCode="[$CAD]\ #,##0"/>
    </dxf>
    <dxf>
      <font>
        <b val="0"/>
        <i/>
        <color theme="0" tint="-0.14996795556505021"/>
      </font>
    </dxf>
    <dxf>
      <numFmt numFmtId="181" formatCode="[$£-809]#,##0"/>
    </dxf>
    <dxf>
      <numFmt numFmtId="182" formatCode="[$€-2]\ #,##0"/>
    </dxf>
    <dxf>
      <numFmt numFmtId="183" formatCode="[$AUD]\ #,##0"/>
    </dxf>
    <dxf>
      <numFmt numFmtId="180" formatCode="[$CAD]\ #,##0"/>
    </dxf>
    <dxf>
      <numFmt numFmtId="181" formatCode="[$£-809]#,##0"/>
    </dxf>
    <dxf>
      <numFmt numFmtId="182" formatCode="[$€-2]\ #,##0"/>
    </dxf>
    <dxf>
      <numFmt numFmtId="183" formatCode="[$AUD]\ #,##0"/>
    </dxf>
    <dxf>
      <numFmt numFmtId="180" formatCode="[$CAD]\ #,##0"/>
    </dxf>
    <dxf>
      <font>
        <b val="0"/>
        <i/>
        <color theme="0" tint="-0.14996795556505021"/>
      </font>
    </dxf>
    <dxf>
      <numFmt numFmtId="166" formatCode="&quot;$&quot;#,##0"/>
    </dxf>
    <dxf>
      <numFmt numFmtId="181" formatCode="[$£-809]#,##0"/>
    </dxf>
    <dxf>
      <numFmt numFmtId="182" formatCode="[$€-2]\ #,##0"/>
    </dxf>
    <dxf>
      <numFmt numFmtId="183" formatCode="[$AUD]\ #,##0"/>
    </dxf>
    <dxf>
      <numFmt numFmtId="180" formatCode="[$CAD]\ #,##0"/>
    </dxf>
    <dxf>
      <numFmt numFmtId="166" formatCode="&quot;$&quot;#,##0"/>
    </dxf>
    <dxf>
      <numFmt numFmtId="181" formatCode="[$£-809]#,##0"/>
    </dxf>
    <dxf>
      <numFmt numFmtId="182" formatCode="[$€-2]\ #,##0"/>
    </dxf>
    <dxf>
      <numFmt numFmtId="183" formatCode="[$AUD]\ #,##0"/>
    </dxf>
    <dxf>
      <numFmt numFmtId="180" formatCode="[$CAD]\ #,##0"/>
    </dxf>
    <dxf>
      <font>
        <color theme="4" tint="0.79998168889431442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numFmt numFmtId="182" formatCode="[$€-2]\ #,##0"/>
    </dxf>
    <dxf>
      <numFmt numFmtId="181" formatCode="[$£-809]#,##0"/>
    </dxf>
    <dxf>
      <numFmt numFmtId="166" formatCode="&quot;$&quot;#,##0"/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numFmt numFmtId="180" formatCode="[$CAD]\ #,##0"/>
    </dxf>
    <dxf>
      <numFmt numFmtId="183" formatCode="[$AUD]\ #,##0"/>
    </dxf>
    <dxf>
      <font>
        <color theme="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numFmt numFmtId="3" formatCode="#,##0"/>
    </dxf>
    <dxf>
      <font>
        <color theme="5" tint="0.59996337778862885"/>
      </font>
    </dxf>
    <dxf>
      <font>
        <b/>
        <i val="0"/>
      </font>
      <fill>
        <patternFill>
          <bgColor rgb="FFFF0000"/>
        </patternFill>
      </fill>
    </dxf>
    <dxf>
      <font>
        <color theme="7" tint="0.39994506668294322"/>
      </font>
    </dxf>
    <dxf>
      <numFmt numFmtId="168" formatCode="0.0%"/>
    </dxf>
    <dxf>
      <numFmt numFmtId="168" formatCode="0.0%"/>
    </dxf>
    <dxf>
      <numFmt numFmtId="3" formatCode="#,##0"/>
    </dxf>
    <dxf>
      <font>
        <color theme="0" tint="-0.14996795556505021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</dxf>
    <dxf>
      <numFmt numFmtId="180" formatCode="[$CAD]\ #,##0"/>
    </dxf>
    <dxf>
      <numFmt numFmtId="182" formatCode="[$€-2]\ #,##0"/>
    </dxf>
    <dxf>
      <numFmt numFmtId="180" formatCode="[$CAD]\ #,##0"/>
    </dxf>
    <dxf>
      <numFmt numFmtId="183" formatCode="[$AUD]\ #,##0"/>
    </dxf>
    <dxf>
      <numFmt numFmtId="181" formatCode="[$£-809]#,##0"/>
    </dxf>
    <dxf>
      <numFmt numFmtId="166" formatCode="&quot;$&quot;#,##0"/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/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3" formatCode="#,##0.0;[Red]\-#,##0.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</border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/>
        <vertical/>
        <horizontal/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1" indent="0" justifyLastLine="0" shrinkToFit="0" readingOrder="0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  <protection locked="1" hidden="1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  <protection locked="0" hidden="0"/>
    </dxf>
    <dxf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numFmt numFmtId="166" formatCode="&quot;$&quot;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7F7F7F"/>
        </left>
        <right/>
        <top style="thin">
          <color theme="4"/>
        </top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3F3F76"/>
        <name val="Calibri"/>
        <family val="2"/>
        <scheme val="minor"/>
      </font>
      <numFmt numFmtId="179" formatCode="#,##0_);[Red]\(#,##0\)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79" formatCode="#,##0_);[Red]\(#,##0\)"/>
      <alignment horizontal="center" vertical="bottom" textRotation="0" wrapText="0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</border>
      <protection locked="0" hidden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rgb="FF7F7F7F"/>
        </right>
        <top style="thin">
          <color theme="4"/>
        </top>
        <bottom/>
      </border>
      <protection locked="0" hidden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  <protection locked="0" hidden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  <protection locked="0" hidden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70" formatCode="0_);[Red]\(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79" formatCode="#,##0_);[Red]\(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rgb="FF4472C4"/>
        </left>
        <top style="thin">
          <color rgb="FF4472C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%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3" formatCode="#,##0.0;[Red]\-#,##0.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outline="0">
        <left style="thin">
          <color auto="1"/>
        </left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3" formatCode="#,##0.0;[Red]\-#,##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protection locked="0" hidden="0"/>
    </dxf>
    <dxf>
      <font>
        <b/>
        <i/>
        <sz val="10"/>
        <color auto="1"/>
      </font>
      <numFmt numFmtId="166" formatCode="&quot;$&quot;#,##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  <protection locked="1" hidden="1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rgb="FFB2B2B2"/>
        </left>
        <right/>
        <top style="thin">
          <color rgb="FFB2B2B2"/>
        </top>
        <bottom/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1" indent="0" justifyLastLine="0" shrinkToFit="0" readingOrder="0"/>
      <border diagonalUp="0" diagonalDown="0">
        <left/>
        <right/>
        <top style="thin">
          <color rgb="FFB2B2B2"/>
        </top>
        <bottom/>
      </border>
      <protection locked="1" hidden="1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  <protection locked="0" hidden="0"/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Calibri"/>
        <family val="2"/>
        <scheme val="minor"/>
      </font>
      <numFmt numFmtId="166" formatCode="&quot;$&quot;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7F7F7F"/>
        </left>
        <right style="hair">
          <color rgb="FF7F7F7F"/>
        </right>
        <top style="thin">
          <color theme="4"/>
        </top>
        <bottom/>
        <vertical/>
        <horizontal/>
      </border>
      <protection locked="0" hidden="0"/>
    </dxf>
    <dxf>
      <numFmt numFmtId="13" formatCode="0%"/>
      <fill>
        <patternFill patternType="solid">
          <fgColor theme="4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numFmt numFmtId="166" formatCode="&quot;$&quot;#,##0"/>
      <fill>
        <patternFill patternType="solid">
          <fgColor theme="4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</border>
      <protection locked="1" hidden="1"/>
    </dxf>
    <dxf>
      <numFmt numFmtId="166" formatCode="&quot;$&quot;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7F7F7F"/>
        </left>
        <right/>
        <top style="thin">
          <color theme="4"/>
        </top>
        <bottom/>
      </border>
    </dxf>
    <dxf>
      <numFmt numFmtId="13" formatCode="0%"/>
      <alignment horizontal="center" vertical="bottom" textRotation="0" wrapText="0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3F3F76"/>
        <name val="Calibri"/>
        <family val="2"/>
        <scheme val="minor"/>
      </font>
      <numFmt numFmtId="179" formatCode="#,##0_);[Red]\(#,##0\)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176" formatCode="#,##0.0"/>
      <alignment horizontal="center" vertical="bottom" textRotation="0" wrapText="0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</border>
      <protection locked="0" hidden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  <protection locked="0" hidden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  <protection locked="0" hidden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  <protection locked="0" hidden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70" formatCode="0_);[Red]\(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79" formatCode="#,##0_);[Red]\(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295275</xdr:colOff>
          <xdr:row>10</xdr:row>
          <xdr:rowOff>180975</xdr:rowOff>
        </xdr:from>
        <xdr:to>
          <xdr:col>28</xdr:col>
          <xdr:colOff>600075</xdr:colOff>
          <xdr:row>13</xdr:row>
          <xdr:rowOff>152400</xdr:rowOff>
        </xdr:to>
        <xdr:sp macro="" textlink="">
          <xdr:nvSpPr>
            <xdr:cNvPr id="22530" name="Button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1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Commit and Finalize (cannot be undone)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575945</xdr:colOff>
      <xdr:row>37</xdr:row>
      <xdr:rowOff>71120</xdr:rowOff>
    </xdr:from>
    <xdr:to>
      <xdr:col>3</xdr:col>
      <xdr:colOff>3552944</xdr:colOff>
      <xdr:row>65</xdr:row>
      <xdr:rowOff>83520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7D0B7-C92F-72CC-C83C-87EF6C2536C1}"/>
            </a:ext>
            <a:ext uri="{147F2762-F138-4A5C-976F-8EAC2B608ADB}">
              <a16:predDERef xmlns:a16="http://schemas.microsoft.com/office/drawing/2014/main" pred="{00000000-0008-0000-0100-0000025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945" y="7262495"/>
          <a:ext cx="8282424" cy="5660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586740</xdr:colOff>
      <xdr:row>21</xdr:row>
      <xdr:rowOff>167640</xdr:rowOff>
    </xdr:from>
    <xdr:to>
      <xdr:col>9</xdr:col>
      <xdr:colOff>2011680</xdr:colOff>
      <xdr:row>35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510260" y="4038600"/>
          <a:ext cx="3550920" cy="2506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Adding</a:t>
          </a:r>
          <a:r>
            <a:rPr lang="en-US" sz="1100" b="1" baseline="0"/>
            <a:t> new cost table</a:t>
          </a:r>
        </a:p>
        <a:p>
          <a:r>
            <a:rPr lang="en-US" sz="1100" baseline="0"/>
            <a:t>1. Imp: Name the cost roles as roles_n</a:t>
          </a:r>
        </a:p>
        <a:p>
          <a:r>
            <a:rPr lang="en-US" sz="1100" baseline="0"/>
            <a:t>2. change formula in Calculator in column B and G(this is avv) and column R.. on the calculator tab</a:t>
          </a:r>
        </a:p>
        <a:p>
          <a:r>
            <a:rPr lang="en-US" sz="1100" baseline="0"/>
            <a:t>3. ensure costs tab has the table of cost and name the range of cost  as costAdv, costProd, costPvtCld etc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601980</xdr:colOff>
      <xdr:row>0</xdr:row>
      <xdr:rowOff>152400</xdr:rowOff>
    </xdr:from>
    <xdr:to>
      <xdr:col>47</xdr:col>
      <xdr:colOff>594360</xdr:colOff>
      <xdr:row>6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847040" y="152400"/>
          <a:ext cx="364998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Assumptions: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India 50% for Non India markets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India 40% for India markets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Onsite lower roles at 40%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Onsite senior roles at 35%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38100</xdr:colOff>
      <xdr:row>0</xdr:row>
      <xdr:rowOff>0</xdr:rowOff>
    </xdr:from>
    <xdr:to>
      <xdr:col>37</xdr:col>
      <xdr:colOff>209550</xdr:colOff>
      <xdr:row>0</xdr:row>
      <xdr:rowOff>171450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0308550" y="0"/>
          <a:ext cx="171450" cy="171450"/>
        </a:xfrm>
        <a:prstGeom prst="flowChartConnector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900"/>
            <a:t>BT</a:t>
          </a:r>
          <a:endParaRPr lang="en-US" sz="105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1247775</xdr:colOff>
          <xdr:row>0</xdr:row>
          <xdr:rowOff>66675</xdr:rowOff>
        </xdr:from>
        <xdr:to>
          <xdr:col>8</xdr:col>
          <xdr:colOff>409575</xdr:colOff>
          <xdr:row>1</xdr:row>
          <xdr:rowOff>304800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4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Reset the calculator values</a:t>
              </a:r>
            </a:p>
          </xdr:txBody>
        </xdr:sp>
        <xdr:clientData fPrintsWithSheet="0"/>
      </xdr:twoCellAnchor>
    </mc:Choice>
    <mc:Fallback/>
  </mc:AlternateContent>
  <xdr:twoCellAnchor>
    <xdr:from>
      <xdr:col>4</xdr:col>
      <xdr:colOff>7620</xdr:colOff>
      <xdr:row>0</xdr:row>
      <xdr:rowOff>175260</xdr:rowOff>
    </xdr:from>
    <xdr:to>
      <xdr:col>5</xdr:col>
      <xdr:colOff>7620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960120" y="175260"/>
          <a:ext cx="2156460" cy="381000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t"/>
        <a:lstStyle/>
        <a:p>
          <a:r>
            <a:rPr lang="en-US" sz="1200" b="1">
              <a:solidFill>
                <a:schemeClr val="bg1">
                  <a:lumMod val="95000"/>
                </a:schemeClr>
              </a:solidFill>
            </a:rPr>
            <a:t>Please</a:t>
          </a:r>
          <a:r>
            <a:rPr lang="en-US" sz="1200" b="1" baseline="0">
              <a:solidFill>
                <a:schemeClr val="bg1">
                  <a:lumMod val="95000"/>
                </a:schemeClr>
              </a:solidFill>
            </a:rPr>
            <a:t> answer each question before entering PS resources</a:t>
          </a:r>
          <a:endParaRPr lang="en-US" sz="12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66675</xdr:colOff>
          <xdr:row>44</xdr:row>
          <xdr:rowOff>66675</xdr:rowOff>
        </xdr:from>
        <xdr:to>
          <xdr:col>4</xdr:col>
          <xdr:colOff>1247775</xdr:colOff>
          <xdr:row>46</xdr:row>
          <xdr:rowOff>38100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4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more rows to table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9</xdr:col>
      <xdr:colOff>2152022</xdr:colOff>
      <xdr:row>2</xdr:row>
      <xdr:rowOff>70442</xdr:rowOff>
    </xdr:from>
    <xdr:to>
      <xdr:col>14</xdr:col>
      <xdr:colOff>1556041</xdr:colOff>
      <xdr:row>7</xdr:row>
      <xdr:rowOff>221816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7714" y="639849"/>
          <a:ext cx="6590044" cy="23015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38100</xdr:colOff>
      <xdr:row>0</xdr:row>
      <xdr:rowOff>0</xdr:rowOff>
    </xdr:from>
    <xdr:to>
      <xdr:col>36</xdr:col>
      <xdr:colOff>209550</xdr:colOff>
      <xdr:row>0</xdr:row>
      <xdr:rowOff>171450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7002720" y="0"/>
          <a:ext cx="171450" cy="171450"/>
        </a:xfrm>
        <a:prstGeom prst="flowChartConnector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900"/>
            <a:t>BT</a:t>
          </a:r>
          <a:endParaRPr lang="en-US" sz="105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1219200</xdr:colOff>
          <xdr:row>0</xdr:row>
          <xdr:rowOff>66675</xdr:rowOff>
        </xdr:from>
        <xdr:to>
          <xdr:col>8</xdr:col>
          <xdr:colOff>381000</xdr:colOff>
          <xdr:row>1</xdr:row>
          <xdr:rowOff>304800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A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Reset the calculator values</a:t>
              </a:r>
            </a:p>
          </xdr:txBody>
        </xdr:sp>
        <xdr:clientData fPrintsWithSheet="0"/>
      </xdr:twoCellAnchor>
    </mc:Choice>
    <mc:Fallback/>
  </mc:AlternateContent>
  <xdr:twoCellAnchor>
    <xdr:from>
      <xdr:col>4</xdr:col>
      <xdr:colOff>7620</xdr:colOff>
      <xdr:row>0</xdr:row>
      <xdr:rowOff>175260</xdr:rowOff>
    </xdr:from>
    <xdr:to>
      <xdr:col>5</xdr:col>
      <xdr:colOff>7620</xdr:colOff>
      <xdr:row>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79220" y="175260"/>
          <a:ext cx="2156460" cy="381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t"/>
        <a:lstStyle/>
        <a:p>
          <a:r>
            <a:rPr lang="en-US" sz="1200" b="1">
              <a:solidFill>
                <a:srgbClr val="FF0000"/>
              </a:solidFill>
            </a:rPr>
            <a:t>Please</a:t>
          </a:r>
          <a:r>
            <a:rPr lang="en-US" sz="1200" b="1" baseline="0">
              <a:solidFill>
                <a:srgbClr val="FF0000"/>
              </a:solidFill>
            </a:rPr>
            <a:t> answer each question before entering PS resources</a:t>
          </a:r>
          <a:endParaRPr lang="en-US" sz="1200" b="1">
            <a:solidFill>
              <a:srgbClr val="FF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28575</xdr:colOff>
          <xdr:row>44</xdr:row>
          <xdr:rowOff>161925</xdr:rowOff>
        </xdr:from>
        <xdr:to>
          <xdr:col>4</xdr:col>
          <xdr:colOff>1219200</xdr:colOff>
          <xdr:row>46</xdr:row>
          <xdr:rowOff>142875</xdr:rowOff>
        </xdr:to>
        <xdr:sp macro="" textlink="">
          <xdr:nvSpPr>
            <xdr:cNvPr id="18434" name="Butto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A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more rows to table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9</xdr:col>
      <xdr:colOff>8374</xdr:colOff>
      <xdr:row>1</xdr:row>
      <xdr:rowOff>9236</xdr:rowOff>
    </xdr:from>
    <xdr:to>
      <xdr:col>13</xdr:col>
      <xdr:colOff>701647</xdr:colOff>
      <xdr:row>6</xdr:row>
      <xdr:rowOff>15994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7154" y="192116"/>
          <a:ext cx="6038703" cy="18279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xglobal-my.sharepoint.com/personal/brijesh_tripathi_rackspace_com/Documents/PS/Models/2023%20Modelling/Private%20Cloud/Archive/20240325%20PS%20Calculator%20v1.xlsm" TargetMode="External"/><Relationship Id="rId1" Type="http://schemas.openxmlformats.org/officeDocument/2006/relationships/externalLinkPath" Target="/personal/brijesh_tripathi_rackspace_com/Documents/PS/Models/2023%20Modelling/Private%20Cloud/Archive/20240325%20PS%20Calculator%20v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ij0331\OneDrive%20-%20Rackspace%20Inc\temp%20online\Wednesday\PUB%20FY23%20Cost%20Model%20-%20ver%206.3%20-%20No%20Password.xlsx" TargetMode="External"/><Relationship Id="rId1" Type="http://schemas.openxmlformats.org/officeDocument/2006/relationships/externalLinkPath" Target="/Users/brij0331/OneDrive%20-%20Rackspace%20Inc/temp%20online/Wednesday/PUB%20FY23%20Cost%20Model%20-%20ver%206.3%20-%20No%20Passwor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xglobal-my.sharepoint.com/personal/brijesh_tripathi_rackspace_com/Documents/PS/Models/2023%20Modelling/June%202023/All%20rate%20cards/PS%202023%20model%20v8.28.2023_Master.xlsx" TargetMode="External"/><Relationship Id="rId1" Type="http://schemas.openxmlformats.org/officeDocument/2006/relationships/externalLinkPath" Target="/personal/brijesh_tripathi_rackspace_com/Documents/PS/Models/2023%20Modelling/June%202023/All%20rate%20cards/PS%202023%20model%20v8.28.2023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 History"/>
      <sheetName val="Summary"/>
      <sheetName val="Reference"/>
      <sheetName val="price at custom"/>
      <sheetName val="Calculator"/>
      <sheetName val="Calculator _linked to resource"/>
      <sheetName val="Price Tables "/>
      <sheetName val="Resource Plan"/>
      <sheetName val="LOE"/>
      <sheetName val="Milestones"/>
      <sheetName val="Working sheet 1"/>
      <sheetName val="Working Sheet 2"/>
      <sheetName val="Working Sheet 3"/>
      <sheetName val="Costs"/>
      <sheetName val="20240325 PS Calculator 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ummary"/>
      <sheetName val="Cost Model"/>
      <sheetName val="Workings Sheet1"/>
      <sheetName val="Workings Sheet2"/>
      <sheetName val="Workings Sheet3"/>
      <sheetName val="T&amp;M - Minimum Price Cards"/>
      <sheetName val="Calender"/>
      <sheetName val="How to fill in a cost model"/>
      <sheetName val="Version History"/>
      <sheetName val="Parameters"/>
    </sheetNames>
    <sheetDataSet>
      <sheetData sheetId="0">
        <row r="13">
          <cell r="C13"/>
        </row>
        <row r="29">
          <cell r="C29">
            <v>0.33441057352340992</v>
          </cell>
        </row>
      </sheetData>
      <sheetData sheetId="1">
        <row r="16">
          <cell r="H16">
            <v>62185.677809217894</v>
          </cell>
        </row>
        <row r="17">
          <cell r="H17">
            <v>40765.129628095354</v>
          </cell>
        </row>
        <row r="18">
          <cell r="H18">
            <v>0</v>
          </cell>
        </row>
        <row r="19">
          <cell r="H19">
            <v>0</v>
          </cell>
        </row>
        <row r="21">
          <cell r="H21">
            <v>-19732.667482338693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E1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US Rackers under Dusshyant"/>
      <sheetName val="Import"/>
      <sheetName val="Ref Table"/>
      <sheetName val="Import Summary"/>
      <sheetName val="Assumptions"/>
      <sheetName val="Analysis tab"/>
      <sheetName val="Rate Card-TT"/>
      <sheetName val="Rate Card"/>
      <sheetName val="Data Rate Analysis"/>
      <sheetName val="Salary Range _DK org"/>
      <sheetName val="Exchange Rate"/>
      <sheetName val="EMEA Current Rates"/>
      <sheetName val="Parsing -EMEA"/>
      <sheetName val="Parsing - APJ"/>
      <sheetName val="cost centers"/>
      <sheetName val="Egy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FD0F2C-1E02-41F3-972E-85C4B507FCC7}" name="tb_practices" displayName="tb_practices" ref="C3:C13" totalsRowCount="1" headerRowDxfId="846" dataDxfId="844" totalsRowDxfId="842" headerRowBorderDxfId="845" tableBorderDxfId="843">
  <autoFilter ref="C3:C12" xr:uid="{C9FD0F2C-1E02-41F3-972E-85C4B507FCC7}"/>
  <tableColumns count="1">
    <tableColumn id="1" xr3:uid="{2DDC14FB-2B38-429C-BE05-739C3E0640BE}" name="Practice Area" dataDxfId="841" totalsRowDxfId="8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1E744A-0734-4CA5-AF28-9D9AB751FDA6}" name="TbCountries" displayName="TbCountries" ref="E3:E17" totalsRowShown="0" headerRowDxfId="839" dataDxfId="837" headerRowBorderDxfId="838" tableBorderDxfId="836" dataCellStyle="Normal 2">
  <autoFilter ref="E3:E17" xr:uid="{A41E744A-0734-4CA5-AF28-9D9AB751FDA6}"/>
  <tableColumns count="1">
    <tableColumn id="1" xr3:uid="{4C6E8B80-3C4B-4B25-A78A-6D23499C47C8}" name="Region Sourced from" dataDxfId="835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2E9CC3-992F-4E04-8F37-AF3E40D577C1}" name="tb_roles" displayName="tb_roles" ref="G3:H15" totalsRowShown="0" headerRowBorderDxfId="834" tableBorderDxfId="833">
  <autoFilter ref="G3:H15" xr:uid="{F12E9CC3-992F-4E04-8F37-AF3E40D577C1}"/>
  <tableColumns count="2">
    <tableColumn id="1" xr3:uid="{9CD37133-9306-41AC-8BBC-458CAE4C6F5D}" name="Role" dataDxfId="832" dataCellStyle="Normal 2"/>
    <tableColumn id="2" xr3:uid="{E1DA2311-B20D-4C68-B4CC-F7D70D9D52FE}" name="Job Profile" dataDxfId="8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BA32A5-3A8E-4142-AEE0-C4107D09DF84}" name="Other_roles" displayName="Other_roles" ref="G20:H30" totalsRowShown="0" headerRowDxfId="830" headerRowBorderDxfId="829" tableBorderDxfId="828">
  <autoFilter ref="G20:H30" xr:uid="{3ABA32A5-3A8E-4142-AEE0-C4107D09DF84}"/>
  <sortState xmlns:xlrd2="http://schemas.microsoft.com/office/spreadsheetml/2017/richdata2" ref="G21:H30">
    <sortCondition ref="H20:H30"/>
  </sortState>
  <tableColumns count="2">
    <tableColumn id="1" xr3:uid="{809F5D53-18B7-48D5-8340-14DEEA821A82}" name="Roles" dataDxfId="827"/>
    <tableColumn id="2" xr3:uid="{9FED16CC-C846-4E1B-9F12-F4BBE1479420}" name="mapped to" dataDxfId="8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9D30432-5302-411D-AFB7-B66B29FE8889}" name="tb_role_map" displayName="tb_role_map" ref="W2:X53" totalsRowShown="0">
  <autoFilter ref="W2:X53" xr:uid="{79D30432-5302-411D-AFB7-B66B29FE8889}"/>
  <tableColumns count="2">
    <tableColumn id="1" xr3:uid="{7401544C-ECB3-4EBB-98B5-115D682203A5}" name="Role"/>
    <tableColumn id="2" xr3:uid="{949D6FE2-AE88-4731-8498-E407C8ED2910}" name="SOW Ro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B3E6E-ABE1-4E92-B1F8-66C8576C73F0}" name="tb_resource" displayName="tb_resource" ref="B22:V43" totalsRowShown="0" headerRowDxfId="825" tableBorderDxfId="824">
  <autoFilter ref="B22:V43" xr:uid="{55AB3E6E-ABE1-4E92-B1F8-66C8576C73F0}"/>
  <tableColumns count="21">
    <tableColumn id="1" xr3:uid="{BA70891A-D53E-4A47-9965-7E25A0960057}" name="Cost" dataDxfId="823">
      <calculatedColumnFormula>IFERROR(
    INDEX(
        CHOOSE(
            MATCH(E23, practices, 0),
            costAps,
            costData,
            costSec,
            costAdv,
            costProd,
            costPvtCld,
            costSdaia,
            costErp,
           costHealth
        ),
        MATCH($G23,INDIRECT( "roles_"&amp;MATCH(E23, practices, 0)), 0),
        MATCH($F23, countries, 0))
     *
    INDEX(fx, MATCH($F$6, currency, 0)) *
    IF($F$7 = "Days", 8, 1),
    ""
)</calculatedColumnFormula>
    </tableColumn>
    <tableColumn id="2" xr3:uid="{0B960BAB-5C7D-43EA-89D6-114C890AC325}" name="Flag if role is not planned" dataDxfId="822">
      <calculatedColumnFormula>IF(AND( tb_resource[[#This Row],[Practice Area]]&lt;&gt;0,OR(R23=0,R23="")),1,0)</calculatedColumnFormula>
    </tableColumn>
    <tableColumn id="3" xr3:uid="{281D2E1D-EC56-4817-A76A-7D971BD7EB77}" name="SN" dataDxfId="821">
      <calculatedColumnFormula>IF(E23="","",D22+1)</calculatedColumnFormula>
    </tableColumn>
    <tableColumn id="4" xr3:uid="{45295650-161B-40BE-8872-4B52DBF16DAB}" name="Practice Area" dataDxfId="820"/>
    <tableColumn id="5" xr3:uid="{1B47793B-188F-4EC6-AE1E-DF105A860517}" name="Region Sourced from" dataDxfId="819"/>
    <tableColumn id="6" xr3:uid="{3229DC56-2BB1-420E-8ECB-AD9DDD1F27BC}" name="Role" dataDxfId="818"/>
    <tableColumn id="7" xr3:uid="{940E3BA0-30E1-4C3C-B986-6C2D2576E130}" name="Hours" dataDxfId="817">
      <calculatedColumnFormula>20*12</calculatedColumnFormula>
    </tableColumn>
    <tableColumn id="8" xr3:uid="{C182CB8E-2F6C-475B-8889-7102EC6B07C4}" name="Price/hr" dataDxfId="816">
      <calculatedColumnFormula>IFERROR(ROUNDUP(IF(J23="List Price",S23*IF($F$9="Master",1.1,IF($F$9="Sub-agent",1.05,1))*IF($F$3="Fixed Price",1.1,1),IF(K23&lt;1,B23/(1-K23),K23)),0),"")</calculatedColumnFormula>
    </tableColumn>
    <tableColumn id="9" xr3:uid="{AFB27879-098C-4827-BB56-23D7E8F0EC6F}" name="Default Price or Strategic Margin" dataDxfId="815"/>
    <tableColumn id="10" xr3:uid="{CFCA0EC1-029C-4E0D-B339-3BA8BD520D9B}" name="Enter Margin Value" dataDxfId="814"/>
    <tableColumn id="11" xr3:uid="{B6C77A32-4151-4CBE-8524-814E2E844E0F}" name="Extended Price" dataDxfId="813">
      <calculatedColumnFormula>IF(S23="","",H23*I23)</calculatedColumnFormula>
    </tableColumn>
    <tableColumn id="18" xr3:uid="{68C23E50-CE62-4AA5-9799-AEEA56E12779}" name="Column1" dataDxfId="812">
      <calculatedColumnFormula>B23</calculatedColumnFormula>
    </tableColumn>
    <tableColumn id="12" xr3:uid="{E707CF9C-480D-43F7-85CA-ACE9313E59D5}" name="Margins" dataDxfId="811">
      <calculatedColumnFormula>IFERROR(1-B23/I23,"")</calculatedColumnFormula>
    </tableColumn>
    <tableColumn id="13" xr3:uid="{563CC354-9F94-466C-ACCD-A08885FA0055}" name="Price" dataDxfId="810">
      <calculatedColumnFormula>IFERROR(tb_resource[[#This Row],[Price/hr]]*(1-$I$9),"")</calculatedColumnFormula>
    </tableColumn>
    <tableColumn id="14" xr3:uid="{1C282B6B-0864-4DEC-9921-BE04C83C3349}" name="Note (requirements, if any)" dataDxfId="809">
      <calculatedColumnFormula>IF(Calculator!$C23=-1,"No resource in region, please work with delivery and finance to get approvals for using this rate",IF(Calculator!$C23=1,"No resource in region or planned in future. Please get special approval from Finance and HR",""))</calculatedColumnFormula>
    </tableColumn>
    <tableColumn id="15" xr3:uid="{8FE56DF8-7703-49E5-9945-DFEF8A895279}" name="Comments" dataDxfId="808"/>
    <tableColumn id="16" xr3:uid="{98513703-4B52-4F2C-AA0F-BD10B49A5B87}" name="Count of resources available in region" dataDxfId="807">
      <calculatedColumnFormula>IFERROR(
    INDEX(
        CHOOSE(
            MATCH(E23, practices, 0),
            countAps,
            countData,
            countSec,
            countAdv,
            countProd,
            CountPvtCld,
            countSdaia,
            countErp,
            CountHealth
        ),
        MATCH($G23, INDIRECT( "roles_"&amp;MATCH(E23, practices, 0)), 0),
        MATCH($F23, countries, 0)),
    ""
)</calculatedColumnFormula>
    </tableColumn>
    <tableColumn id="17" xr3:uid="{4F35A2BC-7725-48D9-A926-A809172B1364}" name="Suggested min. Price " dataDxfId="806">
      <calculatedColumnFormula>IFERROR(
    INDEX(
        CHOOSE(
            MATCH(E23, practices, 0),
            priceAps,
            priceData,
            priceSec,
            priceAdv,
            priceProd,
            pricePvtCld,
            priceSdaia,
            priceErp,
           priceHealth
        ),
        MATCH($G23,INDIRECT( "roles_"&amp;MATCH(E23, practices, 0)), 0),
        MATCH($F23, countries, 0))
     *
    INDEX(fx, MATCH($F$6, currency, 0)) *
    IF($F$7 = "Days", 8, 1),
    ""
)</calculatedColumnFormula>
    </tableColumn>
    <tableColumn id="19" xr3:uid="{198773E2-2CDF-4D84-9BA9-66E9BCF23DEE}" name="cost of unavailable" dataDxfId="805">
      <calculatedColumnFormula>ROUNDUP(IFERROR(
    INDEX(
        CHOOSE(
            MATCH(E23, practices, 0),
            altcostAps,
            altcostData,
            altcostSec,
            altcostAdv,
            altcostProd,
            altcostPvtCld,
            altcostSdaia,
            altcostErp
        ),
        MATCH($G23,INDIRECT( "roles_"&amp;MATCH(E23, practices, 0)), 0),
        MATCH($F23, countries, 0))
     *
    INDEX(fx, MATCH($F$6, currency, 0)) *
    IF($F$7 = "Days", 8, 1),
    0
), 0)</calculatedColumnFormula>
    </tableColumn>
    <tableColumn id="20" xr3:uid="{6CE87F0F-F3A1-4198-9DBB-8A2507599599}" name="Other comments" dataDxfId="804">
      <calculatedColumnFormula>IF(AND(OR(T23=0,T23=""),tb_resource[[#This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INDEX(Other_roles[Roles],MATCH(Calculator!$G23,Other_roles[mapped to],0)),"")))</calculatedColumnFormula>
    </tableColumn>
    <tableColumn id="21" xr3:uid="{A61DCE38-FE59-480A-87FA-A4E53FE11D42}" name="Sow roles" dataDxfId="80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E6B26-EE36-4862-9196-54739FDF8BA1}" name="tb_supplier" displayName="tb_supplier" ref="D50:M72" totalsRowShown="0" headerRowDxfId="802" dataDxfId="800" headerRowBorderDxfId="801" tableBorderDxfId="799">
  <autoFilter ref="D50:M72" xr:uid="{1B6E6B26-EE36-4862-9196-54739FDF8BA1}"/>
  <tableColumns count="10">
    <tableColumn id="1" xr3:uid="{4A981A62-4C21-4F0A-A7BA-8FFFF5D1E7AD}" name="Item" dataDxfId="798"/>
    <tableColumn id="2" xr3:uid="{2486E02F-302E-412A-9BEA-FF6101F5CFE5}" name="External or Internal Cost" dataDxfId="797"/>
    <tableColumn id="3" xr3:uid="{AA7CE532-98DD-4C40-AC55-163038552EFD}" name="Type of cost (i.e. license or resources)" dataDxfId="796"/>
    <tableColumn id="4" xr3:uid="{23CA890B-2150-41B8-9E3E-E1CF08F6F95E}" name="Add details or comments" dataDxfId="795"/>
    <tableColumn id="6" xr3:uid="{787477B2-7251-4CA0-89EC-00AF585B3718}" name="Cost (per unit/ per hr/per day rate) to Rackspace" dataDxfId="794"/>
    <tableColumn id="9" xr3:uid="{965327D4-43AF-41C0-9104-E3BC61282A74}" name="Qty (In same as cost units)" dataDxfId="793"/>
    <tableColumn id="7" xr3:uid="{8952433C-BDF4-405F-97D1-4B584FC46560}" name="Enter required margin or Price" dataDxfId="792"/>
    <tableColumn id="10" xr3:uid="{92D3C33D-3647-45C8-8D62-7DF8AF4F64C8}" name="Price per unit" dataDxfId="791">
      <calculatedColumnFormula>tb_supplier[[#This Row],[Cost (per unit/ per hr/per day rate) to Rackspace]]*(1+tb_supplier[[#This Row],[Add contingency]])/(1-tb_supplier[[#This Row],[Enter required margin or Price]])</calculatedColumnFormula>
    </tableColumn>
    <tableColumn id="8" xr3:uid="{D24F8460-D141-4257-9DAD-F2A0A4C1E0AC}" name="Extended Price" dataDxfId="790">
      <calculatedColumnFormula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calculatedColumnFormula>
    </tableColumn>
    <tableColumn id="5" xr3:uid="{611A141D-678A-4323-90AD-7466D94504BB}" name="Add contingency" dataDxfId="78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0E642F1-70B6-44DA-AFE5-26245EC2F5A1}" name="TbCountAps22" displayName="TbCountAps22" ref="R3:AE14" totalsRowCount="1" headerRowDxfId="788" dataDxfId="787" tableBorderDxfId="786" headerRowCellStyle="Normal 2" dataCellStyle="Normal 2">
  <autoFilter ref="R3:AE13" xr:uid="{1C50E443-5CD0-4636-B7F5-F6CCFADDC613}"/>
  <tableColumns count="14">
    <tableColumn id="1" xr3:uid="{DAB85550-E422-46FB-BB0E-B37B0A256CFA}" name="PnA Count" dataDxfId="785" totalsRowDxfId="784" dataCellStyle="Normal 2"/>
    <tableColumn id="2" xr3:uid="{4B26E9FF-A06F-4C06-B83D-8FB9FE916513}" name="US" totalsRowFunction="sum" dataDxfId="783" totalsRowDxfId="782" dataCellStyle="Normal 2"/>
    <tableColumn id="3" xr3:uid="{2B5B79F6-99A0-4574-BAB4-11DBD7BD97EE}" name="UK" totalsRowFunction="sum" dataDxfId="781" totalsRowDxfId="780" dataCellStyle="Normal 2"/>
    <tableColumn id="4" xr3:uid="{E087D772-E32A-439A-B4E0-BACE04DE370E}" name="DE" totalsRowFunction="sum" dataDxfId="779" totalsRowDxfId="778" dataCellStyle="Normal 2"/>
    <tableColumn id="5" xr3:uid="{6456AAF4-B742-47B4-8D1F-2B625A91AD4E}" name="PL" totalsRowFunction="sum" dataDxfId="777" totalsRowDxfId="776" dataCellStyle="Normal 2"/>
    <tableColumn id="6" xr3:uid="{6CD5B9CB-93FB-4136-8619-D4D32021A8F8}" name="NL" totalsRowFunction="sum" dataDxfId="775" totalsRowDxfId="774" dataCellStyle="Normal 2"/>
    <tableColumn id="7" xr3:uid="{A0998BB1-EEE9-4830-88DC-39EECF25840F}" name="MX" totalsRowFunction="sum" dataDxfId="773" totalsRowDxfId="772" dataCellStyle="Normal 2"/>
    <tableColumn id="8" xr3:uid="{E1B758C2-0239-475B-BF9C-8E7E8B32F9F6}" name="IN" totalsRowFunction="sum" dataDxfId="771" totalsRowDxfId="770" dataCellStyle="Normal 2"/>
    <tableColumn id="9" xr3:uid="{27E101A0-E6F5-494A-897F-BCE5A1EA8C09}" name="EG" totalsRowFunction="sum" dataDxfId="769" totalsRowDxfId="768" dataCellStyle="Normal 2"/>
    <tableColumn id="10" xr3:uid="{D931DC93-30E9-42E5-A2C2-07DFCC22F77C}" name="CAN" totalsRowFunction="sum" dataDxfId="767" totalsRowDxfId="766" dataCellStyle="Normal 2"/>
    <tableColumn id="11" xr3:uid="{8C36EEA1-0F43-459C-8370-30FE95405A4A}" name="AU" totalsRowFunction="sum" dataDxfId="765" totalsRowDxfId="764" dataCellStyle="Normal 2"/>
    <tableColumn id="12" xr3:uid="{0524FBDD-EA9C-4B2B-B5C0-7D7A0B538491}" name="AE" totalsRowFunction="sum" dataDxfId="763" totalsRowDxfId="762" dataCellStyle="Normal 2"/>
    <tableColumn id="13" xr3:uid="{3388CB8E-D35D-4F81-9A2F-35296AA075AE}" name="SG" totalsRowFunction="sum" dataDxfId="761" totalsRowDxfId="760" dataCellStyle="Normal 2"/>
    <tableColumn id="14" xr3:uid="{DC3607C1-11B5-4F8C-823E-E5E2890F9379}" name="VN" totalsRowFunction="sum" dataDxfId="759" totalsRowDxfId="758" dataCellStyle="Normal 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0F658DF-39D4-46A4-BE4B-F35902770166}" name="TbCountData24" displayName="TbCountData24" ref="R17:AE28" totalsRowCount="1" headerRowDxfId="757" dataDxfId="756" tableBorderDxfId="755" headerRowCellStyle="Normal 2" dataCellStyle="Normal 2">
  <autoFilter ref="R17:AE27" xr:uid="{74B0F415-6B0D-4087-8797-6F8DF3E6EBF6}"/>
  <tableColumns count="14">
    <tableColumn id="1" xr3:uid="{3ED2123D-34DF-422D-8F13-276FBF356BDA}" name="Data Count" dataDxfId="754" totalsRowDxfId="753" dataCellStyle="Normal 2"/>
    <tableColumn id="2" xr3:uid="{61B1B05B-AAC6-494B-856B-2902D7142FCF}" name="US" totalsRowFunction="sum" dataDxfId="752" totalsRowDxfId="751" dataCellStyle="Normal 2"/>
    <tableColumn id="3" xr3:uid="{048CA052-65DB-49EE-8D0F-121499066B51}" name="UK" totalsRowFunction="sum" dataDxfId="750" totalsRowDxfId="749" dataCellStyle="Normal 2"/>
    <tableColumn id="4" xr3:uid="{44ABEE63-1258-4A49-A0D2-A7A0A1190540}" name="DE" totalsRowFunction="sum" dataDxfId="748" totalsRowDxfId="747" dataCellStyle="Normal 2"/>
    <tableColumn id="5" xr3:uid="{32430C3B-CCAE-46CA-86FB-0E2F727A6298}" name="PL" totalsRowFunction="sum" dataDxfId="746" totalsRowDxfId="745" dataCellStyle="Normal 2"/>
    <tableColumn id="6" xr3:uid="{E29C6F21-A2D8-49A7-8522-8F3782E488E8}" name="NL" totalsRowFunction="sum" dataDxfId="744" totalsRowDxfId="743" dataCellStyle="Normal 2"/>
    <tableColumn id="7" xr3:uid="{4B193834-07B1-45AA-9544-043AFE8A2C5B}" name="MX" totalsRowFunction="sum" dataDxfId="742" totalsRowDxfId="741" dataCellStyle="Normal 2"/>
    <tableColumn id="8" xr3:uid="{B04D3B16-DF36-48DF-B743-82209A8CCEAD}" name="IN" totalsRowFunction="sum" dataDxfId="740" totalsRowDxfId="739" dataCellStyle="Normal 2"/>
    <tableColumn id="9" xr3:uid="{AD1E5428-FFD5-49EB-B7C1-8B60A7512332}" name="EG" totalsRowFunction="sum" dataDxfId="738" totalsRowDxfId="737" dataCellStyle="Normal 2"/>
    <tableColumn id="10" xr3:uid="{33EA1750-A37B-4270-9B51-FC67C138A09A}" name="CAN" totalsRowFunction="sum" dataDxfId="736" totalsRowDxfId="735" dataCellStyle="Normal 2"/>
    <tableColumn id="11" xr3:uid="{117B3010-64D9-4C53-A3D6-3E1EF65CE2B8}" name="AU" totalsRowFunction="sum" dataDxfId="734" totalsRowDxfId="733" dataCellStyle="Normal 2"/>
    <tableColumn id="12" xr3:uid="{D8067401-EC9B-47D2-9BFC-1F6402287695}" name="AE" totalsRowFunction="sum" dataDxfId="732" totalsRowDxfId="731" dataCellStyle="Normal 2"/>
    <tableColumn id="13" xr3:uid="{3F6531B9-1885-40A6-8082-F15DF8E1BA95}" name="SG" totalsRowFunction="sum" dataDxfId="730" totalsRowDxfId="729" dataCellStyle="Normal 2"/>
    <tableColumn id="14" xr3:uid="{F9273C74-6893-4AEF-BF30-A31F8450258A}" name="VN" totalsRowFunction="sum" dataDxfId="728" totalsRowDxfId="727" dataCellStyle="Normal 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C3C6DC8-A81A-4B8A-8DE5-2E080DE4ED17}" name="TbCostData25" displayName="TbCostData25" ref="B17:P29" totalsRowShown="0" headerRowDxfId="726" dataDxfId="725" tableBorderDxfId="724" headerRowCellStyle="Normal 2" dataCellStyle="Normal 2">
  <autoFilter ref="B17:P29" xr:uid="{D823E208-D3E6-451D-9634-7F7D04E7EF8C}"/>
  <tableColumns count="15">
    <tableColumn id="1" xr3:uid="{53F17FDC-3D10-4BCD-93D8-D05EB7191CF8}" name="Data Price" dataDxfId="723" dataCellStyle="Normal 2"/>
    <tableColumn id="2" xr3:uid="{B7F42166-7694-4B80-AFD5-4E33BE41FA13}" name="US" dataDxfId="722" dataCellStyle="Normal 2"/>
    <tableColumn id="3" xr3:uid="{B263A4A5-801C-49D6-B971-49DCEFBA0A1C}" name="UK" dataDxfId="721" dataCellStyle="Normal 2"/>
    <tableColumn id="4" xr3:uid="{459B955A-5803-4279-80D9-9BDEB1A3C2E8}" name="DE" dataDxfId="720" dataCellStyle="Normal 2"/>
    <tableColumn id="5" xr3:uid="{F267514E-5D35-4303-A097-48CF41E68812}" name="PL" dataDxfId="719" dataCellStyle="Normal 2"/>
    <tableColumn id="6" xr3:uid="{26B3E57A-F237-4D32-9DAD-2F6002D87627}" name="NL" dataDxfId="718" dataCellStyle="Normal 2"/>
    <tableColumn id="7" xr3:uid="{E59B322C-91E6-4F75-9612-27E153928C58}" name="MX" dataDxfId="717" dataCellStyle="Normal 2"/>
    <tableColumn id="8" xr3:uid="{162CC515-3AC7-48A6-8404-599A62FD3D12}" name="IN" dataDxfId="716" dataCellStyle="Normal 2"/>
    <tableColumn id="9" xr3:uid="{2ADCCF54-5934-4615-86F3-3E23ED3699E7}" name="EG" dataDxfId="715" dataCellStyle="Normal 2"/>
    <tableColumn id="10" xr3:uid="{BD8BA0F7-F2AD-4B32-81B2-43BC23A34F29}" name="CAN" dataDxfId="714" dataCellStyle="Normal 2"/>
    <tableColumn id="11" xr3:uid="{31BAD596-F27F-45BD-B100-B52804BF2BC0}" name="AU" dataDxfId="713" dataCellStyle="Normal 2"/>
    <tableColumn id="12" xr3:uid="{3CA45CCF-1F3B-4CAA-9537-07FD8E17637C}" name="AE" dataDxfId="712" dataCellStyle="Normal 2"/>
    <tableColumn id="13" xr3:uid="{47C8E905-92B0-46E0-8911-288338606488}" name="SG" dataDxfId="711" dataCellStyle="Normal 2"/>
    <tableColumn id="14" xr3:uid="{7A6F38B2-E4EB-43F2-9023-B1FEF50382A2}" name="VN" dataDxfId="710" dataCellStyle="Normal 2"/>
    <tableColumn id="15" xr3:uid="{B009DB03-71EB-420F-934B-58C50BBA944F}" name="Column1" dataDxfId="709" dataCellStyle="Normal 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7513308-F565-401E-94D6-5F8927300B9F}" name="TbCountSec26" displayName="TbCountSec26" ref="R32:AE43" totalsRowCount="1" headerRowDxfId="708" dataDxfId="707" tableBorderDxfId="706" headerRowCellStyle="Normal 2" dataCellStyle="Normal 2">
  <autoFilter ref="R32:AE42" xr:uid="{B5C597DF-1131-4EC6-9717-02A71CB147DC}"/>
  <tableColumns count="14">
    <tableColumn id="1" xr3:uid="{91DCDB6F-42EF-4F70-AD68-ADA003C410BE}" name="Security Count" dataDxfId="705" totalsRowDxfId="704" dataCellStyle="Normal 2"/>
    <tableColumn id="2" xr3:uid="{E5670D8D-4B52-47FB-BF84-4122A4C8F123}" name="US" totalsRowFunction="sum" dataDxfId="703" totalsRowDxfId="702" dataCellStyle="Normal 2"/>
    <tableColumn id="3" xr3:uid="{92A08EDB-EF89-4C82-91DD-3B39C476534B}" name="UK" totalsRowFunction="sum" dataDxfId="701" totalsRowDxfId="700" dataCellStyle="Normal 2"/>
    <tableColumn id="4" xr3:uid="{89D89F27-6B8D-4D00-B4BE-30C088936E0F}" name="DE" totalsRowFunction="sum" dataDxfId="699" totalsRowDxfId="698" dataCellStyle="Normal 2"/>
    <tableColumn id="5" xr3:uid="{F309B31F-FE8B-451D-87C6-C15CC82BBF69}" name="PL" totalsRowFunction="sum" dataDxfId="697" totalsRowDxfId="696" dataCellStyle="Normal 2"/>
    <tableColumn id="6" xr3:uid="{28623C65-868C-4B67-951C-14DC21DD06F0}" name="NL" totalsRowFunction="sum" dataDxfId="695" totalsRowDxfId="694" dataCellStyle="Normal 2"/>
    <tableColumn id="7" xr3:uid="{D12FB248-E0D1-4144-9477-8A7D980AB73B}" name="MX" totalsRowFunction="sum" dataDxfId="693" totalsRowDxfId="692" dataCellStyle="Normal 2"/>
    <tableColumn id="8" xr3:uid="{29B652FB-537C-436D-A024-0216BD11E697}" name="IN" totalsRowFunction="sum" dataDxfId="691" totalsRowDxfId="690" dataCellStyle="Normal 2"/>
    <tableColumn id="9" xr3:uid="{4C379A74-6AC4-49F8-872F-7782278E803E}" name="EG" totalsRowFunction="sum" dataDxfId="689" totalsRowDxfId="688" dataCellStyle="Normal 2"/>
    <tableColumn id="10" xr3:uid="{2587015A-5ED3-4B6A-ABF9-13913343E9F0}" name="CAN" totalsRowFunction="sum" dataDxfId="687" totalsRowDxfId="686" dataCellStyle="Normal 2"/>
    <tableColumn id="11" xr3:uid="{C5BC8B45-36E5-434B-9E45-06C4D0577E52}" name="AU" totalsRowFunction="sum" dataDxfId="685" totalsRowDxfId="684" dataCellStyle="Normal 2"/>
    <tableColumn id="12" xr3:uid="{F893C0CD-8E31-4697-B403-0EF51C932952}" name="AE" totalsRowFunction="sum" dataDxfId="683" totalsRowDxfId="682" dataCellStyle="Normal 2"/>
    <tableColumn id="13" xr3:uid="{ADC8B9B8-5F38-4D9F-BE4E-9261143B7499}" name="SG" totalsRowFunction="sum" dataDxfId="681" totalsRowDxfId="680" dataCellStyle="Normal 2"/>
    <tableColumn id="14" xr3:uid="{F19F22AD-B87D-496A-9A1E-BF270D5AC3B1}" name="VN" totalsRowFunction="sum" dataDxfId="679" totalsRowDxfId="678" dataCellStyle="Normal 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8BC3D23-E44A-41C7-84FA-A30D80DDF0CA}" name="TbCountAdv27" displayName="TbCountAdv27" ref="R47:AE58" totalsRowCount="1" headerRowDxfId="677" dataDxfId="676" tableBorderDxfId="675" headerRowCellStyle="Normal 2" dataCellStyle="Normal 2">
  <autoFilter ref="R47:AE57" xr:uid="{5DA6896D-7F9A-4D33-8838-1E1DA74B394E}"/>
  <tableColumns count="14">
    <tableColumn id="1" xr3:uid="{894D51BF-6AFB-4604-8F19-9D06F2B65002}" name="Advisory Count" dataDxfId="674" totalsRowDxfId="673" dataCellStyle="Normal 2"/>
    <tableColumn id="2" xr3:uid="{191618F6-BB90-40B8-A70B-C7B80B0580D0}" name="US" totalsRowFunction="sum" dataDxfId="672" totalsRowDxfId="671" dataCellStyle="Normal 2"/>
    <tableColumn id="3" xr3:uid="{8CC3F25E-030D-4687-92EF-82241F240B52}" name="UK" totalsRowFunction="sum" dataDxfId="670" totalsRowDxfId="669" dataCellStyle="Normal 2"/>
    <tableColumn id="4" xr3:uid="{7D431C27-3FBF-45AE-83F8-38D13FB329C9}" name="DE" totalsRowFunction="sum" dataDxfId="668" totalsRowDxfId="667" dataCellStyle="Normal 2"/>
    <tableColumn id="5" xr3:uid="{62043B24-0D82-4D77-BCD3-7C35671E76D0}" name="PL" totalsRowFunction="sum" dataDxfId="666" totalsRowDxfId="665" dataCellStyle="Normal 2"/>
    <tableColumn id="6" xr3:uid="{0AEAB572-B85C-449E-A747-25089B2D4F7A}" name="NL" totalsRowFunction="sum" dataDxfId="664" totalsRowDxfId="663" dataCellStyle="Normal 2"/>
    <tableColumn id="7" xr3:uid="{ECA6A1F6-ECDA-4A57-9E30-FF8499E3160F}" name="MX" totalsRowFunction="sum" dataDxfId="662" totalsRowDxfId="661" dataCellStyle="Normal 2"/>
    <tableColumn id="8" xr3:uid="{BB79FCE1-C959-45D6-B686-31B4DDFBB0BC}" name="IN" totalsRowFunction="sum" dataDxfId="660" totalsRowDxfId="659" dataCellStyle="Normal 2"/>
    <tableColumn id="9" xr3:uid="{AAE14DDA-D2CF-42CC-BD12-C5CA24D05E21}" name="EG" totalsRowFunction="sum" dataDxfId="658" totalsRowDxfId="657" dataCellStyle="Normal 2"/>
    <tableColumn id="10" xr3:uid="{FF8C39B4-0BB8-4080-A8B1-F581BD38A6F9}" name="CAN" totalsRowFunction="sum" dataDxfId="656" totalsRowDxfId="655" dataCellStyle="Normal 2"/>
    <tableColumn id="11" xr3:uid="{8A3FCCAE-2D43-405E-8796-B5EAC679DBA6}" name="AU" totalsRowFunction="sum" dataDxfId="654" totalsRowDxfId="653" dataCellStyle="Normal 2"/>
    <tableColumn id="12" xr3:uid="{B9D71FB8-39C5-4456-9B1F-37AB80CD1FD9}" name="AE" totalsRowFunction="sum" dataDxfId="652" totalsRowDxfId="651" dataCellStyle="Normal 2"/>
    <tableColumn id="13" xr3:uid="{5DC2371A-F5B4-4370-BADE-40A0AB63E8C5}" name="SG" totalsRowFunction="sum" dataDxfId="650" totalsRowDxfId="649" dataCellStyle="Normal 2"/>
    <tableColumn id="14" xr3:uid="{22B07BE2-193A-4F49-8078-00EE19EE945F}" name="VN" totalsRowFunction="sum" dataDxfId="648" totalsRowDxfId="647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97BE990-96AA-414A-8CAB-CDF5B39E3026}" name="TbCountProd28" displayName="TbCountProd28" ref="R62:AE73" totalsRowCount="1" headerRowDxfId="646" dataDxfId="645" tableBorderDxfId="644" headerRowCellStyle="Normal 2" dataCellStyle="Normal 2">
  <autoFilter ref="R62:AE72" xr:uid="{3F3E06A0-3EB8-453E-BE44-DE8746206FE0}"/>
  <tableColumns count="14">
    <tableColumn id="1" xr3:uid="{75C5F0BD-2710-4BB5-9BB2-0F061CCBBF37}" name="Productivity Count" dataDxfId="643" totalsRowDxfId="642" dataCellStyle="Normal 2"/>
    <tableColumn id="2" xr3:uid="{6D62F718-B244-4E1B-AD99-5E21FBF934D9}" name="US" totalsRowFunction="sum" dataDxfId="641" totalsRowDxfId="640" dataCellStyle="Normal 2"/>
    <tableColumn id="3" xr3:uid="{B9A95042-CF18-4C4F-96A6-B9F19DAE8C64}" name="UK" totalsRowFunction="sum" dataDxfId="639" totalsRowDxfId="638" dataCellStyle="Normal 2"/>
    <tableColumn id="4" xr3:uid="{810AC815-0E23-401D-9721-5A7A818CED02}" name="DE" totalsRowFunction="sum" dataDxfId="637" totalsRowDxfId="636" dataCellStyle="Normal 2"/>
    <tableColumn id="5" xr3:uid="{0716BF84-FCF2-4CB0-A731-3E8337B2B356}" name="PL" totalsRowFunction="sum" dataDxfId="635" totalsRowDxfId="634" dataCellStyle="Normal 2"/>
    <tableColumn id="6" xr3:uid="{CCA6E719-6740-46E9-A44E-51731DE7A1EC}" name="NL" totalsRowFunction="sum" dataDxfId="633" totalsRowDxfId="632" dataCellStyle="Normal 2"/>
    <tableColumn id="7" xr3:uid="{5330F430-4D89-481F-9051-02E612B73545}" name="MX" totalsRowFunction="sum" dataDxfId="631" totalsRowDxfId="630" dataCellStyle="Normal 2"/>
    <tableColumn id="8" xr3:uid="{18B0DA47-8E0F-4A88-B61C-99644E0BDFFC}" name="IN" totalsRowFunction="sum" dataDxfId="629" totalsRowDxfId="628" dataCellStyle="Normal 2"/>
    <tableColumn id="9" xr3:uid="{199D1BAB-C87F-476D-A89A-97A5A52876E2}" name="EG" totalsRowFunction="sum" dataDxfId="627" totalsRowDxfId="626" dataCellStyle="Normal 2"/>
    <tableColumn id="10" xr3:uid="{5F246CD1-BEFC-4199-8111-64A2A2BEAEB8}" name="CAN" totalsRowFunction="sum" dataDxfId="625" totalsRowDxfId="624" dataCellStyle="Normal 2"/>
    <tableColumn id="11" xr3:uid="{8E3FBE7D-4C71-4C24-9DD1-C9615F9D418C}" name="AU" totalsRowFunction="sum" dataDxfId="623" totalsRowDxfId="622" dataCellStyle="Normal 2"/>
    <tableColumn id="12" xr3:uid="{C633A4E3-765C-498E-95E6-3EFA9879860D}" name="AE" totalsRowFunction="sum" dataDxfId="621" totalsRowDxfId="620" dataCellStyle="Normal 2"/>
    <tableColumn id="13" xr3:uid="{14C2BC76-F61C-489D-9A34-4CCB7817C807}" name="SG" totalsRowFunction="sum" dataDxfId="619" totalsRowDxfId="618" dataCellStyle="Normal 2"/>
    <tableColumn id="14" xr3:uid="{1A67184A-DA2D-438C-BAA8-CF98A69B22F1}" name="VN" totalsRowFunction="sum" dataDxfId="617" totalsRowDxfId="616" dataCellStyle="Normal 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F5781FB-A4DD-4401-8032-AA031F7467D4}" name="TbCountErp29" displayName="TbCountErp29" ref="R110:AE123" totalsRowCount="1" headerRowDxfId="615" dataDxfId="614" tableBorderDxfId="613" headerRowCellStyle="Normal 2" dataCellStyle="Normal 2">
  <autoFilter ref="R110:AE122" xr:uid="{42074F27-F85A-4FEF-8A5A-0833B3B3B5F9}"/>
  <tableColumns count="14">
    <tableColumn id="1" xr3:uid="{6774F9B1-25C8-49B8-82CE-2778114F7E7A}" name="ERP Count" dataDxfId="612" totalsRowDxfId="611" dataCellStyle="Normal 2"/>
    <tableColumn id="2" xr3:uid="{464FA003-E9E0-4222-AF57-4B3FB8649A30}" name="US" totalsRowFunction="sum" dataDxfId="610" totalsRowDxfId="609" dataCellStyle="Normal 2"/>
    <tableColumn id="3" xr3:uid="{36E5DD58-2146-4CCA-8961-3CEF79DAE164}" name="UK" totalsRowFunction="sum" dataDxfId="608" totalsRowDxfId="607" dataCellStyle="Normal 2"/>
    <tableColumn id="4" xr3:uid="{68AA6A87-0C63-4CA9-B969-861A572C230F}" name="DE" totalsRowFunction="sum" dataDxfId="606" totalsRowDxfId="605" dataCellStyle="Normal 2"/>
    <tableColumn id="5" xr3:uid="{C3ECE3E3-BE08-40C9-8474-90A62D8DC7DD}" name="PL" totalsRowFunction="sum" dataDxfId="604" totalsRowDxfId="603" dataCellStyle="Normal 2"/>
    <tableColumn id="6" xr3:uid="{61A7E3D9-869B-4F5C-B5D6-1F6C13CFE467}" name="NL" totalsRowFunction="sum" dataDxfId="602" totalsRowDxfId="601" dataCellStyle="Normal 2"/>
    <tableColumn id="7" xr3:uid="{0CBF5849-32EE-4ECB-96A5-22BE774B1B6C}" name="MX" totalsRowFunction="sum" dataDxfId="600" totalsRowDxfId="599" dataCellStyle="Normal 2"/>
    <tableColumn id="8" xr3:uid="{BFBFC013-488C-414F-AEB0-06C7D23CB73D}" name="IN" totalsRowFunction="sum" dataDxfId="598" totalsRowDxfId="597" dataCellStyle="Normal 2"/>
    <tableColumn id="9" xr3:uid="{98520BBE-BFBC-4026-8C4F-9BE688002886}" name="EG" totalsRowFunction="sum" dataDxfId="596" totalsRowDxfId="595" dataCellStyle="Normal 2"/>
    <tableColumn id="10" xr3:uid="{9980F9E0-2F5A-4FBA-AC6D-36CC8558B6C9}" name="CAN" totalsRowFunction="sum" dataDxfId="594" totalsRowDxfId="593" dataCellStyle="Normal 2"/>
    <tableColumn id="11" xr3:uid="{2EA13F7C-4A03-460A-BC61-C63414E1CE5F}" name="AU" totalsRowFunction="sum" dataDxfId="592" totalsRowDxfId="591" dataCellStyle="Normal 2"/>
    <tableColumn id="12" xr3:uid="{36346B95-E522-4259-8CD7-CB258C6556CF}" name="AE" totalsRowFunction="sum" dataDxfId="590" totalsRowDxfId="589" dataCellStyle="Normal 2"/>
    <tableColumn id="13" xr3:uid="{35065ED2-57A4-43E4-BA3F-BCEE900FAD73}" name="SG" totalsRowFunction="sum" dataDxfId="588" totalsRowDxfId="587" dataCellStyle="Normal 2"/>
    <tableColumn id="14" xr3:uid="{EE3C7CF2-594B-462C-A073-655D141EAC74}" name="VN" totalsRowFunction="sum" dataDxfId="586" totalsRowDxfId="585" dataCellStyle="Normal 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D1088B4-E976-4ED2-8513-3994C7A98266}" name="TbCountPvtCld30" displayName="TbCountPvtCld30" ref="R76:AE89" totalsRowCount="1" headerRowDxfId="584" dataDxfId="583" tableBorderDxfId="582" headerRowCellStyle="Normal 2" dataCellStyle="Normal 2">
  <autoFilter ref="R76:AE88" xr:uid="{1F9EF21D-4F24-4009-A1CF-10B0371CC8DF}"/>
  <tableColumns count="14">
    <tableColumn id="1" xr3:uid="{972B38B3-CE03-42D7-A662-481B26F3F3D3}" name="PS Pvt Cld Count" dataDxfId="581" totalsRowDxfId="580" dataCellStyle="Normal 2"/>
    <tableColumn id="2" xr3:uid="{AC892DE9-29FE-4D73-9AC3-ECA13C44AF78}" name="US" totalsRowFunction="sum" dataDxfId="579" totalsRowDxfId="578" dataCellStyle="Normal 2"/>
    <tableColumn id="3" xr3:uid="{E9E35A2B-80D6-40AB-BF24-1D42C3AB90C5}" name="UK" totalsRowFunction="sum" dataDxfId="577" totalsRowDxfId="576" dataCellStyle="Normal 2"/>
    <tableColumn id="4" xr3:uid="{913FF7A3-1B2C-42B1-807B-D6574CDF8EC6}" name="DE" totalsRowFunction="sum" dataDxfId="575" totalsRowDxfId="574" dataCellStyle="Normal 2"/>
    <tableColumn id="5" xr3:uid="{31E0CA8A-E0B3-4699-9842-05CF356D7281}" name="PL" totalsRowFunction="sum" dataDxfId="573" totalsRowDxfId="572" dataCellStyle="Normal 2"/>
    <tableColumn id="6" xr3:uid="{FC31B1DC-2C49-47A1-AC70-3863D09B606B}" name="NL" totalsRowFunction="sum" dataDxfId="571" totalsRowDxfId="570" dataCellStyle="Normal 2"/>
    <tableColumn id="7" xr3:uid="{2CA09D8A-056F-4441-8751-4710DFF758CE}" name="MX" totalsRowFunction="sum" dataDxfId="569" totalsRowDxfId="568" dataCellStyle="Normal 2"/>
    <tableColumn id="8" xr3:uid="{85B23764-E792-41D8-80B4-845AA9BCF654}" name="IN" totalsRowFunction="sum" dataDxfId="567" totalsRowDxfId="566" dataCellStyle="Normal 2"/>
    <tableColumn id="9" xr3:uid="{4B87FADF-74DB-49C0-8079-B223F8599A45}" name="EG" totalsRowFunction="sum" dataDxfId="565" totalsRowDxfId="564" dataCellStyle="Normal 2"/>
    <tableColumn id="10" xr3:uid="{B14795A8-8BD8-4BB4-B842-4932F9D6FAEF}" name="CAN" totalsRowFunction="sum" dataDxfId="563" totalsRowDxfId="562" dataCellStyle="Normal 2"/>
    <tableColumn id="11" xr3:uid="{5DB73FDA-3B9A-43CE-9D16-1C7E97C73B4A}" name="AU" totalsRowFunction="sum" dataDxfId="561" totalsRowDxfId="560" dataCellStyle="Normal 2"/>
    <tableColumn id="12" xr3:uid="{EE81D193-9494-48AC-B70B-0F115CD78014}" name="AE" totalsRowFunction="sum" dataDxfId="559" totalsRowDxfId="558" dataCellStyle="Normal 2"/>
    <tableColumn id="13" xr3:uid="{5DB79042-056F-46C4-9949-15CEFECAEE83}" name="SG" totalsRowFunction="sum" dataDxfId="557" totalsRowDxfId="556" dataCellStyle="Normal 2"/>
    <tableColumn id="14" xr3:uid="{B44E1C1E-7BB7-48AF-8771-0762D69330B9}" name="VN" totalsRowFunction="sum" dataDxfId="555" totalsRowDxfId="554" dataCellStyle="Normal 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1BA55D-82D9-4435-9B17-EEE778F37721}" name="TbCountSdaia31" displayName="TbCountSdaia31" ref="R93:AF106" totalsRowCount="1" headerRowDxfId="553" dataDxfId="552" tableBorderDxfId="551" headerRowCellStyle="Normal 2" dataCellStyle="Normal 2">
  <autoFilter ref="R93:AF105" xr:uid="{44068C01-7B39-486D-9B1F-25F382ED3906}"/>
  <tableColumns count="15">
    <tableColumn id="1" xr3:uid="{E54A1FD8-E28F-418F-8794-39F9E55B533A}" name="SDAIA Count" dataDxfId="550" totalsRowDxfId="549" dataCellStyle="Normal 2"/>
    <tableColumn id="2" xr3:uid="{D5980CEB-A518-4636-B6AA-B4125FECA2D9}" name="US" totalsRowFunction="sum" dataDxfId="548" totalsRowDxfId="547" dataCellStyle="Normal 2"/>
    <tableColumn id="3" xr3:uid="{27B004C0-C852-4EC6-9CD2-E6ED52F220E9}" name="UK" totalsRowFunction="sum" dataDxfId="546" totalsRowDxfId="545" dataCellStyle="Normal 2"/>
    <tableColumn id="4" xr3:uid="{C9F969CE-1414-4CF8-9490-29B277EAE918}" name="DE" totalsRowFunction="sum" dataDxfId="544" totalsRowDxfId="543" dataCellStyle="Normal 2"/>
    <tableColumn id="5" xr3:uid="{E4F3B16F-C1F1-4C6A-B34A-AE3745C97952}" name="PL" totalsRowFunction="sum" dataDxfId="542" totalsRowDxfId="541" dataCellStyle="Normal 2"/>
    <tableColumn id="6" xr3:uid="{A9AD70DF-DFB2-40DC-93F9-37A5A45DD9CC}" name="NL" totalsRowFunction="sum" dataDxfId="540" totalsRowDxfId="539" dataCellStyle="Normal 2"/>
    <tableColumn id="7" xr3:uid="{8C9FF5DF-D431-43FE-9352-0784CFC6AC7D}" name="MX" totalsRowFunction="sum" dataDxfId="538" totalsRowDxfId="537" dataCellStyle="Normal 2"/>
    <tableColumn id="8" xr3:uid="{30208EAB-5DDA-4DA0-B09D-13EC95A4DA13}" name="IN" totalsRowFunction="sum" dataDxfId="536" totalsRowDxfId="535" dataCellStyle="Normal 2"/>
    <tableColumn id="9" xr3:uid="{2C0A2D25-BC55-443E-9691-4AD06E833BE8}" name="EG" totalsRowFunction="sum" dataDxfId="534" totalsRowDxfId="533" dataCellStyle="Normal 2"/>
    <tableColumn id="10" xr3:uid="{C772311A-D329-40E9-ABFC-C3001184925B}" name="CAN" totalsRowFunction="sum" dataDxfId="532" totalsRowDxfId="531" dataCellStyle="Normal 2"/>
    <tableColumn id="11" xr3:uid="{D3BE2794-F812-41C9-A4FD-766B839FC608}" name="AU" totalsRowFunction="sum" dataDxfId="530" totalsRowDxfId="529" dataCellStyle="Normal 2"/>
    <tableColumn id="12" xr3:uid="{28ED5A36-3BFA-4143-93E1-C67D6ABEC0C6}" name="AE" totalsRowFunction="sum" dataDxfId="528" totalsRowDxfId="527" dataCellStyle="Normal 2"/>
    <tableColumn id="13" xr3:uid="{45AD8CA5-C340-41D3-A7CB-84669C8C6A1A}" name="SG" totalsRowFunction="sum" dataDxfId="526" totalsRowDxfId="525" dataCellStyle="Normal 2"/>
    <tableColumn id="14" xr3:uid="{0AD42111-4FDF-4130-A60C-7E97CC423508}" name="VN" totalsRowFunction="sum" dataDxfId="524" totalsRowDxfId="523" dataCellStyle="Normal 2"/>
    <tableColumn id="15" xr3:uid="{973E66C1-0EE7-4C9A-9DC1-51796122B619}" name="SA" totalsRowFunction="sum" dataDxfId="522" totalsRowDxfId="521" dataCellStyle="Normal 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8A68B31-E618-40C4-8E7B-C977F2DC820D}" name="TbCountHealth32" displayName="TbCountHealth32" ref="R125:AE140" totalsRowCount="1" headerRowDxfId="520" dataDxfId="519" tableBorderDxfId="518" headerRowCellStyle="Normal 2" dataCellStyle="Normal 2">
  <autoFilter ref="R125:AE139" xr:uid="{97C9D30B-C137-45CE-94D3-1136323AA8AB}"/>
  <tableColumns count="14">
    <tableColumn id="1" xr3:uid="{A2BCC250-400D-4EA2-B28C-FAB9259ABA6B}" name="HealthCare PS Count" dataDxfId="517" totalsRowDxfId="516" dataCellStyle="Normal 2"/>
    <tableColumn id="2" xr3:uid="{841A5C63-FCDA-408D-9276-4DBA407B7497}" name="US" totalsRowFunction="sum" dataDxfId="515" totalsRowDxfId="514" dataCellStyle="Normal 2"/>
    <tableColumn id="3" xr3:uid="{6C274B3A-44DB-46C6-8FF9-A6E0EA90432F}" name="UK" totalsRowFunction="sum" dataDxfId="513" totalsRowDxfId="512" dataCellStyle="Normal 2"/>
    <tableColumn id="4" xr3:uid="{10603B87-D208-4E6A-BC1E-47A5AA32F0BD}" name="DE" totalsRowFunction="sum" dataDxfId="511" totalsRowDxfId="510" dataCellStyle="Normal 2"/>
    <tableColumn id="5" xr3:uid="{76DCEA3A-A093-4135-A617-5BC2E2736DF3}" name="PL" totalsRowFunction="sum" dataDxfId="509" totalsRowDxfId="508" dataCellStyle="Normal 2"/>
    <tableColumn id="6" xr3:uid="{16DD65F1-7807-4778-A980-76E298C43557}" name="NL" totalsRowFunction="sum" dataDxfId="507" totalsRowDxfId="506" dataCellStyle="Normal 2"/>
    <tableColumn id="7" xr3:uid="{F3C7D168-1372-44B9-8A43-179255EC4301}" name="MX" totalsRowFunction="sum" dataDxfId="505" totalsRowDxfId="504" dataCellStyle="Normal 2"/>
    <tableColumn id="8" xr3:uid="{BEE58B3A-7C29-4B4A-A15D-C34AE76D7936}" name="IN" totalsRowFunction="sum" dataDxfId="503" totalsRowDxfId="502" dataCellStyle="Normal 2"/>
    <tableColumn id="9" xr3:uid="{DC624DA4-22C4-45D3-A9AB-A9D000C35303}" name="EG" totalsRowFunction="sum" dataDxfId="501" totalsRowDxfId="500" dataCellStyle="Normal 2"/>
    <tableColumn id="10" xr3:uid="{684A8490-9C59-4FFF-A78A-0903A68EEA51}" name="CAN" totalsRowFunction="sum" dataDxfId="499" totalsRowDxfId="498" dataCellStyle="Normal 2"/>
    <tableColumn id="11" xr3:uid="{E867A15B-BC8F-4472-9AC6-3A3A257B2D64}" name="AU" totalsRowFunction="sum" dataDxfId="497" totalsRowDxfId="496" dataCellStyle="Normal 2"/>
    <tableColumn id="12" xr3:uid="{41E53F74-C80B-4563-9561-2E0FB3FE75BC}" name="AE" totalsRowFunction="sum" dataDxfId="495" totalsRowDxfId="494" dataCellStyle="Normal 2"/>
    <tableColumn id="13" xr3:uid="{F7224D8F-266A-4787-A716-35507D82BBC6}" name="SG" totalsRowFunction="sum" dataDxfId="493" totalsRowDxfId="492" dataCellStyle="Normal 2"/>
    <tableColumn id="14" xr3:uid="{0CF9FA9C-7348-429F-8524-144D2C547952}" name="VN" totalsRowFunction="sum" dataDxfId="491" totalsRowDxfId="490" dataCellStyle="Normal 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F0651E-163F-4657-A37D-2F1874A752ED}" name="tb_resource13" displayName="tb_resource13" ref="B22:R43" totalsRowShown="0" headerRowDxfId="489" tableBorderDxfId="488">
  <autoFilter ref="B22:R43" xr:uid="{55AB3E6E-ABE1-4E92-B1F8-66C8576C73F0}"/>
  <tableColumns count="17">
    <tableColumn id="1" xr3:uid="{AA645432-4221-4D30-96B3-5ABB126029F3}" name="Cost" dataDxfId="487">
      <calculatedColumnFormula>IFERROR(
    INDEX(
        CHOOSE(
            MATCH(E23, practices, 0),
            costAps,
            costData,
            costSec,
            costAdv,
            costProd,
            costPvtCld,
            costSdaia,
            costErp
        ),
        MATCH($G23,INDIRECT( "roles_"&amp;MATCH(E23, practices, 0)), 0),
        MATCH($F23, countries, 0))
     *
    INDEX(fx, MATCH($F$6, currency, 0)) *
    IF($F$7 = "Days", 8, 1),
    ""
)</calculatedColumnFormula>
    </tableColumn>
    <tableColumn id="2" xr3:uid="{E127D40F-9BA9-4C16-9DAE-EEA32422BAE6}" name="Flag if role is not planned" dataDxfId="486">
      <calculatedColumnFormula>IF(OR(AND(Q23=0,R23=0),AND(Q23=0,R23="")),1,IF(Q23=0,-1,0))</calculatedColumnFormula>
    </tableColumn>
    <tableColumn id="3" xr3:uid="{2E981773-AF37-4BC5-9047-44C0ED37AE9F}" name="SN" dataDxfId="485">
      <calculatedColumnFormula>IF(E23="","",D22+1)</calculatedColumnFormula>
    </tableColumn>
    <tableColumn id="4" xr3:uid="{32FA93F5-92C4-494F-A5BF-CC8D58D5DF63}" name="Practice Area" dataDxfId="484">
      <calculatedColumnFormula>'Resource Plan'!B44</calculatedColumnFormula>
    </tableColumn>
    <tableColumn id="5" xr3:uid="{FBAB35A5-D44E-4F7E-A82A-32992B8A2D31}" name="Region Sourced from" dataDxfId="483">
      <calculatedColumnFormula>'Resource Plan'!D44</calculatedColumnFormula>
    </tableColumn>
    <tableColumn id="6" xr3:uid="{62E89239-FB95-49A0-8C52-B7F5CA6F0AA7}" name="Role" dataDxfId="482">
      <calculatedColumnFormula>'Resource Plan'!C44</calculatedColumnFormula>
    </tableColumn>
    <tableColumn id="7" xr3:uid="{55578DC2-C3B0-4E8D-8BA6-E38F8D2B59CD}" name="Hours" dataDxfId="481"/>
    <tableColumn id="8" xr3:uid="{64BC7B07-F5A0-44FF-8B5E-B9C1F86D9CA4}" name="Price/hr" dataDxfId="480">
      <calculatedColumnFormula>IFERROR(ROUNDUP(IF(OR(J23="List Price",$F$3="Fixed Price"),R23*IF($F$9="Yes",1.2,1)*IF($F$3="Fixed Price",1.12,1),IF(K23&lt;1,B23/(1-K23),K23)),0),"")</calculatedColumnFormula>
    </tableColumn>
    <tableColumn id="9" xr3:uid="{7BD441CB-0EDF-4A2C-9D12-0AE740EB34CC}" name="Default Price or Strategic Margin" dataDxfId="479"/>
    <tableColumn id="10" xr3:uid="{EBC37050-B69E-460A-A90A-B0C59BA930D3}" name="Enter Margin Value" dataDxfId="478"/>
    <tableColumn id="11" xr3:uid="{5F06A9D1-33D4-418A-9FDE-F0318D7046F7}" name="Extended Price" dataDxfId="477">
      <calculatedColumnFormula>IF(R23="","",H23*I23)</calculatedColumnFormula>
    </tableColumn>
    <tableColumn id="12" xr3:uid="{D798FADF-CDD6-4EE6-9D42-B24B8D2FB27D}" name="Margins" dataDxfId="476">
      <calculatedColumnFormula>IFERROR(1-B23/I23,"")</calculatedColumnFormula>
    </tableColumn>
    <tableColumn id="13" xr3:uid="{707982FB-EB67-4F2B-823D-D51D74FB17D6}" name="Comments" dataDxfId="475"/>
    <tableColumn id="14" xr3:uid="{7DD7A1E3-64A0-4007-BB2B-4B44A3EC397E}" name="Note (requirements, if any)" dataDxfId="474">
      <calculatedColumnFormula>IF('Autopopulated_resource plan'!$C23=-1,"No resource in region, please work with delivery and finance to get approvals for using this rate",IF('Autopopulated_resource plan'!$C23=1,"No resource in region or planned in future. Please get special approval from Finance and HR",""))</calculatedColumnFormula>
    </tableColumn>
    <tableColumn id="15" xr3:uid="{E1F24E2F-3637-4975-BD64-D046DD55FA3C}" name="Other comments" dataDxfId="473">
      <calculatedColumnFormula>IF(tb_resource13[[#This Row],[Flag if role is not planned]]=1,"This resource is not available",IF(tb_resource13[[#This Row],[Flag if role is not planned]]=-1,"This resource is not available",IFERROR("role also mapped to " &amp; INDEX(Other_roles[Roles],MATCH(Calculator!$G23,Other_roles[mapped to],0)),"")))</calculatedColumnFormula>
    </tableColumn>
    <tableColumn id="16" xr3:uid="{CBF132B5-E201-4D2B-AC61-D89C5C3C3216}" name="Count of resources available in region" dataDxfId="472">
      <calculatedColumnFormula>IFERROR(
    INDEX(
        CHOOSE(
            MATCH(E23, practices, 0),
            countAps,
            countData,
            countSec,
            countAdv,
            countProd,
            CountPvtCld,
            countSdaia,
            countErp
        ),
        MATCH($G23, INDIRECT( "roles_"&amp;MATCH(E23, practices, 0)), 0),
        MATCH($F23, countries, 0)),
    ""
)</calculatedColumnFormula>
    </tableColumn>
    <tableColumn id="17" xr3:uid="{B89499B2-82DB-4FF8-A1E1-9333576B135D}" name="Suggested min. Price " dataDxfId="471">
      <calculatedColumnFormula array="1">IF(      OR(B23={0,""}      ),    "",
ROUNDUP(B23 /
      IF( OR('Autopopulated_resource plan'!$F23={"IN","EG","VN"}),  IF(OR($F$4={"IN","PL","EG","VN"}),   0.6,   0.4),  IF( OR('Autopopulated_resource plan'!$G23={"TCT","Manager","Sr. Mgr","EM"}),   0.6,0.6)   ),  0)   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C44FD72-7A26-4A08-A02D-46D147D3F9F8}" name="tb_supplier14" displayName="tb_supplier14" ref="D50:K72" totalsRowShown="0" headerRowDxfId="470" dataDxfId="468" headerRowBorderDxfId="469" tableBorderDxfId="467">
  <autoFilter ref="D50:K72" xr:uid="{1B6E6B26-EE36-4862-9196-54739FDF8BA1}"/>
  <tableColumns count="8">
    <tableColumn id="1" xr3:uid="{140DA0E3-CB2E-43A2-BA69-D8409123D5E1}" name="Item" dataDxfId="466"/>
    <tableColumn id="2" xr3:uid="{4F4721BC-905D-4C8B-908B-C830D8758523}" name="External Supplier/Internal Rackspace BU (eg. Data team)" dataDxfId="465"/>
    <tableColumn id="3" xr3:uid="{1314AA73-76AD-4B16-9227-5E63D4794A1B}" name="RXT /Supplier SOW Number if available" dataDxfId="464"/>
    <tableColumn id="4" xr3:uid="{6A5C61BD-E2E4-4E1B-AE09-FAA0498A7171}" name="Supplier Quote ref (if available)" dataDxfId="463"/>
    <tableColumn id="6" xr3:uid="{2CCE9808-CE73-4B43-832F-55ECB39D3400}" name="Cost (in per unit or per hr or per day rate) to Rackspace" dataDxfId="462"/>
    <tableColumn id="9" xr3:uid="{31BBE634-C77D-4C48-9BC0-FD5EF7CD7EC1}" name="Qty " dataDxfId="461"/>
    <tableColumn id="7" xr3:uid="{DCC52065-9606-4CC6-B80A-8CF92B2B4A75}" name="Enter required margin or Price" dataDxfId="460"/>
    <tableColumn id="8" xr3:uid="{BDD27E7F-5386-440D-841B-E1593B724DBF}" name="Price" dataDxfId="459">
      <calculatedColumnFormula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50E443-5CD0-4636-B7F5-F6CCFADDC613}" name="TbCountAps" displayName="TbCountAps" ref="R3:AE14" totalsRowCount="1" headerRowDxfId="458" dataDxfId="457" tableBorderDxfId="456" headerRowCellStyle="Normal 2" dataCellStyle="Normal 2">
  <autoFilter ref="R3:AE13" xr:uid="{1C50E443-5CD0-4636-B7F5-F6CCFADDC613}"/>
  <tableColumns count="14">
    <tableColumn id="1" xr3:uid="{F8061C7C-B2EF-4C86-9525-82B7C6B2CD0C}" name="PnA Count" dataDxfId="455" totalsRowDxfId="454" dataCellStyle="Normal 2"/>
    <tableColumn id="2" xr3:uid="{52A1299A-1E8D-490F-AE33-7176124041F9}" name="US" totalsRowFunction="sum" dataDxfId="453" totalsRowDxfId="452" dataCellStyle="Normal 2"/>
    <tableColumn id="3" xr3:uid="{D62ED716-FCD9-4329-9906-48FCEEAFA83B}" name="UK" totalsRowFunction="sum" dataDxfId="451" totalsRowDxfId="450" dataCellStyle="Normal 2"/>
    <tableColumn id="4" xr3:uid="{FF25CE7B-FDE6-42DE-9AA4-3A8448A95FD2}" name="DE" totalsRowFunction="sum" dataDxfId="449" totalsRowDxfId="448" dataCellStyle="Normal 2"/>
    <tableColumn id="5" xr3:uid="{7373096B-FEF5-4124-A00A-8C58AD4F88CA}" name="PL" totalsRowFunction="sum" dataDxfId="447" totalsRowDxfId="446" dataCellStyle="Normal 2"/>
    <tableColumn id="6" xr3:uid="{B23FDD32-F2E4-4DFA-963B-0EC5C240C292}" name="NL" totalsRowFunction="sum" dataDxfId="445" totalsRowDxfId="444" dataCellStyle="Normal 2"/>
    <tableColumn id="7" xr3:uid="{6F4ECA10-F4EB-469B-ABBD-1E29AEE970DB}" name="MX" totalsRowFunction="sum" dataDxfId="443" totalsRowDxfId="442" dataCellStyle="Normal 2"/>
    <tableColumn id="8" xr3:uid="{CAD7E7D9-1972-4CF3-98A4-9653A4477EB6}" name="IN" totalsRowFunction="sum" dataDxfId="441" totalsRowDxfId="440" dataCellStyle="Normal 2"/>
    <tableColumn id="9" xr3:uid="{9E15F0EE-F684-466F-B069-0D6F8D3A38EB}" name="EG" totalsRowFunction="sum" dataDxfId="439" totalsRowDxfId="438" dataCellStyle="Normal 2"/>
    <tableColumn id="10" xr3:uid="{FBF703AD-B815-4D01-88D6-C034FD322DB5}" name="CAN" totalsRowFunction="sum" dataDxfId="437" totalsRowDxfId="436" dataCellStyle="Normal 2"/>
    <tableColumn id="11" xr3:uid="{EEFF936E-9F85-4583-A820-67AD92724318}" name="AU" totalsRowFunction="sum" dataDxfId="435" totalsRowDxfId="434" dataCellStyle="Normal 2"/>
    <tableColumn id="12" xr3:uid="{AB90FBC3-B705-4116-8298-E21726AE59F9}" name="AE" totalsRowFunction="sum" dataDxfId="433" totalsRowDxfId="432" dataCellStyle="Normal 2"/>
    <tableColumn id="13" xr3:uid="{6E61833B-F8D1-400D-A2C6-EE8F5C73EB20}" name="SG" totalsRowFunction="sum" dataDxfId="431" totalsRowDxfId="430" dataCellStyle="Normal 2"/>
    <tableColumn id="14" xr3:uid="{11600CF6-5035-44BC-8E91-BF74D9DD005C}" name="VN" totalsRowFunction="sum" dataDxfId="429" totalsRowDxfId="428" dataCellStyle="Normal 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86B41B-34A3-474A-B6A8-0A63389CB166}" name="TbCostSec" displayName="TbCostSec" ref="B35:P45" totalsRowShown="0" headerRowDxfId="427" dataDxfId="426" tableBorderDxfId="425" headerRowCellStyle="Normal 2" dataCellStyle="Normal 2">
  <autoFilter ref="B35:P45" xr:uid="{5086B41B-34A3-474A-B6A8-0A63389CB166}"/>
  <tableColumns count="15">
    <tableColumn id="1" xr3:uid="{3ABBE4EA-55E3-4F10-A058-1E4A59261B08}" name="Security Cost" dataDxfId="424" dataCellStyle="Normal 2"/>
    <tableColumn id="2" xr3:uid="{C0967210-7453-454C-86B2-5DDCA96F3D52}" name="US" dataDxfId="423" dataCellStyle="Normal 2"/>
    <tableColumn id="3" xr3:uid="{FBE8BD2C-1064-47F6-98C3-A75713A5D7CA}" name="UK" dataDxfId="422" dataCellStyle="Normal 2"/>
    <tableColumn id="4" xr3:uid="{D12F4BFA-8556-41E4-9636-046F8C5F59C2}" name="DE" dataDxfId="421" dataCellStyle="Normal 2"/>
    <tableColumn id="5" xr3:uid="{5C9B5ABA-C24B-4274-970E-1E5B26D594C9}" name="PL" dataDxfId="420" dataCellStyle="Normal 2"/>
    <tableColumn id="6" xr3:uid="{4C7568F3-F1FB-4EFB-A514-C26F39D00D7B}" name="NL" dataDxfId="419" dataCellStyle="Normal 2"/>
    <tableColumn id="7" xr3:uid="{34243C90-85D9-4743-8072-818C2392439B}" name="MX" dataDxfId="418" dataCellStyle="Normal 2"/>
    <tableColumn id="8" xr3:uid="{15C3B81B-D9DB-4679-8B3E-FC7E21A52D15}" name="IN" dataDxfId="417" dataCellStyle="Normal 2"/>
    <tableColumn id="9" xr3:uid="{5D7B973E-0A63-4B07-AB33-33AFE86C315A}" name="EG" dataDxfId="416" dataCellStyle="Normal 2"/>
    <tableColumn id="10" xr3:uid="{06D79CF7-8616-4A66-97EC-789A2CEC7E8F}" name="CAN" dataDxfId="415" dataCellStyle="Normal 2"/>
    <tableColumn id="11" xr3:uid="{96A98EC8-B720-4E8F-BAB1-95CCFD7E7235}" name="AU" dataDxfId="414" dataCellStyle="Normal 2"/>
    <tableColumn id="12" xr3:uid="{F2C4032D-555A-48E7-8A51-56AEDB58D18D}" name="AE" dataDxfId="413" dataCellStyle="Normal 2"/>
    <tableColumn id="13" xr3:uid="{C413D8A1-F5E3-4CCE-A0BA-F75B2F89D994}" name="SG" dataDxfId="412" dataCellStyle="Normal 2"/>
    <tableColumn id="14" xr3:uid="{8EB357F4-F38F-4780-B7A1-2A96E1D3B0DA}" name="VN" dataDxfId="411" dataCellStyle="Normal 2"/>
    <tableColumn id="15" xr3:uid="{D642756E-ED1D-4882-A24F-01D9A60AA266}" name="Column1" dataDxfId="410" dataCellStyle="Normal 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B0F415-6B0D-4087-8797-6F8DF3E6EBF6}" name="TbCountData" displayName="TbCountData" ref="R17:AE30" totalsRowCount="1" headerRowDxfId="409" dataDxfId="408" tableBorderDxfId="407" headerRowCellStyle="Normal 2" dataCellStyle="Normal 2">
  <autoFilter ref="R17:AE29" xr:uid="{74B0F415-6B0D-4087-8797-6F8DF3E6EBF6}"/>
  <tableColumns count="14">
    <tableColumn id="1" xr3:uid="{3A93DF83-299F-4B0A-AA83-5236B1C8584D}" name="Data Count" dataDxfId="406" totalsRowDxfId="405" dataCellStyle="Normal 2"/>
    <tableColumn id="2" xr3:uid="{8B9A7B2B-10FC-454C-9405-B0822A64FDDC}" name="US" totalsRowFunction="sum" dataDxfId="404" totalsRowDxfId="403" dataCellStyle="Normal 2"/>
    <tableColumn id="3" xr3:uid="{A77D2505-532A-4BF8-BE11-F717B11CA760}" name="UK" totalsRowFunction="sum" dataDxfId="402" totalsRowDxfId="401" dataCellStyle="Normal 2"/>
    <tableColumn id="4" xr3:uid="{257BB7DD-A9E2-4708-94A4-7EF1A7A5CB42}" name="DE" totalsRowFunction="sum" dataDxfId="400" totalsRowDxfId="399" dataCellStyle="Normal 2"/>
    <tableColumn id="5" xr3:uid="{AC389C6D-DAC1-449F-A7D1-5CB42C337451}" name="PL" totalsRowFunction="sum" dataDxfId="398" totalsRowDxfId="397" dataCellStyle="Normal 2"/>
    <tableColumn id="6" xr3:uid="{0C9ABF18-27F0-40D2-B87A-3FC1C0ECC8FC}" name="NL" totalsRowFunction="sum" dataDxfId="396" totalsRowDxfId="395" dataCellStyle="Normal 2"/>
    <tableColumn id="7" xr3:uid="{878803B8-B6E2-4B11-BE9A-14615E0CFBC1}" name="MX" totalsRowFunction="sum" dataDxfId="394" totalsRowDxfId="393" dataCellStyle="Normal 2"/>
    <tableColumn id="8" xr3:uid="{DC17828A-934A-4D9D-834E-100262510FCE}" name="IN" totalsRowFunction="sum" dataDxfId="392" totalsRowDxfId="391" dataCellStyle="Normal 2"/>
    <tableColumn id="9" xr3:uid="{ECA73226-23E8-4E01-9002-147631499F60}" name="EG" totalsRowFunction="sum" dataDxfId="390" totalsRowDxfId="389" dataCellStyle="Normal 2"/>
    <tableColumn id="10" xr3:uid="{9354457E-B721-4F90-A1D4-9BF65C9B8D21}" name="CA" totalsRowFunction="sum" dataDxfId="388" totalsRowDxfId="387" dataCellStyle="Normal 2"/>
    <tableColumn id="11" xr3:uid="{E3E4CD0B-6BF7-4C93-9FBF-FF3C77EA74C1}" name="AU" totalsRowFunction="sum" dataDxfId="386" totalsRowDxfId="385" dataCellStyle="Normal 2"/>
    <tableColumn id="12" xr3:uid="{9E7CCA8C-87F1-450D-AA81-3CDC271FCDE3}" name="AE" totalsRowFunction="sum" dataDxfId="384" totalsRowDxfId="383" dataCellStyle="Normal 2"/>
    <tableColumn id="13" xr3:uid="{64A9C79B-753D-44B3-B2ED-CE087660858C}" name="SG" totalsRowFunction="sum" dataDxfId="382" totalsRowDxfId="381" dataCellStyle="Normal 2"/>
    <tableColumn id="14" xr3:uid="{36024324-C65F-44E7-B0F4-294D977D3F16}" name="VN" totalsRowFunction="sum" dataDxfId="380" totalsRowDxfId="379" dataCellStyle="Normal 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23E208-D3E6-451D-9634-7F7D04E7EF8C}" name="TbCostData" displayName="TbCostData" ref="B17:P29" totalsRowShown="0" headerRowDxfId="378" dataDxfId="377" tableBorderDxfId="376" headerRowCellStyle="Normal 2" dataCellStyle="Normal 2">
  <autoFilter ref="B17:P29" xr:uid="{D823E208-D3E6-451D-9634-7F7D04E7EF8C}"/>
  <tableColumns count="15">
    <tableColumn id="1" xr3:uid="{29DA9E82-E700-4DC1-B328-716B7840ADD0}" name="Data cost" dataDxfId="375" dataCellStyle="Normal 2"/>
    <tableColumn id="2" xr3:uid="{3F419716-AF9A-481D-9753-EB40F70C5449}" name="US" dataDxfId="374" dataCellStyle="Normal 2"/>
    <tableColumn id="3" xr3:uid="{71B054ED-C65D-47FC-AAAF-161F555DE797}" name="UK" dataDxfId="373" dataCellStyle="Normal 2"/>
    <tableColumn id="4" xr3:uid="{D129B80A-A33E-4011-A1AA-A9451D52A437}" name="DE" dataDxfId="372" dataCellStyle="Normal 2"/>
    <tableColumn id="5" xr3:uid="{8F553D9B-2255-4563-84BB-7FE3DED8A610}" name="PL" dataDxfId="371" dataCellStyle="Normal 2"/>
    <tableColumn id="6" xr3:uid="{7497713B-1E6E-4A83-B808-C65E2AC8528E}" name="NL" dataDxfId="370" dataCellStyle="Normal 2"/>
    <tableColumn id="7" xr3:uid="{6CA741F7-1CFF-4886-B3B0-326E025F645D}" name="MX" dataDxfId="369" dataCellStyle="Normal 2"/>
    <tableColumn id="8" xr3:uid="{2FE6C71E-A63C-49C8-8EAC-8F975FB68C75}" name="IN" dataDxfId="368" dataCellStyle="Normal 2"/>
    <tableColumn id="9" xr3:uid="{335FA502-E691-481D-87E8-8EA3D74BB5E3}" name="EG" dataDxfId="367" dataCellStyle="Normal 2"/>
    <tableColumn id="10" xr3:uid="{0996C2A3-2101-4A92-9EB0-C5AEA0F6657A}" name="CA" dataDxfId="366" dataCellStyle="Normal 2"/>
    <tableColumn id="11" xr3:uid="{E74D7D76-7ECA-447D-867E-726CFE912703}" name="AU" dataDxfId="365" dataCellStyle="Normal 2"/>
    <tableColumn id="12" xr3:uid="{AB5D00F1-60E1-452A-939A-F1D33F15C5E9}" name="AE" dataDxfId="364" dataCellStyle="Normal 2"/>
    <tableColumn id="13" xr3:uid="{BF272A4B-F898-4A37-8CF1-4E5FB35C8583}" name="SG" dataDxfId="363" dataCellStyle="Normal 2"/>
    <tableColumn id="14" xr3:uid="{EE26BF78-FD8A-4720-8F55-E15F9855E1B8}" name="VN" dataDxfId="362" dataCellStyle="Normal 2"/>
    <tableColumn id="15" xr3:uid="{596822C3-210D-4925-9B53-C8E6CA38C4D4}" name="Column1" dataDxfId="361" dataCellStyle="Normal 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C597DF-1131-4EC6-9717-02A71CB147DC}" name="TbCountSec" displayName="TbCountSec" ref="R35:AE46" totalsRowCount="1" headerRowDxfId="360" dataDxfId="359" tableBorderDxfId="358" headerRowCellStyle="Normal 2" dataCellStyle="Normal 2">
  <autoFilter ref="R35:AE45" xr:uid="{B5C597DF-1131-4EC6-9717-02A71CB147DC}"/>
  <tableColumns count="14">
    <tableColumn id="1" xr3:uid="{491A6771-951A-4963-BF23-7CFA5FFAEBA8}" name="Security Count" dataDxfId="357" totalsRowDxfId="356" dataCellStyle="Normal 2"/>
    <tableColumn id="2" xr3:uid="{787BCFA3-DD52-4848-9DC0-42DDC7FA1BAA}" name="US" totalsRowFunction="sum" dataDxfId="355" totalsRowDxfId="354" dataCellStyle="Normal 2"/>
    <tableColumn id="3" xr3:uid="{B9FED163-2B22-47FD-BD38-A99825B0D8D1}" name="UK" totalsRowFunction="sum" dataDxfId="353" totalsRowDxfId="352" dataCellStyle="Normal 2"/>
    <tableColumn id="4" xr3:uid="{2C528B19-59DE-4706-AEDC-76F3AEC4264D}" name="DE" totalsRowFunction="sum" dataDxfId="351" totalsRowDxfId="350" dataCellStyle="Normal 2"/>
    <tableColumn id="5" xr3:uid="{97F29DF9-654B-40E9-8EF8-B70560B5B3A7}" name="PL" totalsRowFunction="sum" dataDxfId="349" totalsRowDxfId="348" dataCellStyle="Normal 2"/>
    <tableColumn id="6" xr3:uid="{D7F8B5D1-2F15-4172-9D51-96304FF72CF2}" name="NL" totalsRowFunction="sum" dataDxfId="347" totalsRowDxfId="346" dataCellStyle="Normal 2"/>
    <tableColumn id="7" xr3:uid="{91471FAE-761E-4356-BB85-D013C18A1C31}" name="MX" totalsRowFunction="sum" dataDxfId="345" totalsRowDxfId="344" dataCellStyle="Normal 2"/>
    <tableColumn id="8" xr3:uid="{D55DA2F2-6C46-4099-8A18-67FEF00ED7FD}" name="IN" totalsRowFunction="sum" dataDxfId="343" totalsRowDxfId="342" dataCellStyle="Normal 2"/>
    <tableColumn id="9" xr3:uid="{7235CB73-513B-4F17-8526-B92E9E1F1C75}" name="EG" totalsRowFunction="sum" dataDxfId="341" totalsRowDxfId="340" dataCellStyle="Normal 2"/>
    <tableColumn id="10" xr3:uid="{F41B069D-2B25-46D2-8105-82D58E3C0E42}" name="CAN" totalsRowFunction="sum" dataDxfId="339" totalsRowDxfId="338" dataCellStyle="Normal 2"/>
    <tableColumn id="11" xr3:uid="{157EE864-7781-4443-B572-995366943AB2}" name="AU" totalsRowFunction="sum" dataDxfId="337" totalsRowDxfId="336" dataCellStyle="Normal 2"/>
    <tableColumn id="12" xr3:uid="{F965D9B7-0895-4993-9F65-ECCE3E8EDDF8}" name="AE" totalsRowFunction="sum" dataDxfId="335" totalsRowDxfId="334" dataCellStyle="Normal 2"/>
    <tableColumn id="13" xr3:uid="{95597CF0-7E68-448B-9517-8AF2394209FF}" name="SG" totalsRowFunction="sum" dataDxfId="333" totalsRowDxfId="332" dataCellStyle="Normal 2"/>
    <tableColumn id="14" xr3:uid="{1863E395-5A4F-4279-83E7-CBA4470C84FA}" name="VN" totalsRowFunction="sum" dataDxfId="331" totalsRowDxfId="330" dataCellStyle="Normal 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DA6896D-7F9A-4D33-8838-1E1DA74B394E}" name="TbCountAdv" displayName="TbCountAdv" ref="R50:AE61" totalsRowCount="1" headerRowDxfId="329" dataDxfId="328" tableBorderDxfId="327" headerRowCellStyle="Normal 2" dataCellStyle="Normal 2">
  <autoFilter ref="R50:AE60" xr:uid="{5DA6896D-7F9A-4D33-8838-1E1DA74B394E}"/>
  <tableColumns count="14">
    <tableColumn id="1" xr3:uid="{8B1717D6-07FD-40B9-B713-F6A28D764591}" name="Advisory Count" dataDxfId="326" totalsRowDxfId="325" dataCellStyle="Normal 2"/>
    <tableColumn id="2" xr3:uid="{697A1BF3-11D1-4B53-882E-C9CAE77266FE}" name="US" totalsRowFunction="sum" dataDxfId="324" totalsRowDxfId="323" dataCellStyle="Normal 2"/>
    <tableColumn id="3" xr3:uid="{54E95B92-1498-4D8E-9964-D0F8DFB40851}" name="UK" totalsRowFunction="sum" dataDxfId="322" totalsRowDxfId="321" dataCellStyle="Normal 2"/>
    <tableColumn id="4" xr3:uid="{4FBBD53C-4731-4A69-AF44-C35DFE2A736D}" name="DE" totalsRowFunction="sum" dataDxfId="320" totalsRowDxfId="319" dataCellStyle="Normal 2"/>
    <tableColumn id="5" xr3:uid="{27452B4C-381F-465B-BE00-07C7BC336182}" name="PL" totalsRowFunction="sum" dataDxfId="318" totalsRowDxfId="317" dataCellStyle="Normal 2"/>
    <tableColumn id="6" xr3:uid="{CEC24D43-9070-4418-8676-AD4F59D48788}" name="NL" totalsRowFunction="sum" dataDxfId="316" totalsRowDxfId="315" dataCellStyle="Normal 2"/>
    <tableColumn id="7" xr3:uid="{D79F5798-49E5-4A40-BD33-20BC254CB373}" name="MX" totalsRowFunction="sum" dataDxfId="314" totalsRowDxfId="313" dataCellStyle="Normal 2"/>
    <tableColumn id="8" xr3:uid="{A7690195-2E13-414E-80B0-40C0B2A8F0C9}" name="IN" totalsRowFunction="sum" dataDxfId="312" totalsRowDxfId="311" dataCellStyle="Normal 2"/>
    <tableColumn id="9" xr3:uid="{D8183E5F-BD84-4F39-9DFE-0019C13D11F9}" name="EG" totalsRowFunction="sum" dataDxfId="310" totalsRowDxfId="309" dataCellStyle="Normal 2"/>
    <tableColumn id="10" xr3:uid="{4758C5B5-C922-4B65-8CC0-907A99E17D8F}" name="CAN" totalsRowFunction="sum" dataDxfId="308" totalsRowDxfId="307" dataCellStyle="Normal 2"/>
    <tableColumn id="11" xr3:uid="{5D589C29-71AE-4C67-896A-388FEEDE709E}" name="AU" totalsRowFunction="sum" dataDxfId="306" totalsRowDxfId="305" dataCellStyle="Normal 2"/>
    <tableColumn id="12" xr3:uid="{046291DD-1BDB-438C-AAAF-5AD3F4D8206D}" name="AE" totalsRowFunction="sum" dataDxfId="304" totalsRowDxfId="303" dataCellStyle="Normal 2"/>
    <tableColumn id="13" xr3:uid="{2C77EB4F-18C9-4629-8837-C72CAAD8F233}" name="SG" totalsRowFunction="sum" dataDxfId="302" totalsRowDxfId="301" dataCellStyle="Normal 2"/>
    <tableColumn id="14" xr3:uid="{3B4AEC4F-AA37-4438-82AB-1E7003826988}" name="VN" totalsRowFunction="sum" dataDxfId="300" totalsRowDxfId="299" dataCellStyle="Normal 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F3E06A0-3EB8-453E-BE44-DE8746206FE0}" name="TbCountProd" displayName="TbCountProd" ref="R65:AE76" totalsRowCount="1" headerRowDxfId="298" dataDxfId="297" tableBorderDxfId="296" headerRowCellStyle="Normal 2" dataCellStyle="Normal 2">
  <autoFilter ref="R65:AE75" xr:uid="{3F3E06A0-3EB8-453E-BE44-DE8746206FE0}"/>
  <tableColumns count="14">
    <tableColumn id="1" xr3:uid="{1CF684B1-9DF1-402D-B09A-82E1ED47D139}" name="Productivity Count" dataDxfId="295" totalsRowDxfId="294" dataCellStyle="Normal 2"/>
    <tableColumn id="2" xr3:uid="{404A888F-4C38-4520-A4ED-B6DFBBCE83C7}" name="US" totalsRowFunction="sum" dataDxfId="293" totalsRowDxfId="292" dataCellStyle="Normal 2"/>
    <tableColumn id="3" xr3:uid="{D74B5180-9E43-440A-AD4F-89F73D05ECFA}" name="UK" totalsRowFunction="sum" dataDxfId="291" totalsRowDxfId="290" dataCellStyle="Normal 2"/>
    <tableColumn id="4" xr3:uid="{B2640215-4E9C-442B-80C3-DD55B7122128}" name="DE" totalsRowFunction="sum" dataDxfId="289" totalsRowDxfId="288" dataCellStyle="Normal 2"/>
    <tableColumn id="5" xr3:uid="{1AEB83B1-1AF4-495D-9E91-97196E057715}" name="PL" totalsRowFunction="sum" dataDxfId="287" totalsRowDxfId="286" dataCellStyle="Normal 2"/>
    <tableColumn id="6" xr3:uid="{AA446BE6-57B3-4FF0-9955-332AD692F56D}" name="NL" totalsRowFunction="sum" dataDxfId="285" totalsRowDxfId="284" dataCellStyle="Normal 2"/>
    <tableColumn id="7" xr3:uid="{E2E60FE0-54BE-4CEC-A007-248DFC17CB20}" name="MX" totalsRowFunction="sum" dataDxfId="283" totalsRowDxfId="282" dataCellStyle="Normal 2"/>
    <tableColumn id="8" xr3:uid="{50AA4E6E-B5DD-4C2F-B1AA-22F77CBDC71A}" name="IN" totalsRowFunction="sum" dataDxfId="281" totalsRowDxfId="280" dataCellStyle="Normal 2"/>
    <tableColumn id="9" xr3:uid="{6C3586A0-5B7F-485A-BA24-77D1E0ADD88C}" name="EG" totalsRowFunction="sum" dataDxfId="279" totalsRowDxfId="278" dataCellStyle="Normal 2"/>
    <tableColumn id="10" xr3:uid="{3216D500-1FEE-4E51-B277-B9378720F6BD}" name="CAN" totalsRowFunction="sum" dataDxfId="277" totalsRowDxfId="276" dataCellStyle="Normal 2"/>
    <tableColumn id="11" xr3:uid="{D8C7713B-9958-4A9A-BE91-DA1BB250D995}" name="AU" totalsRowFunction="sum" dataDxfId="275" totalsRowDxfId="274" dataCellStyle="Normal 2"/>
    <tableColumn id="12" xr3:uid="{341AB3CC-E629-405D-950E-45EE6E579A58}" name="AE" totalsRowFunction="sum" dataDxfId="273" totalsRowDxfId="272" dataCellStyle="Normal 2"/>
    <tableColumn id="13" xr3:uid="{1133A139-2565-475A-B5ED-166D91299C2E}" name="SG" totalsRowFunction="sum" dataDxfId="271" totalsRowDxfId="270" dataCellStyle="Normal 2"/>
    <tableColumn id="14" xr3:uid="{9056EFE4-E858-4B0C-BA9C-917FF0DD2003}" name="VN" totalsRowFunction="sum" dataDxfId="269" totalsRowDxfId="268" dataCellStyle="Normal 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2074F27-F85A-4FEF-8A5A-0833B3B3B5F9}" name="TbCountErp" displayName="TbCountErp" ref="R113:AE126" totalsRowCount="1" headerRowDxfId="267" dataDxfId="266" tableBorderDxfId="265" headerRowCellStyle="Normal 2" dataCellStyle="Normal 2">
  <autoFilter ref="R113:AE125" xr:uid="{42074F27-F85A-4FEF-8A5A-0833B3B3B5F9}"/>
  <tableColumns count="14">
    <tableColumn id="1" xr3:uid="{4A6EA248-2536-469B-9DC2-EDA370992257}" name="ERP Count" dataDxfId="264" totalsRowDxfId="263" dataCellStyle="Normal 2"/>
    <tableColumn id="2" xr3:uid="{AE4ADE0E-6440-4090-9E38-C240CBECC128}" name="US" totalsRowFunction="sum" dataDxfId="262" totalsRowDxfId="261" dataCellStyle="Normal 2"/>
    <tableColumn id="3" xr3:uid="{61073B78-55FD-4637-98B0-D35D21D4E54C}" name="UK" totalsRowFunction="sum" dataDxfId="260" totalsRowDxfId="259" dataCellStyle="Normal 2"/>
    <tableColumn id="4" xr3:uid="{F6AEC2A2-F66D-4050-935B-131959FE8917}" name="DE" totalsRowFunction="sum" dataDxfId="258" totalsRowDxfId="257" dataCellStyle="Normal 2"/>
    <tableColumn id="5" xr3:uid="{8B5F5148-F582-416E-8EB3-3BA2FF1743A5}" name="PL" totalsRowFunction="sum" dataDxfId="256" totalsRowDxfId="255" dataCellStyle="Normal 2"/>
    <tableColumn id="6" xr3:uid="{3422F228-3A46-4130-8941-33E7495E759D}" name="NL" totalsRowFunction="sum" dataDxfId="254" totalsRowDxfId="253" dataCellStyle="Normal 2"/>
    <tableColumn id="7" xr3:uid="{9BE672FD-A036-408A-95E2-E8FEB928C6DA}" name="MX" totalsRowFunction="sum" dataDxfId="252" totalsRowDxfId="251" dataCellStyle="Normal 2"/>
    <tableColumn id="8" xr3:uid="{2452335C-96F0-46B3-B635-DF7D2680F9C8}" name="IN" totalsRowFunction="sum" dataDxfId="250" totalsRowDxfId="249" dataCellStyle="Normal 2"/>
    <tableColumn id="9" xr3:uid="{5561C34D-DF54-41EB-A819-80D6B7B1C818}" name="EG" totalsRowFunction="sum" dataDxfId="248" totalsRowDxfId="247" dataCellStyle="Normal 2"/>
    <tableColumn id="10" xr3:uid="{91BD9897-EBE8-4EEA-8405-A27A09B67982}" name="CAN" totalsRowFunction="sum" dataDxfId="246" totalsRowDxfId="245" dataCellStyle="Normal 2"/>
    <tableColumn id="11" xr3:uid="{8C28F266-DCEE-48D9-A8C1-76B5CB5803E1}" name="AU" totalsRowFunction="sum" dataDxfId="244" totalsRowDxfId="243" dataCellStyle="Normal 2"/>
    <tableColumn id="12" xr3:uid="{E8CAB3E1-1C73-4984-8FB7-8865C9057F24}" name="AE" totalsRowFunction="sum" dataDxfId="242" totalsRowDxfId="241" dataCellStyle="Normal 2"/>
    <tableColumn id="13" xr3:uid="{28E7D58A-E1E3-4100-AC61-2F9D80A418E5}" name="SG" totalsRowFunction="sum" dataDxfId="240" totalsRowDxfId="239" dataCellStyle="Normal 2"/>
    <tableColumn id="14" xr3:uid="{7721FC35-F2CA-4E56-973C-7350D714BC12}" name="VN" totalsRowFunction="sum" dataDxfId="238" totalsRowDxfId="237" dataCellStyle="Normal 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F9EF21D-4F24-4009-A1CF-10B0371CC8DF}" name="TbCountPvtCld" displayName="TbCountPvtCld" ref="R79:AE92" totalsRowCount="1" headerRowDxfId="236" dataDxfId="235" tableBorderDxfId="234" headerRowCellStyle="Normal 2" dataCellStyle="Normal 2">
  <autoFilter ref="R79:AE91" xr:uid="{1F9EF21D-4F24-4009-A1CF-10B0371CC8DF}"/>
  <tableColumns count="14">
    <tableColumn id="1" xr3:uid="{46B4DE54-BD81-468C-8C0B-41584F524A9A}" name="PS Pvt Cld Count" dataDxfId="233" totalsRowDxfId="232" dataCellStyle="Normal 2"/>
    <tableColumn id="2" xr3:uid="{2761355C-E1D0-451A-BBA2-C092BF04F00F}" name="US" totalsRowFunction="sum" dataDxfId="231" totalsRowDxfId="230" dataCellStyle="Normal 2"/>
    <tableColumn id="3" xr3:uid="{BA06FF60-BC06-44EB-9EE9-63AE93C7F3E6}" name="UK" totalsRowFunction="sum" dataDxfId="229" totalsRowDxfId="228" dataCellStyle="Normal 2"/>
    <tableColumn id="4" xr3:uid="{959AAB79-A1E4-46F0-97A6-F119A35B55B5}" name="DE" totalsRowFunction="sum" dataDxfId="227" totalsRowDxfId="226" dataCellStyle="Normal 2"/>
    <tableColumn id="5" xr3:uid="{9917BF3A-7296-44BE-A377-3D926D5F7F6C}" name="PL" totalsRowFunction="sum" dataDxfId="225" totalsRowDxfId="224" dataCellStyle="Normal 2"/>
    <tableColumn id="6" xr3:uid="{01ED2FA8-D157-4496-ADEA-17D080DF9DDC}" name="NL" totalsRowFunction="sum" dataDxfId="223" totalsRowDxfId="222" dataCellStyle="Normal 2"/>
    <tableColumn id="7" xr3:uid="{3F4B8261-2D4D-4608-B7FA-B77677AFECBF}" name="MX" totalsRowFunction="sum" dataDxfId="221" totalsRowDxfId="220" dataCellStyle="Normal 2"/>
    <tableColumn id="8" xr3:uid="{967C582B-8D77-4851-A29D-723A06386DA3}" name="IN" totalsRowFunction="sum" dataDxfId="219" totalsRowDxfId="218" dataCellStyle="Normal 2"/>
    <tableColumn id="9" xr3:uid="{C9B8BA08-CA62-4153-85E5-725ABA620268}" name="EG" totalsRowFunction="sum" dataDxfId="217" totalsRowDxfId="216" dataCellStyle="Normal 2"/>
    <tableColumn id="10" xr3:uid="{E1BC6921-8414-47D8-8263-981D8AF68E33}" name="CAN" totalsRowFunction="sum" dataDxfId="215" totalsRowDxfId="214" dataCellStyle="Normal 2"/>
    <tableColumn id="11" xr3:uid="{8D09641F-B651-4CEB-8664-5C637FB14AA4}" name="AU" totalsRowFunction="sum" dataDxfId="213" totalsRowDxfId="212" dataCellStyle="Normal 2"/>
    <tableColumn id="12" xr3:uid="{EF38F006-E04F-4E2C-83A5-33CF437FA00A}" name="AE" totalsRowFunction="sum" dataDxfId="211" totalsRowDxfId="210" dataCellStyle="Normal 2"/>
    <tableColumn id="13" xr3:uid="{6FFA0C04-81A8-4536-98EC-42535C957E81}" name="SG" totalsRowFunction="sum" dataDxfId="209" totalsRowDxfId="208" dataCellStyle="Normal 2"/>
    <tableColumn id="14" xr3:uid="{E9B3A617-5576-458B-927F-202C3B5D8AD8}" name="VN" totalsRowFunction="sum" dataDxfId="207" totalsRowDxfId="206" dataCellStyle="Normal 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4068C01-7B39-486D-9B1F-25F382ED3906}" name="TbCountSdaia" displayName="TbCountSdaia" ref="R96:AF109" totalsRowCount="1" headerRowDxfId="205" dataDxfId="204" tableBorderDxfId="203" headerRowCellStyle="Normal 2" dataCellStyle="Normal 2">
  <autoFilter ref="R96:AF108" xr:uid="{44068C01-7B39-486D-9B1F-25F382ED3906}"/>
  <tableColumns count="15">
    <tableColumn id="1" xr3:uid="{3FF9D156-5300-4F15-8B69-DC2CF3897EC2}" name="SDAIA Count" dataDxfId="202" totalsRowDxfId="201" dataCellStyle="Normal 2"/>
    <tableColumn id="2" xr3:uid="{3E6C0701-D78A-4C3B-B2D0-8342BA536558}" name="US" totalsRowFunction="sum" dataDxfId="200" totalsRowDxfId="199" dataCellStyle="Normal 2"/>
    <tableColumn id="3" xr3:uid="{C2C48AAE-B8B8-4B40-A606-21EC89357B75}" name="UK" totalsRowFunction="sum" dataDxfId="198" totalsRowDxfId="197" dataCellStyle="Normal 2"/>
    <tableColumn id="4" xr3:uid="{72D41B9B-E65A-44A4-8C13-600D86BD99EF}" name="DE" totalsRowFunction="sum" dataDxfId="196" totalsRowDxfId="195" dataCellStyle="Normal 2"/>
    <tableColumn id="5" xr3:uid="{2852FDEF-1179-4B50-8511-9B63DA987925}" name="PL" totalsRowFunction="sum" dataDxfId="194" totalsRowDxfId="193" dataCellStyle="Normal 2"/>
    <tableColumn id="6" xr3:uid="{FD35A548-81AA-4C2C-BF0C-F73F9CA02980}" name="NL" totalsRowFunction="sum" dataDxfId="192" totalsRowDxfId="191" dataCellStyle="Normal 2"/>
    <tableColumn id="7" xr3:uid="{B265E9AB-B4B9-4863-9562-523B10B7CBF0}" name="MX" totalsRowFunction="sum" dataDxfId="190" totalsRowDxfId="189" dataCellStyle="Normal 2"/>
    <tableColumn id="8" xr3:uid="{CA863F5A-D328-4947-8A2B-53F381F80FAF}" name="IN" totalsRowFunction="sum" dataDxfId="188" totalsRowDxfId="187" dataCellStyle="Normal 2"/>
    <tableColumn id="9" xr3:uid="{353AA803-9560-42E6-B54D-EEBB311BE2F4}" name="EG" totalsRowFunction="sum" dataDxfId="186" totalsRowDxfId="185" dataCellStyle="Normal 2"/>
    <tableColumn id="10" xr3:uid="{D3371B1A-A982-415B-87F0-FC3F8A0758A1}" name="CAN" totalsRowFunction="sum" dataDxfId="184" totalsRowDxfId="183" dataCellStyle="Normal 2"/>
    <tableColumn id="11" xr3:uid="{6A95300C-5C9F-491E-9E35-E27919140207}" name="AU" totalsRowFunction="sum" dataDxfId="182" totalsRowDxfId="181" dataCellStyle="Normal 2"/>
    <tableColumn id="12" xr3:uid="{E3FC1510-2FA4-40D3-B6A9-DC1028EC8A6F}" name="AE" totalsRowFunction="sum" dataDxfId="180" totalsRowDxfId="179" dataCellStyle="Normal 2"/>
    <tableColumn id="13" xr3:uid="{D1A702C4-8D54-4558-921E-A31873C1E7A8}" name="SG" totalsRowFunction="sum" dataDxfId="178" totalsRowDxfId="177" dataCellStyle="Normal 2"/>
    <tableColumn id="14" xr3:uid="{433C5AF3-91F6-4593-A480-791A8344E33F}" name="VN" totalsRowFunction="sum" dataDxfId="176" totalsRowDxfId="175" dataCellStyle="Normal 2"/>
    <tableColumn id="15" xr3:uid="{3E8757CB-E649-485C-9B7B-F286AFCB5CAE}" name="SA" totalsRowFunction="sum" dataDxfId="174" totalsRowDxfId="173" dataCellStyle="Normal 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7C9D30B-C137-45CE-94D3-1136323AA8AB}" name="TbCountHealth" displayName="TbCountHealth" ref="R128:AE143" totalsRowCount="1" headerRowDxfId="172" dataDxfId="171" tableBorderDxfId="170" headerRowCellStyle="Normal 2" dataCellStyle="Normal 2">
  <autoFilter ref="R128:AE142" xr:uid="{97C9D30B-C137-45CE-94D3-1136323AA8AB}"/>
  <tableColumns count="14">
    <tableColumn id="1" xr3:uid="{E1217A91-0020-43F9-AA70-0C62B370894F}" name="HealthCare PS Count" dataDxfId="169" totalsRowDxfId="168" dataCellStyle="Normal 2"/>
    <tableColumn id="2" xr3:uid="{A38E2562-8E1C-46DE-AD1D-990AED33143E}" name="US" totalsRowFunction="sum" dataDxfId="167" totalsRowDxfId="166" dataCellStyle="Normal 2"/>
    <tableColumn id="3" xr3:uid="{72368340-9945-47C1-9C84-636AB668DB11}" name="UK" totalsRowFunction="sum" dataDxfId="165" totalsRowDxfId="164" dataCellStyle="Normal 2"/>
    <tableColumn id="4" xr3:uid="{F8F471A8-1F35-4329-8393-24E00B543EF2}" name="DE" totalsRowFunction="sum" dataDxfId="163" totalsRowDxfId="162" dataCellStyle="Normal 2"/>
    <tableColumn id="5" xr3:uid="{862D102B-08A5-4D60-8C24-260FAA71F49A}" name="PL" totalsRowFunction="sum" dataDxfId="161" totalsRowDxfId="160" dataCellStyle="Normal 2"/>
    <tableColumn id="6" xr3:uid="{F928EC6F-7744-4CDE-A827-FF41A7F1DDD1}" name="NL" totalsRowFunction="sum" dataDxfId="159" totalsRowDxfId="158" dataCellStyle="Normal 2"/>
    <tableColumn id="7" xr3:uid="{98172ADF-3495-40EF-BCBE-DDA022BCD8F1}" name="MX" totalsRowFunction="sum" dataDxfId="157" totalsRowDxfId="156" dataCellStyle="Normal 2"/>
    <tableColumn id="8" xr3:uid="{11E461EA-E788-4896-864B-1186973BCC65}" name="IN" totalsRowFunction="sum" dataDxfId="155" totalsRowDxfId="154" dataCellStyle="Normal 2"/>
    <tableColumn id="9" xr3:uid="{8D5800F8-6E8D-4CE5-B4E1-EAEAB5490D06}" name="EG" totalsRowFunction="sum" dataDxfId="153" totalsRowDxfId="152" dataCellStyle="Normal 2"/>
    <tableColumn id="10" xr3:uid="{7F66F01C-D90A-4C37-8ACF-E73C1364EFDD}" name="CAN" totalsRowFunction="sum" dataDxfId="151" totalsRowDxfId="150" dataCellStyle="Normal 2"/>
    <tableColumn id="11" xr3:uid="{A8926EDB-6018-4262-90A8-31CEC8C80BB4}" name="AU" totalsRowFunction="sum" dataDxfId="149" totalsRowDxfId="148" dataCellStyle="Normal 2"/>
    <tableColumn id="12" xr3:uid="{8B7643EB-B6FC-4108-8454-0013267E3319}" name="AE" totalsRowFunction="sum" dataDxfId="147" totalsRowDxfId="146" dataCellStyle="Normal 2"/>
    <tableColumn id="13" xr3:uid="{DC992AE5-3B7F-450E-AF2B-26A4023BC183}" name="SG" totalsRowFunction="sum" dataDxfId="145" totalsRowDxfId="144" dataCellStyle="Normal 2"/>
    <tableColumn id="14" xr3:uid="{7AC7CE82-B951-4D09-84F7-77908C9B02C1}" name="VN" totalsRowFunction="sum" dataDxfId="143" totalsRowDxfId="14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6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12.xml"/><Relationship Id="rId11" Type="http://schemas.openxmlformats.org/officeDocument/2006/relationships/table" Target="../tables/table17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table" Target="../tables/table1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18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12" Type="http://schemas.openxmlformats.org/officeDocument/2006/relationships/table" Target="../tables/table30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24.xml"/><Relationship Id="rId11" Type="http://schemas.openxmlformats.org/officeDocument/2006/relationships/table" Target="../tables/table29.xml"/><Relationship Id="rId5" Type="http://schemas.openxmlformats.org/officeDocument/2006/relationships/table" Target="../tables/table23.xml"/><Relationship Id="rId10" Type="http://schemas.openxmlformats.org/officeDocument/2006/relationships/table" Target="../tables/table28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D94A-8A9F-4C96-A78A-A6B6740972D2}">
  <sheetPr codeName="Sheet5"/>
  <dimension ref="B3:E12"/>
  <sheetViews>
    <sheetView showGridLines="0" topLeftCell="A8" workbookViewId="0">
      <selection activeCell="E12" sqref="E12"/>
    </sheetView>
  </sheetViews>
  <sheetFormatPr defaultColWidth="8.85546875" defaultRowHeight="15"/>
  <cols>
    <col min="2" max="2" width="11" bestFit="1" customWidth="1"/>
    <col min="3" max="4" width="15.42578125" customWidth="1"/>
    <col min="5" max="5" width="33.42578125" customWidth="1"/>
  </cols>
  <sheetData>
    <row r="3" spans="2:5" ht="15.75" thickBot="1"/>
    <row r="4" spans="2:5" ht="15.75" thickBot="1">
      <c r="B4" s="245" t="s">
        <v>0</v>
      </c>
      <c r="C4" s="246" t="s">
        <v>1</v>
      </c>
      <c r="D4" s="246" t="s">
        <v>2</v>
      </c>
      <c r="E4" s="204" t="s">
        <v>3</v>
      </c>
    </row>
    <row r="5" spans="2:5">
      <c r="B5" s="505">
        <v>1</v>
      </c>
      <c r="C5" t="s">
        <v>4</v>
      </c>
      <c r="D5" t="s">
        <v>5</v>
      </c>
      <c r="E5" t="s">
        <v>6</v>
      </c>
    </row>
    <row r="6" spans="2:5" ht="60">
      <c r="B6" s="505">
        <v>2</v>
      </c>
      <c r="C6" s="504" t="s">
        <v>7</v>
      </c>
      <c r="D6" s="504" t="s">
        <v>5</v>
      </c>
      <c r="E6" s="385" t="s">
        <v>8</v>
      </c>
    </row>
    <row r="7" spans="2:5" ht="30">
      <c r="B7" s="505">
        <v>3</v>
      </c>
      <c r="C7" s="504" t="s">
        <v>9</v>
      </c>
      <c r="D7" s="504" t="s">
        <v>5</v>
      </c>
      <c r="E7" s="385" t="s">
        <v>10</v>
      </c>
    </row>
    <row r="8" spans="2:5" ht="30">
      <c r="B8" s="505">
        <v>4</v>
      </c>
      <c r="C8" s="504" t="s">
        <v>11</v>
      </c>
      <c r="D8" s="504" t="s">
        <v>5</v>
      </c>
      <c r="E8" s="385" t="s">
        <v>12</v>
      </c>
    </row>
    <row r="9" spans="2:5" ht="45">
      <c r="B9" s="505">
        <v>5</v>
      </c>
      <c r="C9" s="504" t="s">
        <v>13</v>
      </c>
      <c r="D9" s="504" t="s">
        <v>5</v>
      </c>
      <c r="E9" s="385" t="s">
        <v>14</v>
      </c>
    </row>
    <row r="10" spans="2:5" ht="45">
      <c r="B10" s="505">
        <v>6</v>
      </c>
      <c r="C10" s="504" t="s">
        <v>15</v>
      </c>
      <c r="D10" s="504" t="s">
        <v>5</v>
      </c>
      <c r="E10" s="385" t="s">
        <v>16</v>
      </c>
    </row>
    <row r="11" spans="2:5" ht="60">
      <c r="B11" s="505">
        <v>7</v>
      </c>
      <c r="C11" s="504" t="s">
        <v>17</v>
      </c>
      <c r="D11" s="504" t="s">
        <v>5</v>
      </c>
      <c r="E11" s="385" t="s">
        <v>18</v>
      </c>
    </row>
    <row r="12" spans="2:5" ht="60">
      <c r="B12" s="505">
        <v>8</v>
      </c>
      <c r="C12" s="504" t="s">
        <v>19</v>
      </c>
      <c r="D12" s="504" t="s">
        <v>5</v>
      </c>
      <c r="E12" s="38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7CC9-9581-4A7A-8336-CD8FC84DD087}">
  <sheetPr codeName="Sheet13"/>
  <dimension ref="B1:AC90"/>
  <sheetViews>
    <sheetView showGridLines="0" topLeftCell="A17" zoomScale="115" zoomScaleNormal="115" workbookViewId="0">
      <selection activeCell="C24" sqref="C24"/>
    </sheetView>
  </sheetViews>
  <sheetFormatPr defaultColWidth="8.85546875" defaultRowHeight="15" outlineLevelRow="1"/>
  <cols>
    <col min="2" max="2" width="31.140625" customWidth="1"/>
    <col min="3" max="3" width="39.42578125" customWidth="1"/>
    <col min="4" max="4" width="54.42578125" customWidth="1"/>
    <col min="5" max="5" width="28.42578125" customWidth="1"/>
    <col min="6" max="6" width="90" customWidth="1"/>
    <col min="28" max="28" width="19" customWidth="1"/>
  </cols>
  <sheetData>
    <row r="1" spans="2:29" ht="15.75" thickBot="1">
      <c r="AA1" s="300" t="str">
        <f ca="1">AA2&amp;TEXT(AB2,"mm-dd-yy")&amp;" at " &amp; TEXT(AB2,"hh-mm")</f>
        <v>Snapshot on 05-08-26 at 10-13</v>
      </c>
      <c r="AB1" s="300"/>
      <c r="AC1" s="300"/>
    </row>
    <row r="2" spans="2:29" ht="15.75" thickBot="1">
      <c r="B2" s="166" t="s">
        <v>21</v>
      </c>
      <c r="C2" s="167"/>
      <c r="D2" s="360" t="str">
        <f>"ver " &amp; Calculator!E1</f>
        <v xml:space="preserve">ver Updated: 2/15/2025 </v>
      </c>
      <c r="AA2" s="300" t="s">
        <v>22</v>
      </c>
      <c r="AB2" s="301">
        <f ca="1">NOW()</f>
        <v>46150.425783564817</v>
      </c>
      <c r="AC2" s="300"/>
    </row>
    <row r="3" spans="2:29" ht="18.75">
      <c r="B3" s="168" t="s">
        <v>23</v>
      </c>
      <c r="C3" s="171"/>
      <c r="D3" s="174" t="s">
        <v>24</v>
      </c>
      <c r="F3" s="338" t="str">
        <f>IF(expiry_code=1,"The rate card has expired. Please download the latest version from Solution hub","")</f>
        <v/>
      </c>
      <c r="AA3" s="300"/>
      <c r="AB3" s="302">
        <f ca="1">NOW()</f>
        <v>46150.425783564817</v>
      </c>
      <c r="AC3" s="300"/>
    </row>
    <row r="4" spans="2:29">
      <c r="B4" s="169" t="s">
        <v>25</v>
      </c>
      <c r="C4" s="283"/>
      <c r="D4" s="175" t="s">
        <v>26</v>
      </c>
    </row>
    <row r="5" spans="2:29">
      <c r="B5" s="169" t="s">
        <v>27</v>
      </c>
      <c r="C5" s="284" t="str">
        <f>Calculator!F4</f>
        <v>UK</v>
      </c>
      <c r="D5" s="26"/>
    </row>
    <row r="6" spans="2:29">
      <c r="B6" s="169" t="s">
        <v>28</v>
      </c>
      <c r="C6" s="581"/>
      <c r="D6" s="581"/>
    </row>
    <row r="7" spans="2:29">
      <c r="B7" s="169" t="s">
        <v>29</v>
      </c>
      <c r="C7" s="581"/>
      <c r="D7" s="581"/>
    </row>
    <row r="8" spans="2:29">
      <c r="B8" s="169"/>
      <c r="C8" s="402" t="s">
        <v>30</v>
      </c>
      <c r="D8" s="403" t="s">
        <v>31</v>
      </c>
    </row>
    <row r="9" spans="2:29">
      <c r="B9" s="169" t="s">
        <v>32</v>
      </c>
      <c r="C9" s="283"/>
      <c r="D9" s="285"/>
    </row>
    <row r="10" spans="2:29">
      <c r="B10" s="169" t="s">
        <v>33</v>
      </c>
      <c r="C10" s="283"/>
      <c r="D10" s="285"/>
    </row>
    <row r="11" spans="2:29">
      <c r="B11" s="169" t="s">
        <v>34</v>
      </c>
      <c r="C11" s="283"/>
      <c r="D11" s="285"/>
    </row>
    <row r="12" spans="2:29">
      <c r="B12" s="169" t="s">
        <v>35</v>
      </c>
      <c r="C12" s="283"/>
      <c r="D12" s="285"/>
    </row>
    <row r="13" spans="2:29">
      <c r="B13" s="169" t="s">
        <v>36</v>
      </c>
      <c r="C13" s="283"/>
      <c r="D13" s="285"/>
    </row>
    <row r="14" spans="2:29">
      <c r="B14" s="169" t="s">
        <v>37</v>
      </c>
      <c r="C14" s="582"/>
      <c r="D14" s="583"/>
    </row>
    <row r="15" spans="2:29">
      <c r="B15" s="169" t="s">
        <v>38</v>
      </c>
      <c r="C15" s="284"/>
      <c r="D15" s="172"/>
    </row>
    <row r="16" spans="2:29">
      <c r="B16" s="169" t="s">
        <v>39</v>
      </c>
      <c r="C16" s="286"/>
      <c r="D16" s="26"/>
    </row>
    <row r="17" spans="2:6">
      <c r="B17" s="169" t="s">
        <v>40</v>
      </c>
      <c r="C17" s="286"/>
      <c r="D17" s="26"/>
    </row>
    <row r="18" spans="2:6">
      <c r="B18" s="169" t="s">
        <v>41</v>
      </c>
      <c r="C18" s="284"/>
      <c r="D18" s="26"/>
    </row>
    <row r="19" spans="2:6" ht="15.75" thickBot="1">
      <c r="B19" s="170" t="s">
        <v>42</v>
      </c>
      <c r="C19" s="173"/>
      <c r="D19" s="24"/>
    </row>
    <row r="21" spans="2:6" ht="15.75" thickBot="1"/>
    <row r="22" spans="2:6">
      <c r="B22" s="176" t="s">
        <v>43</v>
      </c>
      <c r="C22" s="177">
        <f ca="1">Calculator!I11/(1-Calculator!I9)</f>
        <v>218571</v>
      </c>
      <c r="D22" s="584"/>
      <c r="E22" s="585"/>
    </row>
    <row r="23" spans="2:6">
      <c r="B23" s="178" t="s">
        <v>44</v>
      </c>
      <c r="C23" s="179">
        <f ca="1">-Calculator!I11/(1-Calculator!I9)*Calculator!I9</f>
        <v>-118879.21503171616</v>
      </c>
      <c r="D23" s="586"/>
      <c r="E23" s="587"/>
    </row>
    <row r="24" spans="2:6">
      <c r="B24" s="180" t="s">
        <v>45</v>
      </c>
      <c r="C24" s="181">
        <f ca="1">C22+C23</f>
        <v>99691.784968283842</v>
      </c>
      <c r="D24" s="588"/>
      <c r="E24" s="589"/>
    </row>
    <row r="25" spans="2:6">
      <c r="B25" s="178" t="s">
        <v>46</v>
      </c>
      <c r="C25" s="182">
        <f ca="1">IF(Calculator!F8="Yes",75%/85%,1)*Calculator!F14</f>
        <v>94942.840941675066</v>
      </c>
      <c r="D25" s="590" t="str">
        <f ca="1">Calculator!I12 &amp; " " &amp; Calculator!J12 &amp; " efforts"</f>
        <v>160 Days efforts</v>
      </c>
      <c r="E25" s="587"/>
    </row>
    <row r="26" spans="2:6">
      <c r="B26" s="178" t="s">
        <v>47</v>
      </c>
      <c r="C26" s="182">
        <f>Calculator!F16</f>
        <v>0</v>
      </c>
      <c r="D26" s="579"/>
      <c r="E26" s="580"/>
    </row>
    <row r="27" spans="2:6">
      <c r="B27" s="178" t="s">
        <v>48</v>
      </c>
      <c r="C27" s="182">
        <f>Calculator!F11</f>
        <v>0</v>
      </c>
      <c r="D27" s="590"/>
      <c r="E27" s="587"/>
    </row>
    <row r="28" spans="2:6">
      <c r="B28" s="178" t="s">
        <v>49</v>
      </c>
      <c r="C28" s="182">
        <f ca="1">Calculator!F17</f>
        <v>0</v>
      </c>
      <c r="D28" s="392"/>
      <c r="E28" s="393"/>
    </row>
    <row r="29" spans="2:6">
      <c r="B29" s="178" t="s">
        <v>50</v>
      </c>
      <c r="C29" s="390">
        <f ca="1">Contingency_amount</f>
        <v>4747.1420470837538</v>
      </c>
      <c r="D29" s="590"/>
      <c r="E29" s="587"/>
    </row>
    <row r="30" spans="2:6">
      <c r="B30" s="178" t="s">
        <v>51</v>
      </c>
      <c r="C30" s="373">
        <f ca="1">IFERROR(Contingency_amount/C24,"")</f>
        <v>4.7618186880634343E-2</v>
      </c>
      <c r="D30" s="593" t="s">
        <v>52</v>
      </c>
      <c r="E30" s="594"/>
    </row>
    <row r="31" spans="2:6">
      <c r="B31" s="183" t="s">
        <v>53</v>
      </c>
      <c r="C31" s="184">
        <f ca="1">SUBTOTAL(9,C25:C29)</f>
        <v>99689.982988758813</v>
      </c>
      <c r="D31" s="590"/>
      <c r="E31" s="587"/>
    </row>
    <row r="32" spans="2:6" ht="15.75" thickBot="1">
      <c r="B32" s="183" t="s">
        <v>54</v>
      </c>
      <c r="C32" s="182">
        <f ca="1">C24-C31</f>
        <v>1.80197952502931</v>
      </c>
      <c r="D32" s="590"/>
      <c r="E32" s="587"/>
      <c r="F32" s="389"/>
    </row>
    <row r="33" spans="2:5" ht="16.5" thickBot="1">
      <c r="B33" s="310" t="s">
        <v>55</v>
      </c>
      <c r="C33" s="391">
        <f ca="1">IFERROR(C32/C24,"")</f>
        <v>1.807550667893644E-5</v>
      </c>
      <c r="D33" s="595" t="str">
        <f ca="1">IF(C33&lt;40%,"Approval needed: Please fill in the appovers in summary above once approved", "Approved margins")</f>
        <v>Approval needed: Please fill in the appovers in summary above once approved</v>
      </c>
      <c r="E33" s="596"/>
    </row>
    <row r="34" spans="2:5" ht="15.75" thickBot="1">
      <c r="B34" s="185"/>
      <c r="C34" s="311"/>
      <c r="D34" s="591"/>
      <c r="E34" s="592"/>
    </row>
    <row r="36" spans="2:5" ht="15.75" thickBot="1"/>
    <row r="37" spans="2:5" ht="15.75" thickBot="1">
      <c r="B37" s="205" t="s">
        <v>56</v>
      </c>
    </row>
    <row r="41" spans="2:5" ht="15" customHeight="1"/>
    <row r="42" spans="2:5" ht="42.6" customHeight="1"/>
    <row r="47" spans="2:5" ht="14.45" customHeight="1"/>
    <row r="51" ht="14.45" customHeight="1"/>
    <row r="53" ht="14.45" customHeight="1"/>
    <row r="68" spans="2:4">
      <c r="B68" s="361" t="s">
        <v>57</v>
      </c>
      <c r="C68" s="297"/>
      <c r="D68" s="297"/>
    </row>
    <row r="84" spans="2:6" hidden="1" outlineLevel="1">
      <c r="B84" s="577" t="s">
        <v>58</v>
      </c>
      <c r="C84" s="578"/>
      <c r="D84" s="578"/>
      <c r="E84" s="578"/>
      <c r="F84" s="197" t="s">
        <v>59</v>
      </c>
    </row>
    <row r="85" spans="2:6" ht="152.1" hidden="1" customHeight="1" outlineLevel="1">
      <c r="B85" s="198" t="s">
        <v>60</v>
      </c>
      <c r="C85" s="572"/>
      <c r="D85" s="573"/>
      <c r="E85" s="573"/>
      <c r="F85" s="201" t="s">
        <v>61</v>
      </c>
    </row>
    <row r="86" spans="2:6" ht="46.35" hidden="1" customHeight="1" outlineLevel="1">
      <c r="B86" s="199" t="s">
        <v>62</v>
      </c>
      <c r="C86" s="572"/>
      <c r="D86" s="573"/>
      <c r="E86" s="573"/>
      <c r="F86" s="202" t="s">
        <v>63</v>
      </c>
    </row>
    <row r="87" spans="2:6" ht="42.6" hidden="1" customHeight="1" outlineLevel="1">
      <c r="B87" s="199" t="s">
        <v>64</v>
      </c>
      <c r="C87" s="572" t="s">
        <v>65</v>
      </c>
      <c r="D87" s="573"/>
      <c r="E87" s="573"/>
      <c r="F87" s="202" t="s">
        <v>66</v>
      </c>
    </row>
    <row r="88" spans="2:6" ht="30" hidden="1" customHeight="1" outlineLevel="1">
      <c r="B88" s="199" t="s">
        <v>67</v>
      </c>
      <c r="C88" s="572" t="s">
        <v>68</v>
      </c>
      <c r="D88" s="574"/>
      <c r="E88" s="574"/>
      <c r="F88" s="202" t="s">
        <v>69</v>
      </c>
    </row>
    <row r="89" spans="2:6" ht="42" hidden="1" customHeight="1" outlineLevel="1" thickBot="1">
      <c r="B89" s="200" t="s">
        <v>70</v>
      </c>
      <c r="C89" s="575" t="s">
        <v>71</v>
      </c>
      <c r="D89" s="576"/>
      <c r="E89" s="576"/>
      <c r="F89" s="203" t="s">
        <v>72</v>
      </c>
    </row>
    <row r="90" spans="2:6" collapsed="1"/>
  </sheetData>
  <mergeCells count="21">
    <mergeCell ref="D34:E34"/>
    <mergeCell ref="D27:E27"/>
    <mergeCell ref="D29:E29"/>
    <mergeCell ref="D30:E30"/>
    <mergeCell ref="D31:E31"/>
    <mergeCell ref="D32:E32"/>
    <mergeCell ref="D33:E33"/>
    <mergeCell ref="D26:E26"/>
    <mergeCell ref="C6:D6"/>
    <mergeCell ref="C7:D7"/>
    <mergeCell ref="C14:D14"/>
    <mergeCell ref="D22:E22"/>
    <mergeCell ref="D23:E23"/>
    <mergeCell ref="D24:E24"/>
    <mergeCell ref="D25:E25"/>
    <mergeCell ref="C87:E87"/>
    <mergeCell ref="C88:E88"/>
    <mergeCell ref="C89:E89"/>
    <mergeCell ref="B84:E84"/>
    <mergeCell ref="C85:E85"/>
    <mergeCell ref="C86:E86"/>
  </mergeCells>
  <conditionalFormatting sqref="C3:C4">
    <cfRule type="expression" dxfId="141" priority="21">
      <formula>ISBLANK(C3)</formula>
    </cfRule>
  </conditionalFormatting>
  <conditionalFormatting sqref="C16">
    <cfRule type="expression" dxfId="140" priority="12">
      <formula>C16&lt;TODAY()</formula>
    </cfRule>
  </conditionalFormatting>
  <conditionalFormatting sqref="C16:C17">
    <cfRule type="expression" dxfId="139" priority="10">
      <formula>ISBLANK(C16)</formula>
    </cfRule>
  </conditionalFormatting>
  <conditionalFormatting sqref="C34">
    <cfRule type="expression" dxfId="138" priority="9">
      <formula>AND(Delivery_Type="Fixed Price", C34&gt;Max_Allowed_Unbilled)</formula>
    </cfRule>
  </conditionalFormatting>
  <conditionalFormatting sqref="C6:D14">
    <cfRule type="expression" dxfId="137" priority="3">
      <formula>ISBLANK(C6)</formula>
    </cfRule>
  </conditionalFormatting>
  <conditionalFormatting sqref="D9:D13">
    <cfRule type="expression" dxfId="136" priority="4">
      <formula>D9&lt;TODAY()</formula>
    </cfRule>
  </conditionalFormatting>
  <conditionalFormatting sqref="D33:E33">
    <cfRule type="expression" dxfId="135" priority="1">
      <formula>IF($C$33&lt;40%,1,0)</formula>
    </cfRule>
  </conditionalFormatting>
  <conditionalFormatting sqref="F3">
    <cfRule type="expression" dxfId="134" priority="2">
      <formula>IF(expiry_code=1,1,0)</formula>
    </cfRule>
  </conditionalFormatting>
  <dataValidations disablePrompts="1" count="2">
    <dataValidation type="decimal" operator="lessThanOrEqual" allowBlank="1" showInputMessage="1" showErrorMessage="1" promptTitle="Discount" prompt="Put a -ve value to get approval to go down to the minimum approved revenue without having to get re-approval for the deal._x000a__x000a__x000a_Otherwise leave blank" sqref="C23" xr:uid="{285DCA94-8ECE-465C-A81A-A12B3937E167}">
      <formula1>0</formula1>
    </dataValidation>
    <dataValidation allowBlank="1" showInputMessage="1" showErrorMessage="1" error="Delivery approver must be from the drop down list" sqref="C10:C11" xr:uid="{F83A81A0-9413-4ACA-8B71-3024E8386C93}"/>
  </dataValidations>
  <pageMargins left="0.7" right="0.7" top="0.75" bottom="0.75" header="0.3" footer="0.3"/>
  <pageSetup paperSize="9" orientation="portrait" r:id="rId1"/>
  <ignoredErrors>
    <ignoredError sqref="C5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30" r:id="rId4" name="Button 2">
              <controlPr defaultSize="0" print="0" autoFill="0" autoPict="0" macro="[0]!Macro7">
                <anchor moveWithCells="1" sizeWithCells="1">
                  <from>
                    <xdr:col>26</xdr:col>
                    <xdr:colOff>295275</xdr:colOff>
                    <xdr:row>10</xdr:row>
                    <xdr:rowOff>180975</xdr:rowOff>
                  </from>
                  <to>
                    <xdr:col>28</xdr:col>
                    <xdr:colOff>600075</xdr:colOff>
                    <xdr:row>13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9FCA-1DA7-494D-BCAF-1AFCEDEC2337}">
  <sheetPr codeName="Sheet6"/>
  <dimension ref="A1:CJ152"/>
  <sheetViews>
    <sheetView showGridLines="0" topLeftCell="CJ1" workbookViewId="0">
      <selection activeCell="CQ6" sqref="CQ6"/>
    </sheetView>
  </sheetViews>
  <sheetFormatPr defaultColWidth="8.85546875" defaultRowHeight="15" outlineLevelCol="1"/>
  <cols>
    <col min="1" max="2" width="8.85546875" hidden="1" customWidth="1" outlineLevel="1"/>
    <col min="3" max="4" width="20.42578125" hidden="1" customWidth="1" outlineLevel="1"/>
    <col min="5" max="6" width="21.42578125" hidden="1" customWidth="1" outlineLevel="1"/>
    <col min="7" max="7" width="52.42578125" hidden="1" customWidth="1" outlineLevel="1"/>
    <col min="8" max="8" width="33.42578125" hidden="1" customWidth="1" outlineLevel="1"/>
    <col min="9" max="9" width="31" hidden="1" customWidth="1" outlineLevel="1"/>
    <col min="10" max="10" width="31.42578125" hidden="1" customWidth="1" outlineLevel="1"/>
    <col min="11" max="11" width="18.42578125" hidden="1" customWidth="1" outlineLevel="1"/>
    <col min="12" max="22" width="8.85546875" hidden="1" customWidth="1" outlineLevel="1"/>
    <col min="23" max="23" width="22.42578125" hidden="1" customWidth="1" outlineLevel="1"/>
    <col min="24" max="24" width="36.42578125" hidden="1" customWidth="1" outlineLevel="1"/>
    <col min="25" max="25" width="8.85546875" hidden="1" customWidth="1" outlineLevel="1"/>
    <col min="26" max="26" width="12.42578125" hidden="1" customWidth="1" outlineLevel="1"/>
    <col min="27" max="28" width="8.85546875" hidden="1" customWidth="1" outlineLevel="1"/>
    <col min="29" max="29" width="24.140625" hidden="1" customWidth="1" outlineLevel="1"/>
    <col min="30" max="30" width="29.42578125" hidden="1" customWidth="1" outlineLevel="1"/>
    <col min="31" max="78" width="8.85546875" hidden="1" customWidth="1" outlineLevel="1"/>
    <col min="79" max="79" width="15.42578125" hidden="1" customWidth="1" outlineLevel="1"/>
    <col min="80" max="80" width="10.42578125" hidden="1" customWidth="1" outlineLevel="1"/>
    <col min="81" max="85" width="8.85546875" hidden="1" customWidth="1" outlineLevel="1"/>
    <col min="86" max="86" width="8.85546875" hidden="1" customWidth="1" outlineLevel="1" collapsed="1"/>
    <col min="87" max="87" width="8.85546875" hidden="1" customWidth="1" outlineLevel="1"/>
    <col min="88" max="88" width="8.85546875" collapsed="1"/>
  </cols>
  <sheetData>
    <row r="1" spans="3:84" ht="15.75" thickBot="1">
      <c r="W1" s="14" t="s">
        <v>73</v>
      </c>
      <c r="Z1" s="14" t="s">
        <v>74</v>
      </c>
      <c r="AC1" t="s">
        <v>75</v>
      </c>
      <c r="BZ1" t="s">
        <v>76</v>
      </c>
      <c r="CA1" t="s">
        <v>77</v>
      </c>
      <c r="CC1" s="507"/>
      <c r="CD1" s="10"/>
    </row>
    <row r="2" spans="3:84" ht="15.75" thickBot="1">
      <c r="C2" t="s">
        <v>78</v>
      </c>
      <c r="E2" t="s">
        <v>79</v>
      </c>
      <c r="G2" t="s">
        <v>80</v>
      </c>
      <c r="J2" s="597" t="s">
        <v>81</v>
      </c>
      <c r="K2" s="598"/>
      <c r="W2" t="s">
        <v>82</v>
      </c>
      <c r="X2" t="s">
        <v>83</v>
      </c>
      <c r="Z2" t="str" cm="1">
        <f t="array" ref="Z2:Z20">_xlfn.UNIQUE(tb_role_map[Role])</f>
        <v>Arch</v>
      </c>
      <c r="AC2" t="s">
        <v>84</v>
      </c>
      <c r="CA2" s="14" t="s">
        <v>85</v>
      </c>
      <c r="CB2" s="336" t="e">
        <f>VALUE(TRIM(MID(Calculator!E1,9,10)))</f>
        <v>#VALUE!</v>
      </c>
    </row>
    <row r="3" spans="3:84" ht="15.75" thickBot="1">
      <c r="C3" s="81" t="s">
        <v>86</v>
      </c>
      <c r="E3" s="82" t="s">
        <v>87</v>
      </c>
      <c r="G3" s="154" t="s">
        <v>82</v>
      </c>
      <c r="H3" s="83" t="s">
        <v>88</v>
      </c>
      <c r="I3" s="11"/>
      <c r="J3" s="69" t="s">
        <v>89</v>
      </c>
      <c r="K3" s="70" t="s">
        <v>90</v>
      </c>
      <c r="W3" t="s">
        <v>91</v>
      </c>
      <c r="X3" t="s">
        <v>92</v>
      </c>
      <c r="Z3" t="str">
        <v>Advisory Consultant</v>
      </c>
      <c r="CA3" t="s">
        <v>93</v>
      </c>
      <c r="CB3" s="336">
        <v>45322</v>
      </c>
      <c r="CD3" s="11" t="s">
        <v>94</v>
      </c>
      <c r="CE3" s="11" t="s">
        <v>95</v>
      </c>
      <c r="CF3" s="11" t="s">
        <v>96</v>
      </c>
    </row>
    <row r="4" spans="3:84">
      <c r="C4" s="11" t="s">
        <v>97</v>
      </c>
      <c r="D4" s="11"/>
      <c r="E4" s="2" t="s">
        <v>98</v>
      </c>
      <c r="G4" s="155" t="s">
        <v>99</v>
      </c>
      <c r="H4" s="156" t="s">
        <v>100</v>
      </c>
      <c r="J4" s="55" t="s">
        <v>101</v>
      </c>
      <c r="K4" s="56">
        <v>1</v>
      </c>
      <c r="W4" t="s">
        <v>91</v>
      </c>
      <c r="X4" t="s">
        <v>102</v>
      </c>
      <c r="Z4" t="str">
        <v>Sr. Advisory Consultant</v>
      </c>
      <c r="CA4" t="s">
        <v>103</v>
      </c>
      <c r="CB4" s="336">
        <f ca="1">TODAY()</f>
        <v>46150</v>
      </c>
      <c r="CD4" s="11">
        <f ca="1">MONTH(CB4)</f>
        <v>5</v>
      </c>
      <c r="CE4" s="11">
        <f ca="1">DAY(CB4)</f>
        <v>8</v>
      </c>
      <c r="CF4" s="11">
        <f ca="1">YEAR(CB4)</f>
        <v>2026</v>
      </c>
    </row>
    <row r="5" spans="3:84">
      <c r="C5" s="11" t="s">
        <v>104</v>
      </c>
      <c r="D5" s="11"/>
      <c r="E5" s="2" t="s">
        <v>105</v>
      </c>
      <c r="G5" s="7" t="s">
        <v>106</v>
      </c>
      <c r="H5" s="156" t="s">
        <v>107</v>
      </c>
      <c r="J5" s="57" t="s">
        <v>108</v>
      </c>
      <c r="K5" s="58">
        <v>0.83</v>
      </c>
      <c r="W5" t="s">
        <v>91</v>
      </c>
      <c r="X5" t="s">
        <v>109</v>
      </c>
      <c r="Z5" t="str">
        <v>Developer</v>
      </c>
      <c r="CA5" s="134" t="s">
        <v>110</v>
      </c>
      <c r="CB5" s="337" t="e">
        <f>150+CB2</f>
        <v>#VALUE!</v>
      </c>
      <c r="CD5" s="11" t="e">
        <f>MONTH(CB5)</f>
        <v>#VALUE!</v>
      </c>
      <c r="CE5" s="11" t="e">
        <f>DAY(CB5)</f>
        <v>#VALUE!</v>
      </c>
      <c r="CF5" s="11" t="e">
        <f>YEAR(CB5)</f>
        <v>#VALUE!</v>
      </c>
    </row>
    <row r="6" spans="3:84">
      <c r="C6" s="11" t="s">
        <v>111</v>
      </c>
      <c r="D6" s="11"/>
      <c r="E6" s="2" t="s">
        <v>112</v>
      </c>
      <c r="G6" s="155" t="s">
        <v>113</v>
      </c>
      <c r="H6" s="156" t="s">
        <v>114</v>
      </c>
      <c r="J6" s="57" t="s">
        <v>115</v>
      </c>
      <c r="K6" s="58">
        <v>0.95</v>
      </c>
      <c r="W6" t="s">
        <v>116</v>
      </c>
      <c r="X6" t="s">
        <v>117</v>
      </c>
      <c r="Z6" t="str">
        <v>EM/PJM</v>
      </c>
      <c r="CA6" t="s">
        <v>118</v>
      </c>
      <c r="CB6" s="14">
        <f>CB10</f>
        <v>0</v>
      </c>
      <c r="CD6" s="187" t="e">
        <f ca="1">IF(DATE(CF4,CD4,CE4)&gt;DATE(CF5,CD5,CE5),1,0)</f>
        <v>#VALUE!</v>
      </c>
      <c r="CE6" s="11"/>
      <c r="CF6" s="11"/>
    </row>
    <row r="7" spans="3:84">
      <c r="C7" s="11" t="s">
        <v>119</v>
      </c>
      <c r="D7" s="11"/>
      <c r="E7" s="2" t="s">
        <v>120</v>
      </c>
      <c r="G7" s="7" t="s">
        <v>91</v>
      </c>
      <c r="H7" s="156" t="s">
        <v>121</v>
      </c>
      <c r="J7" s="59" t="s">
        <v>122</v>
      </c>
      <c r="K7" s="58">
        <v>1.54</v>
      </c>
      <c r="W7" t="s">
        <v>116</v>
      </c>
      <c r="X7" t="s">
        <v>116</v>
      </c>
      <c r="Z7" t="str">
        <v>Eng</v>
      </c>
      <c r="CA7" t="s">
        <v>123</v>
      </c>
      <c r="CB7" t="str">
        <f ca="1">IFERROR(IF(DATE(CF4,CD4,CE4)&gt;DATE(CF5,CD5,CE5),0,1),"Error in date")</f>
        <v>Error in date</v>
      </c>
    </row>
    <row r="8" spans="3:84" ht="15.75" thickBot="1">
      <c r="C8" s="11" t="s">
        <v>124</v>
      </c>
      <c r="D8" s="11"/>
      <c r="E8" s="2" t="s">
        <v>125</v>
      </c>
      <c r="G8" s="155" t="s">
        <v>126</v>
      </c>
      <c r="H8" s="156" t="s">
        <v>127</v>
      </c>
      <c r="J8" s="60" t="s">
        <v>128</v>
      </c>
      <c r="K8" s="61">
        <v>1.35</v>
      </c>
      <c r="W8" t="s">
        <v>116</v>
      </c>
      <c r="X8" t="s">
        <v>129</v>
      </c>
      <c r="Z8" t="str">
        <v>Jr. Eng</v>
      </c>
    </row>
    <row r="9" spans="3:84">
      <c r="C9" s="11" t="s">
        <v>130</v>
      </c>
      <c r="D9" s="11"/>
      <c r="E9" s="2" t="s">
        <v>131</v>
      </c>
      <c r="G9" s="7" t="s">
        <v>132</v>
      </c>
      <c r="H9" s="156" t="s">
        <v>133</v>
      </c>
      <c r="W9" t="s">
        <v>134</v>
      </c>
      <c r="X9" t="s">
        <v>134</v>
      </c>
      <c r="Z9" t="str">
        <v>Manager</v>
      </c>
    </row>
    <row r="10" spans="3:84">
      <c r="C10" s="11" t="s">
        <v>135</v>
      </c>
      <c r="D10" s="11"/>
      <c r="E10" s="2" t="s">
        <v>136</v>
      </c>
      <c r="G10" s="155" t="s">
        <v>137</v>
      </c>
      <c r="H10" s="156" t="s">
        <v>137</v>
      </c>
      <c r="W10" t="s">
        <v>134</v>
      </c>
      <c r="X10" t="s">
        <v>134</v>
      </c>
      <c r="Z10" t="str">
        <v>Prog Mgr</v>
      </c>
      <c r="CA10" t="s">
        <v>138</v>
      </c>
      <c r="CB10" s="511">
        <f>Calculator!F1</f>
        <v>0</v>
      </c>
    </row>
    <row r="11" spans="3:84">
      <c r="C11" s="11" t="s">
        <v>139</v>
      </c>
      <c r="D11" s="11"/>
      <c r="E11" s="2" t="s">
        <v>140</v>
      </c>
      <c r="G11" s="7" t="s">
        <v>141</v>
      </c>
      <c r="H11" s="156" t="s">
        <v>142</v>
      </c>
      <c r="K11" s="62"/>
      <c r="W11" t="s">
        <v>134</v>
      </c>
      <c r="X11" t="s">
        <v>134</v>
      </c>
      <c r="Z11" t="str">
        <v>Project Coordinator</v>
      </c>
      <c r="CA11" t="s">
        <v>143</v>
      </c>
    </row>
    <row r="12" spans="3:84">
      <c r="C12" s="11" t="s">
        <v>144</v>
      </c>
      <c r="D12" s="11"/>
      <c r="E12" s="2" t="s">
        <v>145</v>
      </c>
      <c r="G12" s="155" t="s">
        <v>146</v>
      </c>
      <c r="H12" s="156" t="s">
        <v>147</v>
      </c>
      <c r="W12" t="s">
        <v>148</v>
      </c>
      <c r="X12" t="s">
        <v>148</v>
      </c>
      <c r="Z12" t="str">
        <v>Project Mgr</v>
      </c>
    </row>
    <row r="13" spans="3:84">
      <c r="C13" s="11"/>
      <c r="D13" s="11"/>
      <c r="E13" s="2" t="s">
        <v>149</v>
      </c>
      <c r="G13" s="7" t="s">
        <v>150</v>
      </c>
      <c r="H13" s="156" t="s">
        <v>151</v>
      </c>
      <c r="W13" t="s">
        <v>146</v>
      </c>
      <c r="X13" t="s">
        <v>152</v>
      </c>
      <c r="Z13" t="str">
        <v>Sr. Arch</v>
      </c>
    </row>
    <row r="14" spans="3:84">
      <c r="C14" s="11"/>
      <c r="D14" s="11"/>
      <c r="E14" s="2" t="s">
        <v>153</v>
      </c>
      <c r="G14" s="7"/>
      <c r="H14" s="156"/>
      <c r="W14" t="s">
        <v>146</v>
      </c>
      <c r="X14" t="s">
        <v>154</v>
      </c>
      <c r="Z14" t="str">
        <v>Sr. Consultant</v>
      </c>
    </row>
    <row r="15" spans="3:84">
      <c r="C15" s="187" t="s">
        <v>155</v>
      </c>
      <c r="D15" s="11"/>
      <c r="E15" s="2" t="s">
        <v>156</v>
      </c>
      <c r="G15" s="7"/>
      <c r="H15" s="156"/>
      <c r="W15" t="s">
        <v>106</v>
      </c>
      <c r="X15" t="s">
        <v>157</v>
      </c>
      <c r="Z15" t="str">
        <v>Sr. Developer</v>
      </c>
    </row>
    <row r="16" spans="3:84">
      <c r="C16" s="11" t="s">
        <v>158</v>
      </c>
      <c r="D16" s="11"/>
      <c r="E16" s="2" t="s">
        <v>159</v>
      </c>
      <c r="G16" s="11"/>
      <c r="H16" s="11"/>
      <c r="W16" t="s">
        <v>106</v>
      </c>
      <c r="X16" t="s">
        <v>160</v>
      </c>
      <c r="Z16" t="str">
        <v>Sr. EM/Sr. PJM/PGM</v>
      </c>
    </row>
    <row r="17" spans="2:26">
      <c r="C17" s="11" t="s">
        <v>104</v>
      </c>
      <c r="E17" s="2" t="s">
        <v>161</v>
      </c>
      <c r="W17" t="s">
        <v>106</v>
      </c>
      <c r="X17" t="s">
        <v>162</v>
      </c>
      <c r="Z17" t="str">
        <v>Sr. Eng</v>
      </c>
    </row>
    <row r="18" spans="2:26">
      <c r="C18" s="11" t="s">
        <v>163</v>
      </c>
      <c r="W18" t="s">
        <v>106</v>
      </c>
      <c r="X18" t="s">
        <v>164</v>
      </c>
      <c r="Z18" t="str">
        <v>Sr. Mgr</v>
      </c>
    </row>
    <row r="19" spans="2:26">
      <c r="C19" s="11" t="s">
        <v>165</v>
      </c>
      <c r="W19" t="s">
        <v>106</v>
      </c>
      <c r="X19" t="s">
        <v>166</v>
      </c>
      <c r="Z19" t="str">
        <v>Sr. Proj Mgr</v>
      </c>
    </row>
    <row r="20" spans="2:26">
      <c r="C20" s="11" t="s">
        <v>167</v>
      </c>
      <c r="G20" s="259" t="s">
        <v>168</v>
      </c>
      <c r="H20" s="154" t="s">
        <v>169</v>
      </c>
      <c r="W20" t="s">
        <v>106</v>
      </c>
      <c r="X20" t="s">
        <v>170</v>
      </c>
      <c r="Z20" t="str">
        <v>TCT/Lead Arch</v>
      </c>
    </row>
    <row r="21" spans="2:26">
      <c r="C21" s="11" t="s">
        <v>171</v>
      </c>
      <c r="G21" s="260" t="s">
        <v>172</v>
      </c>
      <c r="H21" s="261" t="s">
        <v>91</v>
      </c>
      <c r="W21" t="s">
        <v>106</v>
      </c>
      <c r="X21" t="s">
        <v>173</v>
      </c>
    </row>
    <row r="22" spans="2:26">
      <c r="G22" s="260" t="s">
        <v>154</v>
      </c>
      <c r="H22" s="261" t="s">
        <v>146</v>
      </c>
      <c r="W22" t="s">
        <v>99</v>
      </c>
      <c r="X22" t="s">
        <v>174</v>
      </c>
    </row>
    <row r="23" spans="2:26" ht="15.75" thickBot="1">
      <c r="G23" s="260" t="s">
        <v>175</v>
      </c>
      <c r="H23" s="261" t="s">
        <v>106</v>
      </c>
      <c r="W23" t="s">
        <v>137</v>
      </c>
      <c r="X23" t="s">
        <v>176</v>
      </c>
    </row>
    <row r="24" spans="2:26" ht="15.75" thickBot="1">
      <c r="B24" s="245" t="s">
        <v>27</v>
      </c>
      <c r="C24" s="246" t="s">
        <v>177</v>
      </c>
      <c r="D24" s="204" t="s">
        <v>58</v>
      </c>
      <c r="G24" s="260" t="s">
        <v>178</v>
      </c>
      <c r="H24" s="261" t="s">
        <v>113</v>
      </c>
      <c r="W24" t="s">
        <v>137</v>
      </c>
      <c r="X24" t="s">
        <v>179</v>
      </c>
    </row>
    <row r="25" spans="2:26">
      <c r="B25" t="s">
        <v>98</v>
      </c>
      <c r="C25" t="s">
        <v>33</v>
      </c>
      <c r="G25" s="260" t="s">
        <v>100</v>
      </c>
      <c r="H25" s="261" t="s">
        <v>99</v>
      </c>
      <c r="W25" t="s">
        <v>137</v>
      </c>
      <c r="X25" t="s">
        <v>154</v>
      </c>
    </row>
    <row r="26" spans="2:26">
      <c r="B26" t="s">
        <v>98</v>
      </c>
      <c r="C26" t="s">
        <v>34</v>
      </c>
      <c r="G26" s="262" t="s">
        <v>116</v>
      </c>
      <c r="H26" s="261" t="s">
        <v>91</v>
      </c>
      <c r="W26" t="s">
        <v>180</v>
      </c>
      <c r="X26" t="s">
        <v>179</v>
      </c>
    </row>
    <row r="27" spans="2:26">
      <c r="B27" t="s">
        <v>98</v>
      </c>
      <c r="C27" t="s">
        <v>35</v>
      </c>
      <c r="G27" s="262" t="s">
        <v>134</v>
      </c>
      <c r="H27" s="261" t="s">
        <v>126</v>
      </c>
      <c r="W27" t="s">
        <v>181</v>
      </c>
      <c r="X27" t="s">
        <v>181</v>
      </c>
    </row>
    <row r="28" spans="2:26">
      <c r="B28" t="s">
        <v>182</v>
      </c>
      <c r="C28" t="s">
        <v>33</v>
      </c>
      <c r="G28" s="262" t="s">
        <v>179</v>
      </c>
      <c r="H28" s="261" t="s">
        <v>150</v>
      </c>
      <c r="W28" t="s">
        <v>183</v>
      </c>
      <c r="X28" t="s">
        <v>154</v>
      </c>
    </row>
    <row r="29" spans="2:26">
      <c r="B29" t="s">
        <v>182</v>
      </c>
      <c r="C29" t="s">
        <v>34</v>
      </c>
      <c r="G29" s="262" t="s">
        <v>184</v>
      </c>
      <c r="H29" s="261" t="s">
        <v>113</v>
      </c>
      <c r="W29" t="s">
        <v>126</v>
      </c>
      <c r="X29" t="s">
        <v>84</v>
      </c>
    </row>
    <row r="30" spans="2:26">
      <c r="B30" t="s">
        <v>182</v>
      </c>
      <c r="C30" t="s">
        <v>35</v>
      </c>
      <c r="G30" s="262" t="s">
        <v>133</v>
      </c>
      <c r="H30" s="261" t="s">
        <v>132</v>
      </c>
      <c r="W30" t="s">
        <v>126</v>
      </c>
      <c r="X30" t="s">
        <v>116</v>
      </c>
    </row>
    <row r="31" spans="2:26">
      <c r="B31" t="s">
        <v>185</v>
      </c>
      <c r="C31" t="s">
        <v>33</v>
      </c>
      <c r="W31" t="s">
        <v>126</v>
      </c>
      <c r="X31" t="s">
        <v>186</v>
      </c>
    </row>
    <row r="32" spans="2:26">
      <c r="B32" t="s">
        <v>185</v>
      </c>
      <c r="C32" t="s">
        <v>34</v>
      </c>
      <c r="W32" t="s">
        <v>126</v>
      </c>
      <c r="X32" t="s">
        <v>187</v>
      </c>
    </row>
    <row r="33" spans="2:24">
      <c r="B33" t="s">
        <v>185</v>
      </c>
      <c r="C33" t="s">
        <v>35</v>
      </c>
      <c r="W33" t="s">
        <v>126</v>
      </c>
      <c r="X33" t="s">
        <v>188</v>
      </c>
    </row>
    <row r="34" spans="2:24">
      <c r="W34" t="s">
        <v>189</v>
      </c>
      <c r="X34" t="s">
        <v>190</v>
      </c>
    </row>
    <row r="35" spans="2:24">
      <c r="W35" t="s">
        <v>191</v>
      </c>
      <c r="X35" t="s">
        <v>192</v>
      </c>
    </row>
    <row r="36" spans="2:24" ht="15.75" thickBot="1">
      <c r="W36" t="s">
        <v>150</v>
      </c>
      <c r="X36" t="s">
        <v>179</v>
      </c>
    </row>
    <row r="37" spans="2:24" ht="15.75" thickBot="1">
      <c r="D37" s="246">
        <v>2</v>
      </c>
      <c r="E37" s="246">
        <v>3</v>
      </c>
      <c r="F37" s="246">
        <v>4</v>
      </c>
      <c r="G37" s="204">
        <v>5</v>
      </c>
      <c r="H37" s="204">
        <v>6</v>
      </c>
      <c r="I37" s="204">
        <v>7</v>
      </c>
      <c r="J37" s="204">
        <v>8</v>
      </c>
      <c r="K37" s="204">
        <v>9</v>
      </c>
      <c r="W37" t="s">
        <v>150</v>
      </c>
      <c r="X37" t="s">
        <v>193</v>
      </c>
    </row>
    <row r="38" spans="2:24" ht="15.75" thickBot="1">
      <c r="C38" s="33">
        <v>1</v>
      </c>
      <c r="D38" s="246" t="s">
        <v>104</v>
      </c>
      <c r="E38" s="246" t="s">
        <v>111</v>
      </c>
      <c r="F38" s="246" t="s">
        <v>119</v>
      </c>
      <c r="G38" s="204" t="s">
        <v>124</v>
      </c>
      <c r="H38" s="204" t="s">
        <v>194</v>
      </c>
      <c r="I38" s="204" t="s">
        <v>195</v>
      </c>
      <c r="J38" s="204" t="s">
        <v>196</v>
      </c>
      <c r="K38" s="204" t="s">
        <v>144</v>
      </c>
      <c r="W38" t="s">
        <v>150</v>
      </c>
      <c r="X38" t="s">
        <v>197</v>
      </c>
    </row>
    <row r="39" spans="2:24" ht="15.75" thickBot="1">
      <c r="C39" s="33" t="s">
        <v>97</v>
      </c>
      <c r="D39" s="295" t="s">
        <v>198</v>
      </c>
      <c r="E39" s="295" t="s">
        <v>199</v>
      </c>
      <c r="F39" s="295" t="s">
        <v>200</v>
      </c>
      <c r="G39" s="295" t="s">
        <v>201</v>
      </c>
      <c r="H39" s="295" t="s">
        <v>202</v>
      </c>
      <c r="I39" s="295" t="s">
        <v>203</v>
      </c>
      <c r="J39" s="295" t="s">
        <v>204</v>
      </c>
      <c r="K39" s="295"/>
      <c r="W39" t="s">
        <v>113</v>
      </c>
      <c r="X39" t="s">
        <v>205</v>
      </c>
    </row>
    <row r="40" spans="2:24">
      <c r="C40" s="259" t="s">
        <v>206</v>
      </c>
      <c r="D40" s="542" t="s">
        <v>207</v>
      </c>
      <c r="E40" s="540" t="s">
        <v>99</v>
      </c>
      <c r="F40" s="330" t="s">
        <v>116</v>
      </c>
      <c r="G40" s="331" t="s">
        <v>208</v>
      </c>
      <c r="H40" s="326" t="s">
        <v>209</v>
      </c>
      <c r="I40" s="326" t="s">
        <v>209</v>
      </c>
      <c r="J40" s="413" t="s">
        <v>209</v>
      </c>
      <c r="K40" s="326" t="s">
        <v>210</v>
      </c>
      <c r="W40" t="s">
        <v>113</v>
      </c>
      <c r="X40" t="s">
        <v>211</v>
      </c>
    </row>
    <row r="41" spans="2:24">
      <c r="C41" s="332" t="s">
        <v>99</v>
      </c>
      <c r="D41" s="330" t="s">
        <v>106</v>
      </c>
      <c r="E41" s="540" t="s">
        <v>106</v>
      </c>
      <c r="F41" s="330" t="s">
        <v>134</v>
      </c>
      <c r="G41" s="332" t="s">
        <v>212</v>
      </c>
      <c r="H41" s="327" t="s">
        <v>213</v>
      </c>
      <c r="I41" s="327" t="s">
        <v>213</v>
      </c>
      <c r="J41" s="414" t="s">
        <v>213</v>
      </c>
      <c r="K41" s="327" t="s">
        <v>214</v>
      </c>
      <c r="W41" t="s">
        <v>113</v>
      </c>
      <c r="X41" t="s">
        <v>215</v>
      </c>
    </row>
    <row r="42" spans="2:24">
      <c r="C42" s="332" t="s">
        <v>106</v>
      </c>
      <c r="D42" s="330" t="s">
        <v>113</v>
      </c>
      <c r="E42" s="540" t="s">
        <v>113</v>
      </c>
      <c r="F42" s="330"/>
      <c r="G42" s="332" t="s">
        <v>216</v>
      </c>
      <c r="H42" s="327" t="s">
        <v>217</v>
      </c>
      <c r="I42" s="327" t="s">
        <v>217</v>
      </c>
      <c r="J42" s="414" t="s">
        <v>217</v>
      </c>
      <c r="K42" s="327" t="s">
        <v>218</v>
      </c>
      <c r="W42" t="s">
        <v>113</v>
      </c>
      <c r="X42" t="s">
        <v>219</v>
      </c>
    </row>
    <row r="43" spans="2:24">
      <c r="C43" s="332" t="s">
        <v>113</v>
      </c>
      <c r="D43" s="330" t="s">
        <v>220</v>
      </c>
      <c r="E43" s="540" t="s">
        <v>91</v>
      </c>
      <c r="F43" s="330"/>
      <c r="G43" s="332" t="s">
        <v>179</v>
      </c>
      <c r="H43" s="327" t="s">
        <v>221</v>
      </c>
      <c r="I43" s="327" t="s">
        <v>221</v>
      </c>
      <c r="J43" s="414" t="s">
        <v>221</v>
      </c>
      <c r="K43" s="327" t="s">
        <v>222</v>
      </c>
      <c r="W43" t="s">
        <v>113</v>
      </c>
      <c r="X43" t="s">
        <v>223</v>
      </c>
    </row>
    <row r="44" spans="2:24">
      <c r="C44" s="332" t="s">
        <v>91</v>
      </c>
      <c r="D44" s="330" t="s">
        <v>224</v>
      </c>
      <c r="E44" s="540" t="s">
        <v>126</v>
      </c>
      <c r="F44" s="330"/>
      <c r="G44" s="332" t="s">
        <v>152</v>
      </c>
      <c r="H44" s="327" t="s">
        <v>127</v>
      </c>
      <c r="I44" s="327" t="s">
        <v>127</v>
      </c>
      <c r="J44" s="414" t="s">
        <v>127</v>
      </c>
      <c r="K44" s="327" t="s">
        <v>225</v>
      </c>
      <c r="W44" t="s">
        <v>113</v>
      </c>
      <c r="X44" t="s">
        <v>226</v>
      </c>
    </row>
    <row r="45" spans="2:24">
      <c r="C45" s="332" t="s">
        <v>126</v>
      </c>
      <c r="D45" s="330" t="s">
        <v>91</v>
      </c>
      <c r="E45" s="540" t="s">
        <v>132</v>
      </c>
      <c r="F45" s="330"/>
      <c r="G45" s="332"/>
      <c r="H45" s="327" t="s">
        <v>117</v>
      </c>
      <c r="I45" s="327" t="s">
        <v>117</v>
      </c>
      <c r="J45" s="414" t="s">
        <v>117</v>
      </c>
      <c r="K45" s="327" t="s">
        <v>227</v>
      </c>
      <c r="W45" t="s">
        <v>141</v>
      </c>
      <c r="X45" t="s">
        <v>228</v>
      </c>
    </row>
    <row r="46" spans="2:24">
      <c r="C46" s="332" t="s">
        <v>132</v>
      </c>
      <c r="D46" s="330" t="s">
        <v>126</v>
      </c>
      <c r="E46" s="540" t="s">
        <v>137</v>
      </c>
      <c r="F46" s="330"/>
      <c r="G46" s="332"/>
      <c r="H46" s="327" t="s">
        <v>189</v>
      </c>
      <c r="I46" s="327" t="s">
        <v>189</v>
      </c>
      <c r="J46" s="414" t="s">
        <v>189</v>
      </c>
      <c r="K46" s="327" t="s">
        <v>229</v>
      </c>
      <c r="W46" t="s">
        <v>141</v>
      </c>
      <c r="X46" t="s">
        <v>230</v>
      </c>
    </row>
    <row r="47" spans="2:24">
      <c r="C47" s="332" t="s">
        <v>137</v>
      </c>
      <c r="D47" s="330" t="s">
        <v>231</v>
      </c>
      <c r="E47" s="540" t="s">
        <v>141</v>
      </c>
      <c r="F47" s="330"/>
      <c r="G47" s="332"/>
      <c r="H47" s="327" t="s">
        <v>148</v>
      </c>
      <c r="I47" s="327" t="s">
        <v>148</v>
      </c>
      <c r="J47" s="414" t="s">
        <v>148</v>
      </c>
      <c r="K47" s="327" t="s">
        <v>232</v>
      </c>
      <c r="W47" t="s">
        <v>141</v>
      </c>
      <c r="X47" t="s">
        <v>233</v>
      </c>
    </row>
    <row r="48" spans="2:24">
      <c r="C48" s="332" t="s">
        <v>141</v>
      </c>
      <c r="D48" s="330" t="s">
        <v>137</v>
      </c>
      <c r="E48" s="540" t="s">
        <v>146</v>
      </c>
      <c r="F48" s="330"/>
      <c r="G48" s="332"/>
      <c r="H48" s="327" t="s">
        <v>181</v>
      </c>
      <c r="I48" s="327" t="s">
        <v>181</v>
      </c>
      <c r="J48" s="414" t="s">
        <v>181</v>
      </c>
      <c r="K48" s="327" t="s">
        <v>234</v>
      </c>
      <c r="W48" t="s">
        <v>141</v>
      </c>
      <c r="X48" t="s">
        <v>235</v>
      </c>
    </row>
    <row r="49" spans="3:24" ht="15.75" thickBot="1">
      <c r="C49" s="332" t="s">
        <v>146</v>
      </c>
      <c r="D49" s="543" t="s">
        <v>141</v>
      </c>
      <c r="E49" s="541" t="s">
        <v>150</v>
      </c>
      <c r="F49" s="333"/>
      <c r="G49" s="334"/>
      <c r="H49" s="327" t="s">
        <v>183</v>
      </c>
      <c r="I49" s="327" t="s">
        <v>183</v>
      </c>
      <c r="J49" s="414" t="s">
        <v>183</v>
      </c>
      <c r="K49" s="327" t="s">
        <v>236</v>
      </c>
      <c r="W49" t="s">
        <v>141</v>
      </c>
      <c r="X49" t="s">
        <v>237</v>
      </c>
    </row>
    <row r="50" spans="3:24" ht="15.75" thickBot="1">
      <c r="C50" s="539" t="s">
        <v>150</v>
      </c>
      <c r="D50" s="543" t="s">
        <v>238</v>
      </c>
      <c r="H50" s="328" t="s">
        <v>239</v>
      </c>
      <c r="I50" s="328" t="s">
        <v>239</v>
      </c>
      <c r="J50" s="415" t="s">
        <v>239</v>
      </c>
      <c r="K50" s="328" t="s">
        <v>240</v>
      </c>
      <c r="W50" t="s">
        <v>141</v>
      </c>
      <c r="X50" t="s">
        <v>197</v>
      </c>
    </row>
    <row r="51" spans="3:24" ht="15.75" thickBot="1">
      <c r="D51" s="333" t="s">
        <v>241</v>
      </c>
      <c r="H51" s="329" t="s">
        <v>180</v>
      </c>
      <c r="I51" s="329" t="s">
        <v>180</v>
      </c>
      <c r="J51" s="412" t="s">
        <v>180</v>
      </c>
      <c r="K51" s="328" t="s">
        <v>126</v>
      </c>
      <c r="W51" t="s">
        <v>239</v>
      </c>
      <c r="X51" t="s">
        <v>197</v>
      </c>
    </row>
    <row r="52" spans="3:24">
      <c r="K52" s="328" t="s">
        <v>242</v>
      </c>
      <c r="W52" t="s">
        <v>132</v>
      </c>
      <c r="X52" t="s">
        <v>243</v>
      </c>
    </row>
    <row r="53" spans="3:24" ht="15.75" thickBot="1">
      <c r="K53" s="329" t="s">
        <v>239</v>
      </c>
      <c r="W53" t="s">
        <v>132</v>
      </c>
      <c r="X53" t="s">
        <v>244</v>
      </c>
    </row>
    <row r="100" spans="1:1">
      <c r="A100" t="s">
        <v>245</v>
      </c>
    </row>
    <row r="101" spans="1:1">
      <c r="A101" t="s">
        <v>246</v>
      </c>
    </row>
    <row r="102" spans="1:1">
      <c r="A102" t="s">
        <v>247</v>
      </c>
    </row>
    <row r="103" spans="1:1">
      <c r="A103" t="s">
        <v>248</v>
      </c>
    </row>
    <row r="104" spans="1:1">
      <c r="A104" t="s">
        <v>249</v>
      </c>
    </row>
    <row r="105" spans="1:1">
      <c r="A105" t="s">
        <v>250</v>
      </c>
    </row>
    <row r="106" spans="1:1">
      <c r="A106" t="s">
        <v>251</v>
      </c>
    </row>
    <row r="107" spans="1:1">
      <c r="A107" t="s">
        <v>252</v>
      </c>
    </row>
    <row r="108" spans="1:1">
      <c r="A108" t="s">
        <v>253</v>
      </c>
    </row>
    <row r="109" spans="1:1">
      <c r="A109" t="s">
        <v>254</v>
      </c>
    </row>
    <row r="110" spans="1:1">
      <c r="A110" t="s">
        <v>255</v>
      </c>
    </row>
    <row r="111" spans="1:1">
      <c r="A111" t="s">
        <v>256</v>
      </c>
    </row>
    <row r="112" spans="1:1">
      <c r="A112" t="s">
        <v>257</v>
      </c>
    </row>
    <row r="113" spans="1:1">
      <c r="A113" t="s">
        <v>258</v>
      </c>
    </row>
    <row r="114" spans="1:1">
      <c r="A114" t="s">
        <v>259</v>
      </c>
    </row>
    <row r="115" spans="1:1">
      <c r="A115" t="s">
        <v>260</v>
      </c>
    </row>
    <row r="116" spans="1:1">
      <c r="A116" t="s">
        <v>261</v>
      </c>
    </row>
    <row r="117" spans="1:1">
      <c r="A117" t="s">
        <v>262</v>
      </c>
    </row>
    <row r="118" spans="1:1">
      <c r="A118" t="s">
        <v>263</v>
      </c>
    </row>
    <row r="119" spans="1:1">
      <c r="A119" t="s">
        <v>264</v>
      </c>
    </row>
    <row r="120" spans="1:1">
      <c r="A120" t="s">
        <v>265</v>
      </c>
    </row>
    <row r="121" spans="1:1">
      <c r="A121" t="s">
        <v>266</v>
      </c>
    </row>
    <row r="122" spans="1:1">
      <c r="A122" t="s">
        <v>267</v>
      </c>
    </row>
    <row r="123" spans="1:1">
      <c r="A123" t="s">
        <v>268</v>
      </c>
    </row>
    <row r="124" spans="1:1">
      <c r="A124" t="s">
        <v>269</v>
      </c>
    </row>
    <row r="125" spans="1:1">
      <c r="A125" t="s">
        <v>270</v>
      </c>
    </row>
    <row r="126" spans="1:1">
      <c r="A126" t="s">
        <v>271</v>
      </c>
    </row>
    <row r="127" spans="1:1">
      <c r="A127" t="s">
        <v>272</v>
      </c>
    </row>
    <row r="128" spans="1:1">
      <c r="A128" t="s">
        <v>273</v>
      </c>
    </row>
    <row r="129" spans="1:1">
      <c r="A129" t="s">
        <v>274</v>
      </c>
    </row>
    <row r="130" spans="1:1">
      <c r="A130" t="s">
        <v>275</v>
      </c>
    </row>
    <row r="131" spans="1:1">
      <c r="A131" t="s">
        <v>276</v>
      </c>
    </row>
    <row r="132" spans="1:1">
      <c r="A132" t="s">
        <v>277</v>
      </c>
    </row>
    <row r="133" spans="1:1">
      <c r="A133" t="s">
        <v>278</v>
      </c>
    </row>
    <row r="134" spans="1:1">
      <c r="A134" t="s">
        <v>279</v>
      </c>
    </row>
    <row r="135" spans="1:1">
      <c r="A135" t="s">
        <v>280</v>
      </c>
    </row>
    <row r="136" spans="1:1">
      <c r="A136" t="s">
        <v>281</v>
      </c>
    </row>
    <row r="137" spans="1:1">
      <c r="A137" t="s">
        <v>282</v>
      </c>
    </row>
    <row r="138" spans="1:1">
      <c r="A138" t="s">
        <v>283</v>
      </c>
    </row>
    <row r="139" spans="1:1">
      <c r="A139" t="s">
        <v>284</v>
      </c>
    </row>
    <row r="140" spans="1:1">
      <c r="A140" t="s">
        <v>285</v>
      </c>
    </row>
    <row r="141" spans="1:1">
      <c r="A141" t="s">
        <v>286</v>
      </c>
    </row>
    <row r="142" spans="1:1">
      <c r="A142" t="s">
        <v>287</v>
      </c>
    </row>
    <row r="143" spans="1:1">
      <c r="A143" t="s">
        <v>288</v>
      </c>
    </row>
    <row r="144" spans="1:1">
      <c r="A144" t="s">
        <v>289</v>
      </c>
    </row>
    <row r="145" spans="1:1">
      <c r="A145" t="s">
        <v>290</v>
      </c>
    </row>
    <row r="146" spans="1:1">
      <c r="A146" t="s">
        <v>291</v>
      </c>
    </row>
    <row r="147" spans="1:1">
      <c r="A147" t="s">
        <v>292</v>
      </c>
    </row>
    <row r="148" spans="1:1">
      <c r="A148" t="s">
        <v>293</v>
      </c>
    </row>
    <row r="149" spans="1:1">
      <c r="A149" t="s">
        <v>294</v>
      </c>
    </row>
    <row r="150" spans="1:1">
      <c r="A150" t="s">
        <v>295</v>
      </c>
    </row>
    <row r="151" spans="1:1">
      <c r="A151" t="s">
        <v>296</v>
      </c>
    </row>
    <row r="152" spans="1:1">
      <c r="A152" t="s">
        <v>297</v>
      </c>
    </row>
  </sheetData>
  <sheetProtection algorithmName="SHA-512" hashValue="HmCnlOGSZ7ETacaQ8UEgFdZjwwwfDAZWZpfaVTxGTtA5vITCrrSrtM7UkSB8iEPZZyh4k0KoFYSKAWe1I0+zcw==" saltValue="LEVVDlD31c2fMzMpC2iHJg==" spinCount="100000" sheet="1" selectLockedCells="1" selectUnlockedCells="1"/>
  <protectedRanges>
    <protectedRange sqref="J2:K8" name="For Calculations"/>
  </protectedRanges>
  <mergeCells count="1">
    <mergeCell ref="J2:K2"/>
  </mergeCells>
  <phoneticPr fontId="46" type="noConversion"/>
  <dataValidations count="2">
    <dataValidation type="list" allowBlank="1" showInputMessage="1" showErrorMessage="1" sqref="AC6" xr:uid="{40523EBF-FFD2-409D-BDB3-4E67BF4A4663}">
      <formula1>$W$3:$W$53</formula1>
    </dataValidation>
    <dataValidation type="list" allowBlank="1" showInputMessage="1" showErrorMessage="1" sqref="H21:H30" xr:uid="{2FD13B96-B67B-4324-A1DB-882EFF818F3C}">
      <formula1>$G$4:$G$15</formula1>
    </dataValidation>
  </dataValidations>
  <pageMargins left="0.7" right="0.7" top="0.75" bottom="0.75" header="0.3" footer="0.3"/>
  <drawing r:id="rId1"/>
  <legacyDrawing r:id="rId2"/>
  <tableParts count="5"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1ED9E5-4ACE-4483-889B-D9A878CB802A}">
          <x14:formula1>
            <xm:f>OFFSET($W$3,MATCH(Calculator!G23,role_rng,0)-1,1,COUNTIF(role_rng,Calculator!G23),1)</xm:f>
          </x14:formula1>
          <xm:sqref>AC2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FD67-13EE-43B3-8373-24E66E02073D}">
  <sheetPr codeName="Sheet2"/>
  <dimension ref="B1:AQ44"/>
  <sheetViews>
    <sheetView showGridLines="0" workbookViewId="0">
      <selection activeCell="C21" sqref="C21"/>
    </sheetView>
  </sheetViews>
  <sheetFormatPr defaultColWidth="8.85546875" defaultRowHeight="15"/>
  <cols>
    <col min="5" max="5" width="10.85546875" customWidth="1"/>
    <col min="20" max="20" width="10.42578125" customWidth="1"/>
  </cols>
  <sheetData>
    <row r="1" spans="2:43">
      <c r="C1" s="10" t="s">
        <v>298</v>
      </c>
      <c r="AQ1" t="s">
        <v>299</v>
      </c>
    </row>
    <row r="2" spans="2:43" ht="15.75" thickBot="1"/>
    <row r="3" spans="2:43" ht="15.75" thickBot="1">
      <c r="B3" s="34" t="s">
        <v>97</v>
      </c>
      <c r="C3" s="33"/>
      <c r="E3" t="s">
        <v>300</v>
      </c>
      <c r="F3" s="35">
        <v>0.4</v>
      </c>
      <c r="Q3" s="34" t="s">
        <v>97</v>
      </c>
      <c r="R3" s="33"/>
      <c r="T3" t="s">
        <v>300</v>
      </c>
      <c r="U3" s="35">
        <v>0.5</v>
      </c>
    </row>
    <row r="4" spans="2:43" ht="15.75" thickBot="1"/>
    <row r="5" spans="2:43" ht="15.75" thickBot="1">
      <c r="B5" s="28" t="s">
        <v>301</v>
      </c>
      <c r="C5" s="29" t="s">
        <v>153</v>
      </c>
      <c r="D5" s="30" t="s">
        <v>98</v>
      </c>
      <c r="E5" s="30" t="s">
        <v>105</v>
      </c>
      <c r="F5" s="30" t="s">
        <v>149</v>
      </c>
      <c r="G5" s="30" t="s">
        <v>131</v>
      </c>
      <c r="H5" s="30" t="s">
        <v>120</v>
      </c>
      <c r="I5" s="30" t="s">
        <v>156</v>
      </c>
      <c r="J5" s="30" t="s">
        <v>159</v>
      </c>
      <c r="K5" s="30" t="s">
        <v>136</v>
      </c>
      <c r="L5" s="30" t="s">
        <v>140</v>
      </c>
      <c r="M5" s="31" t="s">
        <v>125</v>
      </c>
      <c r="N5" s="31" t="s">
        <v>112</v>
      </c>
      <c r="O5" s="32" t="s">
        <v>145</v>
      </c>
      <c r="Q5" s="28" t="s">
        <v>301</v>
      </c>
      <c r="R5" s="29" t="s">
        <v>153</v>
      </c>
      <c r="S5" s="30" t="s">
        <v>98</v>
      </c>
      <c r="T5" s="30" t="s">
        <v>105</v>
      </c>
      <c r="U5" s="30" t="s">
        <v>149</v>
      </c>
      <c r="V5" s="30" t="s">
        <v>131</v>
      </c>
      <c r="W5" s="30" t="s">
        <v>120</v>
      </c>
      <c r="X5" s="30" t="s">
        <v>156</v>
      </c>
      <c r="Y5" s="30" t="s">
        <v>159</v>
      </c>
      <c r="Z5" s="30" t="s">
        <v>136</v>
      </c>
      <c r="AA5" s="30" t="s">
        <v>140</v>
      </c>
      <c r="AB5" s="31" t="s">
        <v>125</v>
      </c>
      <c r="AC5" s="31" t="s">
        <v>112</v>
      </c>
      <c r="AD5" s="32" t="s">
        <v>145</v>
      </c>
    </row>
    <row r="6" spans="2:43">
      <c r="B6" s="3" t="s">
        <v>106</v>
      </c>
      <c r="C6" s="27">
        <f>ROUND(Costs!C4/(1-$F$3),0)</f>
        <v>0</v>
      </c>
      <c r="D6" s="27">
        <f>ROUND(Costs!D4/(1-$F$3),0)</f>
        <v>115</v>
      </c>
      <c r="E6" s="27">
        <f>ROUND(Costs!E4/(1-$F$3),0)</f>
        <v>108</v>
      </c>
      <c r="F6" s="27">
        <f>ROUND(Costs!F4/(1-$F$3),0)</f>
        <v>110</v>
      </c>
      <c r="G6" s="27">
        <f>ROUND(Costs!G4/(1-$F$3),0)</f>
        <v>0</v>
      </c>
      <c r="H6" s="27">
        <f>ROUND(Costs!H4/(1-$F$3),0)</f>
        <v>0</v>
      </c>
      <c r="I6" s="27">
        <f>ROUND(Costs!I4/(1-$F$3),0)</f>
        <v>27</v>
      </c>
      <c r="J6" s="27">
        <f>ROUND(Costs!J4/(1-$F$3),0)</f>
        <v>0</v>
      </c>
      <c r="K6" s="27">
        <f>ROUND(Costs!K4/(1-$F$3),0)</f>
        <v>0</v>
      </c>
      <c r="L6" s="27">
        <f>ROUND(Costs!L4/(1-$F$3),0)</f>
        <v>0</v>
      </c>
      <c r="M6" s="27">
        <f>ROUND(Costs!M4/(1-$F$3),0)</f>
        <v>0</v>
      </c>
      <c r="N6" s="27">
        <f>ROUND(Costs!N4/(1-$F$3),0)</f>
        <v>0</v>
      </c>
      <c r="O6" s="27">
        <f>ROUND(Costs!O4/(1-$F$3),0)</f>
        <v>0</v>
      </c>
      <c r="P6" s="9"/>
      <c r="Q6" s="3" t="s">
        <v>106</v>
      </c>
      <c r="R6" s="27">
        <f>ROUND(Costs!C4/(1-$U$3),0)</f>
        <v>0</v>
      </c>
      <c r="S6" s="27">
        <f>ROUND(Costs!D4/(1-$U$3),0)</f>
        <v>139</v>
      </c>
      <c r="T6" s="27">
        <f>ROUND(Costs!E4/(1-$U$3),0)</f>
        <v>129</v>
      </c>
      <c r="U6" s="27">
        <f>ROUND(Costs!F4/(1-$U$3),0)</f>
        <v>132</v>
      </c>
      <c r="V6" s="27">
        <f>ROUND(Costs!G4/(1-$U$3),0)</f>
        <v>0</v>
      </c>
      <c r="W6" s="27">
        <f>ROUND(Costs!H4/(1-$U$3),0)</f>
        <v>0</v>
      </c>
      <c r="X6" s="27">
        <f>ROUND(Costs!I4/(1-$U$3),0)</f>
        <v>32</v>
      </c>
      <c r="Y6" s="27">
        <f>ROUND(Costs!J4/(1-$U$3),0)</f>
        <v>0</v>
      </c>
      <c r="Z6" s="27">
        <f>ROUND(Costs!K4/(1-$U$3),0)</f>
        <v>0</v>
      </c>
      <c r="AA6" s="27">
        <f>ROUND(Costs!L4/(1-$U$3),0)</f>
        <v>0</v>
      </c>
      <c r="AB6" s="27">
        <f>ROUND(Costs!M4/(1-$U$3),0)</f>
        <v>0</v>
      </c>
      <c r="AC6" s="27">
        <f>ROUND(Costs!N4/(1-$U$3),0)</f>
        <v>0</v>
      </c>
      <c r="AD6" s="27">
        <f>ROUND(Costs!O4/(1-$U$3),0)</f>
        <v>0</v>
      </c>
    </row>
    <row r="7" spans="2:43">
      <c r="B7" s="5" t="s">
        <v>113</v>
      </c>
      <c r="C7" s="27">
        <f>ROUND(Costs!C5/(1-$F$3),0)</f>
        <v>193</v>
      </c>
      <c r="D7" s="27">
        <f>ROUND(Costs!D5/(1-$F$3),0)</f>
        <v>167</v>
      </c>
      <c r="E7" s="27">
        <f>ROUND(Costs!E5/(1-$F$3),0)</f>
        <v>156</v>
      </c>
      <c r="F7" s="27">
        <f>ROUND(Costs!F5/(1-$F$3),0)</f>
        <v>118</v>
      </c>
      <c r="G7" s="27">
        <f>ROUND(Costs!G5/(1-$F$3),0)</f>
        <v>144</v>
      </c>
      <c r="H7" s="27">
        <f>ROUND(Costs!H5/(1-$F$3),0)</f>
        <v>53</v>
      </c>
      <c r="I7" s="27">
        <f>ROUND(Costs!I5/(1-$F$3),0)</f>
        <v>35</v>
      </c>
      <c r="J7" s="27">
        <f>ROUND(Costs!J5/(1-$F$3),0)</f>
        <v>43</v>
      </c>
      <c r="K7" s="27">
        <f>ROUND(Costs!K5/(1-$F$3),0)</f>
        <v>0</v>
      </c>
      <c r="L7" s="27">
        <f>ROUND(Costs!L5/(1-$F$3),0)</f>
        <v>0</v>
      </c>
      <c r="M7" s="27">
        <f>ROUND(Costs!M5/(1-$F$3),0)</f>
        <v>196</v>
      </c>
      <c r="N7" s="27">
        <f>ROUND(Costs!N5/(1-$F$3),0)</f>
        <v>0</v>
      </c>
      <c r="O7" s="27">
        <f>ROUND(Costs!O5/(1-$F$3),0)</f>
        <v>0</v>
      </c>
      <c r="P7" s="9"/>
      <c r="Q7" s="5" t="s">
        <v>113</v>
      </c>
      <c r="R7" s="27">
        <f>ROUND(Costs!C5/(1-$U$3),0)</f>
        <v>232</v>
      </c>
      <c r="S7" s="27">
        <f>ROUND(Costs!D5/(1-$U$3),0)</f>
        <v>200</v>
      </c>
      <c r="T7" s="27">
        <f>ROUND(Costs!E5/(1-$U$3),0)</f>
        <v>187</v>
      </c>
      <c r="U7" s="27">
        <f>ROUND(Costs!F5/(1-$U$3),0)</f>
        <v>142</v>
      </c>
      <c r="V7" s="27">
        <f>ROUND(Costs!G5/(1-$U$3),0)</f>
        <v>172</v>
      </c>
      <c r="W7" s="27">
        <f>ROUND(Costs!H5/(1-$U$3),0)</f>
        <v>63</v>
      </c>
      <c r="X7" s="27">
        <f>ROUND(Costs!I5/(1-$U$3),0)</f>
        <v>42</v>
      </c>
      <c r="Y7" s="27">
        <f>ROUND(Costs!J5/(1-$U$3),0)</f>
        <v>52</v>
      </c>
      <c r="Z7" s="27">
        <f>ROUND(Costs!K5/(1-$U$3),0)</f>
        <v>0</v>
      </c>
      <c r="AA7" s="27">
        <f>ROUND(Costs!L5/(1-$U$3),0)</f>
        <v>0</v>
      </c>
      <c r="AB7" s="27">
        <f>ROUND(Costs!M5/(1-$U$3),0)</f>
        <v>235</v>
      </c>
      <c r="AC7" s="27">
        <f>ROUND(Costs!N5/(1-$U$3),0)</f>
        <v>0</v>
      </c>
      <c r="AD7" s="27">
        <f>ROUND(Costs!O5/(1-$U$3),0)</f>
        <v>0</v>
      </c>
    </row>
    <row r="8" spans="2:43">
      <c r="B8" s="5" t="s">
        <v>91</v>
      </c>
      <c r="C8" s="27">
        <f>ROUND(Costs!C6/(1-$F$3),0)</f>
        <v>271</v>
      </c>
      <c r="D8" s="27">
        <f>ROUND(Costs!D6/(1-$F$3),0)</f>
        <v>199</v>
      </c>
      <c r="E8" s="27">
        <f>ROUND(Costs!E6/(1-$F$3),0)</f>
        <v>178</v>
      </c>
      <c r="F8" s="27">
        <f>ROUND(Costs!F6/(1-$F$3),0)</f>
        <v>153</v>
      </c>
      <c r="G8" s="27">
        <f>ROUND(Costs!G6/(1-$F$3),0)</f>
        <v>193</v>
      </c>
      <c r="H8" s="27">
        <f>ROUND(Costs!H6/(1-$F$3),0)</f>
        <v>85</v>
      </c>
      <c r="I8" s="27">
        <f>ROUND(Costs!I6/(1-$F$3),0)</f>
        <v>60</v>
      </c>
      <c r="J8" s="27">
        <f>ROUND(Costs!J6/(1-$F$3),0)</f>
        <v>58</v>
      </c>
      <c r="K8" s="27">
        <f>ROUND(Costs!K6/(1-$F$3),0)</f>
        <v>166</v>
      </c>
      <c r="L8" s="27">
        <f>ROUND(Costs!L6/(1-$F$3),0)</f>
        <v>0</v>
      </c>
      <c r="M8" s="27">
        <f>ROUND(Costs!M6/(1-$F$3),0)</f>
        <v>0</v>
      </c>
      <c r="N8" s="27">
        <f>ROUND(Costs!N6/(1-$F$3),0)</f>
        <v>0</v>
      </c>
      <c r="O8" s="27">
        <f>ROUND(Costs!O6/(1-$F$3),0)</f>
        <v>0</v>
      </c>
      <c r="P8" s="9"/>
      <c r="Q8" s="5" t="s">
        <v>91</v>
      </c>
      <c r="R8" s="27">
        <f>ROUND(Costs!C6/(1-$U$3),0)</f>
        <v>325</v>
      </c>
      <c r="S8" s="27">
        <f>ROUND(Costs!D6/(1-$U$3),0)</f>
        <v>238</v>
      </c>
      <c r="T8" s="27">
        <f>ROUND(Costs!E6/(1-$U$3),0)</f>
        <v>214</v>
      </c>
      <c r="U8" s="27">
        <f>ROUND(Costs!F6/(1-$U$3),0)</f>
        <v>183</v>
      </c>
      <c r="V8" s="27">
        <f>ROUND(Costs!G6/(1-$U$3),0)</f>
        <v>232</v>
      </c>
      <c r="W8" s="27">
        <f>ROUND(Costs!H6/(1-$U$3),0)</f>
        <v>102</v>
      </c>
      <c r="X8" s="27">
        <f>ROUND(Costs!I6/(1-$U$3),0)</f>
        <v>72</v>
      </c>
      <c r="Y8" s="27">
        <f>ROUND(Costs!J6/(1-$U$3),0)</f>
        <v>70</v>
      </c>
      <c r="Z8" s="27">
        <f>ROUND(Costs!K6/(1-$U$3),0)</f>
        <v>200</v>
      </c>
      <c r="AA8" s="27">
        <f>ROUND(Costs!L6/(1-$U$3),0)</f>
        <v>0</v>
      </c>
      <c r="AB8" s="27">
        <f>ROUND(Costs!M6/(1-$U$3),0)</f>
        <v>0</v>
      </c>
      <c r="AC8" s="27">
        <f>ROUND(Costs!N6/(1-$U$3),0)</f>
        <v>0</v>
      </c>
      <c r="AD8" s="27">
        <f>ROUND(Costs!O6/(1-$U$3),0)</f>
        <v>0</v>
      </c>
    </row>
    <row r="9" spans="2:43">
      <c r="B9" s="5" t="s">
        <v>126</v>
      </c>
      <c r="C9" s="27">
        <f>ROUND(Costs!C7/(1-$F$3),0)</f>
        <v>297</v>
      </c>
      <c r="D9" s="27">
        <f>ROUND(Costs!D7/(1-$F$3),0)</f>
        <v>236</v>
      </c>
      <c r="E9" s="27">
        <f>ROUND(Costs!E7/(1-$F$3),0)</f>
        <v>224</v>
      </c>
      <c r="F9" s="27">
        <f>ROUND(Costs!F7/(1-$F$3),0)</f>
        <v>178</v>
      </c>
      <c r="G9" s="27">
        <f>ROUND(Costs!G7/(1-$F$3),0)</f>
        <v>177</v>
      </c>
      <c r="H9" s="27">
        <f>ROUND(Costs!H7/(1-$F$3),0)</f>
        <v>96</v>
      </c>
      <c r="I9" s="27">
        <f>ROUND(Costs!I7/(1-$F$3),0)</f>
        <v>70</v>
      </c>
      <c r="J9" s="27">
        <f>ROUND(Costs!J7/(1-$F$3),0)</f>
        <v>62</v>
      </c>
      <c r="K9" s="27">
        <f>ROUND(Costs!K7/(1-$F$3),0)</f>
        <v>175</v>
      </c>
      <c r="L9" s="27">
        <f>ROUND(Costs!L7/(1-$F$3),0)</f>
        <v>0</v>
      </c>
      <c r="M9" s="27">
        <f>ROUND(Costs!M7/(1-$F$3),0)</f>
        <v>0</v>
      </c>
      <c r="N9" s="27">
        <f>ROUND(Costs!N7/(1-$F$3),0)</f>
        <v>0</v>
      </c>
      <c r="O9" s="27">
        <f>ROUND(Costs!O7/(1-$F$3),0)</f>
        <v>0</v>
      </c>
      <c r="P9" s="9"/>
      <c r="Q9" s="5" t="s">
        <v>126</v>
      </c>
      <c r="R9" s="27">
        <f>ROUND(Costs!C7/(1-$U$3),0)</f>
        <v>356</v>
      </c>
      <c r="S9" s="27">
        <f>ROUND(Costs!D7/(1-$U$3),0)</f>
        <v>283</v>
      </c>
      <c r="T9" s="27">
        <f>ROUND(Costs!E7/(1-$U$3),0)</f>
        <v>269</v>
      </c>
      <c r="U9" s="27">
        <f>ROUND(Costs!F7/(1-$U$3),0)</f>
        <v>214</v>
      </c>
      <c r="V9" s="27">
        <f>ROUND(Costs!G7/(1-$U$3),0)</f>
        <v>212</v>
      </c>
      <c r="W9" s="27">
        <f>ROUND(Costs!H7/(1-$U$3),0)</f>
        <v>115</v>
      </c>
      <c r="X9" s="27">
        <f>ROUND(Costs!I7/(1-$U$3),0)</f>
        <v>84</v>
      </c>
      <c r="Y9" s="27">
        <f>ROUND(Costs!J7/(1-$U$3),0)</f>
        <v>75</v>
      </c>
      <c r="Z9" s="27">
        <f>ROUND(Costs!K7/(1-$U$3),0)</f>
        <v>210</v>
      </c>
      <c r="AA9" s="27">
        <f>ROUND(Costs!L7/(1-$U$3),0)</f>
        <v>0</v>
      </c>
      <c r="AB9" s="27">
        <f>ROUND(Costs!M7/(1-$U$3),0)</f>
        <v>0</v>
      </c>
      <c r="AC9" s="27">
        <f>ROUND(Costs!N7/(1-$U$3),0)</f>
        <v>0</v>
      </c>
      <c r="AD9" s="27">
        <f>ROUND(Costs!O7/(1-$U$3),0)</f>
        <v>0</v>
      </c>
    </row>
    <row r="10" spans="2:43">
      <c r="B10" s="5" t="s">
        <v>302</v>
      </c>
      <c r="C10" s="27">
        <f>ROUND(Costs!C8/(1-$F$3),0)</f>
        <v>310</v>
      </c>
      <c r="D10" s="27">
        <f>ROUND(Costs!D8/(1-$F$3),0)</f>
        <v>259</v>
      </c>
      <c r="E10" s="27">
        <f>ROUND(Costs!E8/(1-$F$3),0)</f>
        <v>0</v>
      </c>
      <c r="F10" s="27">
        <f>ROUND(Costs!F8/(1-$F$3),0)</f>
        <v>0</v>
      </c>
      <c r="G10" s="27">
        <f>ROUND(Costs!G8/(1-$F$3),0)</f>
        <v>231</v>
      </c>
      <c r="H10" s="27">
        <f>ROUND(Costs!H8/(1-$F$3),0)</f>
        <v>105</v>
      </c>
      <c r="I10" s="27">
        <f>ROUND(Costs!I8/(1-$F$3),0)</f>
        <v>72</v>
      </c>
      <c r="J10" s="27">
        <f>ROUND(Costs!J8/(1-$F$3),0)</f>
        <v>0</v>
      </c>
      <c r="K10" s="27">
        <f>ROUND(Costs!K8/(1-$F$3),0)</f>
        <v>215</v>
      </c>
      <c r="L10" s="27">
        <f>ROUND(Costs!L8/(1-$F$3),0)</f>
        <v>0</v>
      </c>
      <c r="M10" s="27">
        <f>ROUND(Costs!M8/(1-$F$3),0)</f>
        <v>282</v>
      </c>
      <c r="N10" s="27">
        <f>ROUND(Costs!N8/(1-$F$3),0)</f>
        <v>0</v>
      </c>
      <c r="O10" s="27">
        <f>ROUND(Costs!O8/(1-$F$3),0)</f>
        <v>0</v>
      </c>
      <c r="P10" s="9"/>
      <c r="Q10" s="5" t="s">
        <v>302</v>
      </c>
      <c r="R10" s="27">
        <f>ROUND(Costs!C8/(1-$U$3),0)</f>
        <v>372</v>
      </c>
      <c r="S10" s="27">
        <f>ROUND(Costs!D8/(1-$U$3),0)</f>
        <v>311</v>
      </c>
      <c r="T10" s="27">
        <f>ROUND(Costs!E8/(1-$U$3),0)</f>
        <v>0</v>
      </c>
      <c r="U10" s="27">
        <f>ROUND(Costs!F8/(1-$U$3),0)</f>
        <v>0</v>
      </c>
      <c r="V10" s="27">
        <f>ROUND(Costs!G8/(1-$U$3),0)</f>
        <v>277</v>
      </c>
      <c r="W10" s="27">
        <f>ROUND(Costs!H8/(1-$U$3),0)</f>
        <v>126</v>
      </c>
      <c r="X10" s="27">
        <f>ROUND(Costs!I8/(1-$U$3),0)</f>
        <v>86</v>
      </c>
      <c r="Y10" s="27">
        <f>ROUND(Costs!J8/(1-$U$3),0)</f>
        <v>0</v>
      </c>
      <c r="Z10" s="27">
        <f>ROUND(Costs!K8/(1-$U$3),0)</f>
        <v>258</v>
      </c>
      <c r="AA10" s="27">
        <f>ROUND(Costs!L8/(1-$U$3),0)</f>
        <v>0</v>
      </c>
      <c r="AB10" s="27">
        <f>ROUND(Costs!M8/(1-$U$3),0)</f>
        <v>338</v>
      </c>
      <c r="AC10" s="27">
        <f>ROUND(Costs!N8/(1-$U$3),0)</f>
        <v>0</v>
      </c>
      <c r="AD10" s="27">
        <f>ROUND(Costs!O8/(1-$U$3),0)</f>
        <v>0</v>
      </c>
    </row>
    <row r="11" spans="2:43">
      <c r="B11" s="5" t="s">
        <v>137</v>
      </c>
      <c r="C11" s="27">
        <f>ROUND(Costs!C9/(1-$F$3),0)</f>
        <v>0</v>
      </c>
      <c r="D11" s="27">
        <f>ROUND(Costs!D9/(1-$F$3),0)</f>
        <v>266</v>
      </c>
      <c r="E11" s="27">
        <f>ROUND(Costs!E9/(1-$F$3),0)</f>
        <v>0</v>
      </c>
      <c r="F11" s="27">
        <f>ROUND(Costs!F9/(1-$F$3),0)</f>
        <v>0</v>
      </c>
      <c r="G11" s="27">
        <f>ROUND(Costs!G9/(1-$F$3),0)</f>
        <v>386</v>
      </c>
      <c r="H11" s="27">
        <f>ROUND(Costs!H9/(1-$F$3),0)</f>
        <v>0</v>
      </c>
      <c r="I11" s="27">
        <f>ROUND(Costs!I9/(1-$F$3),0)</f>
        <v>0</v>
      </c>
      <c r="J11" s="27">
        <f>ROUND(Costs!J9/(1-$F$3),0)</f>
        <v>0</v>
      </c>
      <c r="K11" s="27">
        <f>ROUND(Costs!K9/(1-$F$3),0)</f>
        <v>252</v>
      </c>
      <c r="L11" s="27">
        <f>ROUND(Costs!L9/(1-$F$3),0)</f>
        <v>0</v>
      </c>
      <c r="M11" s="27">
        <f>ROUND(Costs!M9/(1-$F$3),0)</f>
        <v>0</v>
      </c>
      <c r="N11" s="27">
        <f>ROUND(Costs!N9/(1-$F$3),0)</f>
        <v>0</v>
      </c>
      <c r="O11" s="27">
        <f>ROUND(Costs!O9/(1-$F$3),0)</f>
        <v>0</v>
      </c>
      <c r="P11" s="9"/>
      <c r="Q11" s="5" t="s">
        <v>137</v>
      </c>
      <c r="R11" s="27">
        <f>ROUND(Costs!C9/(1-$U$3),0)</f>
        <v>0</v>
      </c>
      <c r="S11" s="27">
        <f>ROUND(Costs!D9/(1-$U$3),0)</f>
        <v>319</v>
      </c>
      <c r="T11" s="27">
        <f>ROUND(Costs!E9/(1-$U$3),0)</f>
        <v>0</v>
      </c>
      <c r="U11" s="27">
        <f>ROUND(Costs!F9/(1-$U$3),0)</f>
        <v>0</v>
      </c>
      <c r="V11" s="27">
        <f>ROUND(Costs!G9/(1-$U$3),0)</f>
        <v>463</v>
      </c>
      <c r="W11" s="27">
        <f>ROUND(Costs!H9/(1-$U$3),0)</f>
        <v>0</v>
      </c>
      <c r="X11" s="27">
        <f>ROUND(Costs!I9/(1-$U$3),0)</f>
        <v>0</v>
      </c>
      <c r="Y11" s="27">
        <f>ROUND(Costs!J9/(1-$U$3),0)</f>
        <v>0</v>
      </c>
      <c r="Z11" s="27">
        <f>ROUND(Costs!K9/(1-$U$3),0)</f>
        <v>302</v>
      </c>
      <c r="AA11" s="27">
        <f>ROUND(Costs!L9/(1-$U$3),0)</f>
        <v>0</v>
      </c>
      <c r="AB11" s="27">
        <f>ROUND(Costs!M9/(1-$U$3),0)</f>
        <v>0</v>
      </c>
      <c r="AC11" s="27">
        <f>ROUND(Costs!N9/(1-$U$3),0)</f>
        <v>0</v>
      </c>
      <c r="AD11" s="27">
        <f>ROUND(Costs!O9/(1-$U$3),0)</f>
        <v>0</v>
      </c>
    </row>
    <row r="12" spans="2:43">
      <c r="B12" s="5" t="s">
        <v>141</v>
      </c>
      <c r="C12" s="27">
        <f>ROUND(Costs!C10/(1-$F$3),0)</f>
        <v>374</v>
      </c>
      <c r="D12" s="27">
        <f>ROUND(Costs!D10/(1-$F$3),0)</f>
        <v>247</v>
      </c>
      <c r="E12" s="27">
        <f>ROUND(Costs!E10/(1-$F$3),0)</f>
        <v>262</v>
      </c>
      <c r="F12" s="27">
        <f>ROUND(Costs!F10/(1-$F$3),0)</f>
        <v>0</v>
      </c>
      <c r="G12" s="27">
        <f>ROUND(Costs!G10/(1-$F$3),0)</f>
        <v>306</v>
      </c>
      <c r="H12" s="27">
        <f>ROUND(Costs!H10/(1-$F$3),0)</f>
        <v>0</v>
      </c>
      <c r="I12" s="27">
        <f>ROUND(Costs!I10/(1-$F$3),0)</f>
        <v>32</v>
      </c>
      <c r="J12" s="27">
        <f>ROUND(Costs!J10/(1-$F$3),0)</f>
        <v>51</v>
      </c>
      <c r="K12" s="27">
        <f>ROUND(Costs!K10/(1-$F$3),0)</f>
        <v>273</v>
      </c>
      <c r="L12" s="27">
        <f>ROUND(Costs!L10/(1-$F$3),0)</f>
        <v>0</v>
      </c>
      <c r="M12" s="27">
        <f>ROUND(Costs!M10/(1-$F$3),0)</f>
        <v>0</v>
      </c>
      <c r="N12" s="27">
        <f>ROUND(Costs!N10/(1-$F$3),0)</f>
        <v>0</v>
      </c>
      <c r="O12" s="27">
        <f>ROUND(Costs!O10/(1-$F$3),0)</f>
        <v>0</v>
      </c>
      <c r="P12" s="9"/>
      <c r="Q12" s="5" t="s">
        <v>141</v>
      </c>
      <c r="R12" s="27">
        <f>ROUND(Costs!C10/(1-$U$3),0)</f>
        <v>449</v>
      </c>
      <c r="S12" s="27">
        <f>ROUND(Costs!D10/(1-$U$3),0)</f>
        <v>297</v>
      </c>
      <c r="T12" s="27">
        <f>ROUND(Costs!E10/(1-$U$3),0)</f>
        <v>315</v>
      </c>
      <c r="U12" s="27">
        <f>ROUND(Costs!F10/(1-$U$3),0)</f>
        <v>0</v>
      </c>
      <c r="V12" s="27">
        <f>ROUND(Costs!G10/(1-$U$3),0)</f>
        <v>368</v>
      </c>
      <c r="W12" s="27">
        <f>ROUND(Costs!H10/(1-$U$3),0)</f>
        <v>0</v>
      </c>
      <c r="X12" s="27">
        <f>ROUND(Costs!I10/(1-$U$3),0)</f>
        <v>38</v>
      </c>
      <c r="Y12" s="27">
        <f>ROUND(Costs!J10/(1-$U$3),0)</f>
        <v>61</v>
      </c>
      <c r="Z12" s="27">
        <f>ROUND(Costs!K10/(1-$U$3),0)</f>
        <v>327</v>
      </c>
      <c r="AA12" s="27">
        <f>ROUND(Costs!L10/(1-$U$3),0)</f>
        <v>0</v>
      </c>
      <c r="AB12" s="27">
        <f>ROUND(Costs!M10/(1-$U$3),0)</f>
        <v>0</v>
      </c>
      <c r="AC12" s="27">
        <f>ROUND(Costs!N10/(1-$U$3),0)</f>
        <v>0</v>
      </c>
      <c r="AD12" s="27">
        <f>ROUND(Costs!O10/(1-$U$3),0)</f>
        <v>0</v>
      </c>
    </row>
    <row r="13" spans="2:43">
      <c r="B13" s="5" t="s">
        <v>238</v>
      </c>
      <c r="C13" s="27">
        <f>ROUND(Costs!C11/(1-$F$3),0)</f>
        <v>615</v>
      </c>
      <c r="D13" s="27">
        <f>ROUND(Costs!D11/(1-$F$3),0)</f>
        <v>354</v>
      </c>
      <c r="E13" s="27">
        <f>ROUND(Costs!E11/(1-$F$3),0)</f>
        <v>0</v>
      </c>
      <c r="F13" s="27">
        <f>ROUND(Costs!F11/(1-$F$3),0)</f>
        <v>0</v>
      </c>
      <c r="G13" s="27">
        <f>ROUND(Costs!G11/(1-$F$3),0)</f>
        <v>337</v>
      </c>
      <c r="H13" s="27">
        <f>ROUND(Costs!H11/(1-$F$3),0)</f>
        <v>0</v>
      </c>
      <c r="I13" s="27">
        <f>ROUND(Costs!I11/(1-$F$3),0)</f>
        <v>49</v>
      </c>
      <c r="J13" s="27">
        <f>ROUND(Costs!J11/(1-$F$3),0)</f>
        <v>0</v>
      </c>
      <c r="K13" s="27">
        <f>ROUND(Costs!K11/(1-$F$3),0)</f>
        <v>0</v>
      </c>
      <c r="L13" s="27">
        <f>ROUND(Costs!L11/(1-$F$3),0)</f>
        <v>0</v>
      </c>
      <c r="M13" s="27">
        <f>ROUND(Costs!M11/(1-$F$3),0)</f>
        <v>0</v>
      </c>
      <c r="N13" s="27">
        <f>ROUND(Costs!N11/(1-$F$3),0)</f>
        <v>0</v>
      </c>
      <c r="O13" s="27">
        <f>ROUND(Costs!O11/(1-$F$3),0)</f>
        <v>0</v>
      </c>
      <c r="P13" s="9"/>
      <c r="Q13" s="5" t="s">
        <v>238</v>
      </c>
      <c r="R13" s="27">
        <f>ROUND(Costs!C11/(1-$U$3),0)</f>
        <v>738</v>
      </c>
      <c r="S13" s="27">
        <f>ROUND(Costs!D11/(1-$U$3),0)</f>
        <v>425</v>
      </c>
      <c r="T13" s="27">
        <f>ROUND(Costs!E11/(1-$U$3),0)</f>
        <v>0</v>
      </c>
      <c r="U13" s="27">
        <f>ROUND(Costs!F11/(1-$U$3),0)</f>
        <v>0</v>
      </c>
      <c r="V13" s="27">
        <f>ROUND(Costs!G11/(1-$U$3),0)</f>
        <v>404</v>
      </c>
      <c r="W13" s="27">
        <f>ROUND(Costs!H11/(1-$U$3),0)</f>
        <v>0</v>
      </c>
      <c r="X13" s="27">
        <f>ROUND(Costs!I11/(1-$U$3),0)</f>
        <v>58</v>
      </c>
      <c r="Y13" s="27">
        <f>ROUND(Costs!J11/(1-$U$3),0)</f>
        <v>0</v>
      </c>
      <c r="Z13" s="27">
        <f>ROUND(Costs!K11/(1-$U$3),0)</f>
        <v>0</v>
      </c>
      <c r="AA13" s="27">
        <f>ROUND(Costs!L11/(1-$U$3),0)</f>
        <v>0</v>
      </c>
      <c r="AB13" s="27">
        <f>ROUND(Costs!M11/(1-$U$3),0)</f>
        <v>0</v>
      </c>
      <c r="AC13" s="27">
        <f>ROUND(Costs!N11/(1-$U$3),0)</f>
        <v>0</v>
      </c>
      <c r="AD13" s="27">
        <f>ROUND(Costs!O11/(1-$U$3),0)</f>
        <v>0</v>
      </c>
    </row>
    <row r="14" spans="2:43" ht="15.75" thickBot="1">
      <c r="B14" s="6" t="s">
        <v>99</v>
      </c>
      <c r="C14" s="27">
        <f>ROUND(Costs!C12/(1-$F$3),0)</f>
        <v>0</v>
      </c>
      <c r="D14" s="27">
        <f>ROUND(Costs!D12/(1-$F$3),0)</f>
        <v>120</v>
      </c>
      <c r="E14" s="27">
        <f>ROUND(Costs!E12/(1-$F$3),0)</f>
        <v>181</v>
      </c>
      <c r="F14" s="27">
        <f>ROUND(Costs!F12/(1-$F$3),0)</f>
        <v>0</v>
      </c>
      <c r="G14" s="27">
        <f>ROUND(Costs!G12/(1-$F$3),0)</f>
        <v>0</v>
      </c>
      <c r="H14" s="27">
        <f>ROUND(Costs!H12/(1-$F$3),0)</f>
        <v>96</v>
      </c>
      <c r="I14" s="27">
        <f>ROUND(Costs!I12/(1-$F$3),0)</f>
        <v>34</v>
      </c>
      <c r="J14" s="27">
        <f>ROUND(Costs!J12/(1-$F$3),0)</f>
        <v>26</v>
      </c>
      <c r="K14" s="27">
        <f>ROUND(Costs!K12/(1-$F$3),0)</f>
        <v>0</v>
      </c>
      <c r="L14" s="27">
        <f>ROUND(Costs!L12/(1-$F$3),0)</f>
        <v>0</v>
      </c>
      <c r="M14" s="27">
        <f>ROUND(Costs!M12/(1-$F$3),0)</f>
        <v>0</v>
      </c>
      <c r="N14" s="27">
        <f>ROUND(Costs!N12/(1-$F$3),0)</f>
        <v>0</v>
      </c>
      <c r="O14" s="27">
        <f>ROUND(Costs!O12/(1-$F$3),0)</f>
        <v>0</v>
      </c>
      <c r="P14" s="9"/>
      <c r="Q14" s="6" t="s">
        <v>99</v>
      </c>
      <c r="R14" s="27">
        <f>ROUND(Costs!C12/(1-$U$3),0)</f>
        <v>0</v>
      </c>
      <c r="S14" s="27">
        <f>ROUND(Costs!D12/(1-$U$3),0)</f>
        <v>144</v>
      </c>
      <c r="T14" s="27">
        <f>ROUND(Costs!E12/(1-$U$3),0)</f>
        <v>217</v>
      </c>
      <c r="U14" s="27">
        <f>ROUND(Costs!F12/(1-$U$3),0)</f>
        <v>0</v>
      </c>
      <c r="V14" s="27">
        <f>ROUND(Costs!G12/(1-$U$3),0)</f>
        <v>0</v>
      </c>
      <c r="W14" s="27">
        <f>ROUND(Costs!H12/(1-$U$3),0)</f>
        <v>115</v>
      </c>
      <c r="X14" s="27">
        <f>ROUND(Costs!I12/(1-$U$3),0)</f>
        <v>41</v>
      </c>
      <c r="Y14" s="27">
        <f>ROUND(Costs!J12/(1-$U$3),0)</f>
        <v>31</v>
      </c>
      <c r="Z14" s="27">
        <f>ROUND(Costs!K12/(1-$U$3),0)</f>
        <v>0</v>
      </c>
      <c r="AA14" s="27">
        <f>ROUND(Costs!L12/(1-$U$3),0)</f>
        <v>0</v>
      </c>
      <c r="AB14" s="27">
        <f>ROUND(Costs!M12/(1-$U$3),0)</f>
        <v>0</v>
      </c>
      <c r="AC14" s="27">
        <f>ROUND(Costs!N12/(1-$U$3),0)</f>
        <v>0</v>
      </c>
      <c r="AD14" s="27">
        <f>ROUND(Costs!O12/(1-$U$3),0)</f>
        <v>0</v>
      </c>
    </row>
    <row r="17" spans="2:30" ht="15.75" thickBot="1"/>
    <row r="18" spans="2:30" ht="15.75" thickBot="1">
      <c r="B18" s="36" t="s">
        <v>104</v>
      </c>
      <c r="E18" t="s">
        <v>300</v>
      </c>
      <c r="F18" s="35">
        <v>0.4</v>
      </c>
      <c r="Q18" s="36" t="s">
        <v>104</v>
      </c>
      <c r="T18" t="s">
        <v>300</v>
      </c>
      <c r="U18" s="35">
        <v>0.5</v>
      </c>
    </row>
    <row r="19" spans="2:30" ht="15.75" thickBot="1"/>
    <row r="20" spans="2:30" ht="15.75" thickBot="1">
      <c r="B20" s="38" t="s">
        <v>301</v>
      </c>
      <c r="C20" s="39" t="s">
        <v>153</v>
      </c>
      <c r="D20" s="40" t="s">
        <v>98</v>
      </c>
      <c r="E20" s="40" t="s">
        <v>105</v>
      </c>
      <c r="F20" s="40" t="s">
        <v>149</v>
      </c>
      <c r="G20" s="40" t="s">
        <v>131</v>
      </c>
      <c r="H20" s="40" t="s">
        <v>120</v>
      </c>
      <c r="I20" s="40" t="s">
        <v>156</v>
      </c>
      <c r="J20" s="40" t="s">
        <v>159</v>
      </c>
      <c r="K20" s="40" t="s">
        <v>136</v>
      </c>
      <c r="L20" s="40" t="s">
        <v>140</v>
      </c>
      <c r="M20" s="41" t="s">
        <v>125</v>
      </c>
      <c r="N20" s="41" t="s">
        <v>112</v>
      </c>
      <c r="O20" s="42" t="s">
        <v>145</v>
      </c>
      <c r="Q20" s="38" t="s">
        <v>301</v>
      </c>
      <c r="R20" s="39" t="s">
        <v>153</v>
      </c>
      <c r="S20" s="40" t="s">
        <v>98</v>
      </c>
      <c r="T20" s="40" t="s">
        <v>105</v>
      </c>
      <c r="U20" s="40" t="s">
        <v>149</v>
      </c>
      <c r="V20" s="40" t="s">
        <v>131</v>
      </c>
      <c r="W20" s="40" t="s">
        <v>120</v>
      </c>
      <c r="X20" s="40" t="s">
        <v>156</v>
      </c>
      <c r="Y20" s="40" t="s">
        <v>159</v>
      </c>
      <c r="Z20" s="40" t="s">
        <v>136</v>
      </c>
      <c r="AA20" s="40" t="s">
        <v>140</v>
      </c>
      <c r="AB20" s="41" t="s">
        <v>125</v>
      </c>
      <c r="AC20" s="41" t="s">
        <v>112</v>
      </c>
      <c r="AD20" s="42" t="s">
        <v>145</v>
      </c>
    </row>
    <row r="21" spans="2:30">
      <c r="B21" s="3" t="s">
        <v>106</v>
      </c>
      <c r="C21" s="37">
        <f>ROUND(Costs!C18/(1-$F$18),0)</f>
        <v>147</v>
      </c>
      <c r="D21" s="37">
        <f>ROUND(Costs!D18/(1-$F$18),0)</f>
        <v>0</v>
      </c>
      <c r="E21" s="37">
        <f>ROUND(Costs!E18/(1-$F$18),0)</f>
        <v>0</v>
      </c>
      <c r="F21" s="37">
        <f>ROUND(Costs!F18/(1-$F$18),0)</f>
        <v>0</v>
      </c>
      <c r="G21" s="37">
        <f>ROUND(Costs!G18/(1-$F$18),0)</f>
        <v>0</v>
      </c>
      <c r="H21" s="37">
        <f>ROUND(Costs!H18/(1-$F$18),0)</f>
        <v>0</v>
      </c>
      <c r="I21" s="37">
        <f>ROUND(Costs!I18/(1-$F$18),0)</f>
        <v>21</v>
      </c>
      <c r="J21" s="37">
        <f>ROUND(Costs!J18/(1-$F$18),0)</f>
        <v>36</v>
      </c>
      <c r="K21" s="37">
        <f>ROUND(Costs!K18/(1-$F$18),0)</f>
        <v>0</v>
      </c>
      <c r="L21" s="37">
        <f>ROUND(Costs!L18/(1-$F$18),0)</f>
        <v>0</v>
      </c>
      <c r="M21" s="37">
        <f>ROUND(Costs!M18/(1-$F$18),0)</f>
        <v>0</v>
      </c>
      <c r="N21" s="37">
        <f>ROUND(Costs!N18/(1-$F$18),0)</f>
        <v>68</v>
      </c>
      <c r="O21" s="37">
        <f>ROUND(Costs!O18/(1-$F$18),0)</f>
        <v>20</v>
      </c>
      <c r="Q21" s="3" t="s">
        <v>106</v>
      </c>
      <c r="R21" s="37">
        <f>ROUND(Costs!C18/(1-$U$18),0)</f>
        <v>176</v>
      </c>
      <c r="S21" s="37">
        <f>ROUND(Costs!D18/(1-$U$18),0)</f>
        <v>0</v>
      </c>
      <c r="T21" s="37">
        <f>ROUND(Costs!E18/(1-$U$18),0)</f>
        <v>0</v>
      </c>
      <c r="U21" s="37">
        <f>ROUND(Costs!F18/(1-$U$18),0)</f>
        <v>0</v>
      </c>
      <c r="V21" s="37">
        <f>ROUND(Costs!G18/(1-$U$18),0)</f>
        <v>0</v>
      </c>
      <c r="W21" s="37">
        <f>ROUND(Costs!H18/(1-$U$18),0)</f>
        <v>0</v>
      </c>
      <c r="X21" s="37">
        <f>ROUND(Costs!I18/(1-$U$18),0)</f>
        <v>25</v>
      </c>
      <c r="Y21" s="37">
        <f>ROUND(Costs!J18/(1-$U$18),0)</f>
        <v>43</v>
      </c>
      <c r="Z21" s="37">
        <f>ROUND(Costs!K18/(1-$U$18),0)</f>
        <v>0</v>
      </c>
      <c r="AA21" s="37">
        <f>ROUND(Costs!L18/(1-$U$18),0)</f>
        <v>0</v>
      </c>
      <c r="AB21" s="37">
        <f>ROUND(Costs!M18/(1-$U$18),0)</f>
        <v>0</v>
      </c>
      <c r="AC21" s="37">
        <f>ROUND(Costs!N18/(1-$U$18),0)</f>
        <v>82</v>
      </c>
      <c r="AD21" s="37">
        <f>ROUND(Costs!O18/(1-$U$18),0)</f>
        <v>23</v>
      </c>
    </row>
    <row r="22" spans="2:30">
      <c r="B22" s="5" t="s">
        <v>113</v>
      </c>
      <c r="C22" s="37">
        <f>ROUND(Costs!C19/(1-$F$18),0)</f>
        <v>230</v>
      </c>
      <c r="D22" s="37">
        <f>ROUND(Costs!D19/(1-$F$18),0)</f>
        <v>0</v>
      </c>
      <c r="E22" s="37">
        <f>ROUND(Costs!E19/(1-$F$18),0)</f>
        <v>0</v>
      </c>
      <c r="F22" s="37">
        <f>ROUND(Costs!F19/(1-$F$18),0)</f>
        <v>0</v>
      </c>
      <c r="G22" s="37">
        <f>ROUND(Costs!G19/(1-$F$18),0)</f>
        <v>172</v>
      </c>
      <c r="H22" s="37">
        <f>ROUND(Costs!H19/(1-$F$18),0)</f>
        <v>0</v>
      </c>
      <c r="I22" s="37">
        <f>ROUND(Costs!I19/(1-$F$18),0)</f>
        <v>42</v>
      </c>
      <c r="J22" s="37">
        <f>ROUND(Costs!J19/(1-$F$18),0)</f>
        <v>50</v>
      </c>
      <c r="K22" s="37">
        <f>ROUND(Costs!K19/(1-$F$18),0)</f>
        <v>170</v>
      </c>
      <c r="L22" s="37">
        <f>ROUND(Costs!L19/(1-$F$18),0)</f>
        <v>0</v>
      </c>
      <c r="M22" s="37">
        <f>ROUND(Costs!M19/(1-$F$18),0)</f>
        <v>0</v>
      </c>
      <c r="N22" s="37">
        <f>ROUND(Costs!N19/(1-$F$18),0)</f>
        <v>106</v>
      </c>
      <c r="O22" s="37">
        <f>ROUND(Costs!O19/(1-$F$18),0)</f>
        <v>37</v>
      </c>
      <c r="Q22" s="5" t="s">
        <v>113</v>
      </c>
      <c r="R22" s="37">
        <f>ROUND(Costs!C19/(1-$U$18),0)</f>
        <v>277</v>
      </c>
      <c r="S22" s="37">
        <f>ROUND(Costs!D19/(1-$U$18),0)</f>
        <v>0</v>
      </c>
      <c r="T22" s="37">
        <f>ROUND(Costs!E19/(1-$U$18),0)</f>
        <v>0</v>
      </c>
      <c r="U22" s="37">
        <f>ROUND(Costs!F19/(1-$U$18),0)</f>
        <v>0</v>
      </c>
      <c r="V22" s="37">
        <f>ROUND(Costs!G19/(1-$U$18),0)</f>
        <v>207</v>
      </c>
      <c r="W22" s="37">
        <f>ROUND(Costs!H19/(1-$U$18),0)</f>
        <v>0</v>
      </c>
      <c r="X22" s="37">
        <f>ROUND(Costs!I19/(1-$U$18),0)</f>
        <v>51</v>
      </c>
      <c r="Y22" s="37">
        <f>ROUND(Costs!J19/(1-$U$18),0)</f>
        <v>60</v>
      </c>
      <c r="Z22" s="37">
        <f>ROUND(Costs!K19/(1-$U$18),0)</f>
        <v>204</v>
      </c>
      <c r="AA22" s="37">
        <f>ROUND(Costs!L19/(1-$U$18),0)</f>
        <v>0</v>
      </c>
      <c r="AB22" s="37">
        <f>ROUND(Costs!M19/(1-$U$18),0)</f>
        <v>0</v>
      </c>
      <c r="AC22" s="37">
        <f>ROUND(Costs!N19/(1-$U$18),0)</f>
        <v>127</v>
      </c>
      <c r="AD22" s="37">
        <f>ROUND(Costs!O19/(1-$U$18),0)</f>
        <v>45</v>
      </c>
    </row>
    <row r="23" spans="2:30">
      <c r="B23" s="5" t="s">
        <v>91</v>
      </c>
      <c r="C23" s="37">
        <f>ROUND(Costs!C20/(1-$F$18),0)</f>
        <v>277</v>
      </c>
      <c r="D23" s="37">
        <f>ROUND(Costs!D20/(1-$F$18),0)</f>
        <v>0</v>
      </c>
      <c r="E23" s="37">
        <f>ROUND(Costs!E20/(1-$F$18),0)</f>
        <v>0</v>
      </c>
      <c r="F23" s="37">
        <f>ROUND(Costs!F20/(1-$F$18),0)</f>
        <v>0</v>
      </c>
      <c r="G23" s="37">
        <f>ROUND(Costs!G20/(1-$F$18),0)</f>
        <v>0</v>
      </c>
      <c r="H23" s="37">
        <f>ROUND(Costs!H20/(1-$F$18),0)</f>
        <v>0</v>
      </c>
      <c r="I23" s="37">
        <f>ROUND(Costs!I20/(1-$F$18),0)</f>
        <v>60</v>
      </c>
      <c r="J23" s="37">
        <f>ROUND(Costs!J20/(1-$F$18),0)</f>
        <v>51</v>
      </c>
      <c r="K23" s="37">
        <f>ROUND(Costs!K20/(1-$F$18),0)</f>
        <v>183</v>
      </c>
      <c r="L23" s="37">
        <f>ROUND(Costs!L20/(1-$F$18),0)</f>
        <v>0</v>
      </c>
      <c r="M23" s="37">
        <f>ROUND(Costs!M20/(1-$F$18),0)</f>
        <v>106</v>
      </c>
      <c r="N23" s="37">
        <f>ROUND(Costs!N20/(1-$F$18),0)</f>
        <v>0</v>
      </c>
      <c r="O23" s="37">
        <f>ROUND(Costs!O20/(1-$F$18),0)</f>
        <v>65</v>
      </c>
      <c r="Q23" s="5" t="s">
        <v>91</v>
      </c>
      <c r="R23" s="37">
        <f>ROUND(Costs!C20/(1-$U$18),0)</f>
        <v>333</v>
      </c>
      <c r="S23" s="37">
        <f>ROUND(Costs!D20/(1-$U$18),0)</f>
        <v>0</v>
      </c>
      <c r="T23" s="37">
        <f>ROUND(Costs!E20/(1-$U$18),0)</f>
        <v>0</v>
      </c>
      <c r="U23" s="37">
        <f>ROUND(Costs!F20/(1-$U$18),0)</f>
        <v>0</v>
      </c>
      <c r="V23" s="37">
        <f>ROUND(Costs!G20/(1-$U$18),0)</f>
        <v>0</v>
      </c>
      <c r="W23" s="37">
        <f>ROUND(Costs!H20/(1-$U$18),0)</f>
        <v>0</v>
      </c>
      <c r="X23" s="37">
        <f>ROUND(Costs!I20/(1-$U$18),0)</f>
        <v>72</v>
      </c>
      <c r="Y23" s="37">
        <f>ROUND(Costs!J20/(1-$U$18),0)</f>
        <v>61</v>
      </c>
      <c r="Z23" s="37">
        <f>ROUND(Costs!K20/(1-$U$18),0)</f>
        <v>219</v>
      </c>
      <c r="AA23" s="37">
        <f>ROUND(Costs!L20/(1-$U$18),0)</f>
        <v>0</v>
      </c>
      <c r="AB23" s="37">
        <f>ROUND(Costs!M20/(1-$U$18),0)</f>
        <v>127</v>
      </c>
      <c r="AC23" s="37">
        <f>ROUND(Costs!N20/(1-$U$18),0)</f>
        <v>0</v>
      </c>
      <c r="AD23" s="37">
        <f>ROUND(Costs!O20/(1-$U$18),0)</f>
        <v>78</v>
      </c>
    </row>
    <row r="24" spans="2:30">
      <c r="B24" s="5" t="s">
        <v>126</v>
      </c>
      <c r="C24" s="37">
        <f>ROUND(Costs!C21/(1-$F$18),0)</f>
        <v>354</v>
      </c>
      <c r="D24" s="37">
        <f>ROUND(Costs!D21/(1-$F$18),0)</f>
        <v>0</v>
      </c>
      <c r="E24" s="37">
        <f>ROUND(Costs!E21/(1-$F$18),0)</f>
        <v>0</v>
      </c>
      <c r="F24" s="37">
        <f>ROUND(Costs!F21/(1-$F$18),0)</f>
        <v>0</v>
      </c>
      <c r="G24" s="37">
        <f>ROUND(Costs!G21/(1-$F$18),0)</f>
        <v>0</v>
      </c>
      <c r="H24" s="37">
        <f>ROUND(Costs!H21/(1-$F$18),0)</f>
        <v>0</v>
      </c>
      <c r="I24" s="37">
        <f>ROUND(Costs!I21/(1-$F$18),0)</f>
        <v>66</v>
      </c>
      <c r="J24" s="37">
        <f>ROUND(Costs!J21/(1-$F$18),0)</f>
        <v>0</v>
      </c>
      <c r="K24" s="37">
        <f>ROUND(Costs!K21/(1-$F$18),0)</f>
        <v>0</v>
      </c>
      <c r="L24" s="37">
        <f>ROUND(Costs!L21/(1-$F$18),0)</f>
        <v>0</v>
      </c>
      <c r="M24" s="37">
        <f>ROUND(Costs!M21/(1-$F$18),0)</f>
        <v>0</v>
      </c>
      <c r="N24" s="37">
        <f>ROUND(Costs!N21/(1-$F$18),0)</f>
        <v>0</v>
      </c>
      <c r="O24" s="37">
        <f>ROUND(Costs!O21/(1-$F$18),0)</f>
        <v>0</v>
      </c>
      <c r="Q24" s="5" t="s">
        <v>126</v>
      </c>
      <c r="R24" s="37">
        <f>ROUND(Costs!C21/(1-$U$18),0)</f>
        <v>425</v>
      </c>
      <c r="S24" s="37">
        <f>ROUND(Costs!D21/(1-$U$18),0)</f>
        <v>0</v>
      </c>
      <c r="T24" s="37">
        <f>ROUND(Costs!E21/(1-$U$18),0)</f>
        <v>0</v>
      </c>
      <c r="U24" s="37">
        <f>ROUND(Costs!F21/(1-$U$18),0)</f>
        <v>0</v>
      </c>
      <c r="V24" s="37">
        <f>ROUND(Costs!G21/(1-$U$18),0)</f>
        <v>0</v>
      </c>
      <c r="W24" s="37">
        <f>ROUND(Costs!H21/(1-$U$18),0)</f>
        <v>0</v>
      </c>
      <c r="X24" s="37">
        <f>ROUND(Costs!I21/(1-$U$18),0)</f>
        <v>79</v>
      </c>
      <c r="Y24" s="37">
        <f>ROUND(Costs!J21/(1-$U$18),0)</f>
        <v>0</v>
      </c>
      <c r="Z24" s="37">
        <f>ROUND(Costs!K21/(1-$U$18),0)</f>
        <v>0</v>
      </c>
      <c r="AA24" s="37">
        <f>ROUND(Costs!L21/(1-$U$18),0)</f>
        <v>0</v>
      </c>
      <c r="AB24" s="37">
        <f>ROUND(Costs!M21/(1-$U$18),0)</f>
        <v>0</v>
      </c>
      <c r="AC24" s="37">
        <f>ROUND(Costs!N21/(1-$U$18),0)</f>
        <v>0</v>
      </c>
      <c r="AD24" s="37">
        <f>ROUND(Costs!O21/(1-$U$18),0)</f>
        <v>0</v>
      </c>
    </row>
    <row r="25" spans="2:30">
      <c r="B25" s="5" t="s">
        <v>302</v>
      </c>
      <c r="C25" s="37">
        <f>ROUND(Costs!C22/(1-$F$18),0)</f>
        <v>528</v>
      </c>
      <c r="D25" s="37">
        <f>ROUND(Costs!D22/(1-$F$18),0)</f>
        <v>0</v>
      </c>
      <c r="E25" s="37">
        <f>ROUND(Costs!E22/(1-$F$18),0)</f>
        <v>0</v>
      </c>
      <c r="F25" s="37">
        <f>ROUND(Costs!F22/(1-$F$18),0)</f>
        <v>0</v>
      </c>
      <c r="G25" s="37">
        <f>ROUND(Costs!G22/(1-$F$18),0)</f>
        <v>0</v>
      </c>
      <c r="H25" s="37">
        <f>ROUND(Costs!H22/(1-$F$18),0)</f>
        <v>0</v>
      </c>
      <c r="I25" s="37">
        <f>ROUND(Costs!I22/(1-$F$18),0)</f>
        <v>90</v>
      </c>
      <c r="J25" s="37">
        <f>ROUND(Costs!J22/(1-$F$18),0)</f>
        <v>0</v>
      </c>
      <c r="K25" s="37">
        <f>ROUND(Costs!K22/(1-$F$18),0)</f>
        <v>0</v>
      </c>
      <c r="L25" s="37">
        <f>ROUND(Costs!L22/(1-$F$18),0)</f>
        <v>0</v>
      </c>
      <c r="M25" s="37">
        <f>ROUND(Costs!M22/(1-$F$18),0)</f>
        <v>0</v>
      </c>
      <c r="N25" s="37">
        <f>ROUND(Costs!N22/(1-$F$18),0)</f>
        <v>0</v>
      </c>
      <c r="O25" s="37">
        <f>ROUND(Costs!O22/(1-$F$18),0)</f>
        <v>0</v>
      </c>
      <c r="Q25" s="5" t="s">
        <v>302</v>
      </c>
      <c r="R25" s="37">
        <f>ROUND(Costs!C22/(1-$U$18),0)</f>
        <v>634</v>
      </c>
      <c r="S25" s="37">
        <f>ROUND(Costs!D22/(1-$U$18),0)</f>
        <v>0</v>
      </c>
      <c r="T25" s="37">
        <f>ROUND(Costs!E22/(1-$U$18),0)</f>
        <v>0</v>
      </c>
      <c r="U25" s="37">
        <f>ROUND(Costs!F22/(1-$U$18),0)</f>
        <v>0</v>
      </c>
      <c r="V25" s="37">
        <f>ROUND(Costs!G22/(1-$U$18),0)</f>
        <v>0</v>
      </c>
      <c r="W25" s="37">
        <f>ROUND(Costs!H22/(1-$U$18),0)</f>
        <v>0</v>
      </c>
      <c r="X25" s="37">
        <f>ROUND(Costs!I22/(1-$U$18),0)</f>
        <v>108</v>
      </c>
      <c r="Y25" s="37">
        <f>ROUND(Costs!J22/(1-$U$18),0)</f>
        <v>0</v>
      </c>
      <c r="Z25" s="37">
        <f>ROUND(Costs!K22/(1-$U$18),0)</f>
        <v>0</v>
      </c>
      <c r="AA25" s="37">
        <f>ROUND(Costs!L22/(1-$U$18),0)</f>
        <v>0</v>
      </c>
      <c r="AB25" s="37">
        <f>ROUND(Costs!M22/(1-$U$18),0)</f>
        <v>0</v>
      </c>
      <c r="AC25" s="37">
        <f>ROUND(Costs!N22/(1-$U$18),0)</f>
        <v>0</v>
      </c>
      <c r="AD25" s="37">
        <f>ROUND(Costs!O22/(1-$U$18),0)</f>
        <v>0</v>
      </c>
    </row>
    <row r="26" spans="2:30">
      <c r="B26" s="5" t="s">
        <v>137</v>
      </c>
      <c r="C26" s="37">
        <f>ROUND(Costs!C23/(1-$F$18),0)</f>
        <v>290</v>
      </c>
      <c r="D26" s="37">
        <f>ROUND(Costs!D23/(1-$F$18),0)</f>
        <v>0</v>
      </c>
      <c r="E26" s="37">
        <f>ROUND(Costs!E23/(1-$F$18),0)</f>
        <v>0</v>
      </c>
      <c r="F26" s="37">
        <f>ROUND(Costs!F23/(1-$F$18),0)</f>
        <v>0</v>
      </c>
      <c r="G26" s="37">
        <f>ROUND(Costs!G23/(1-$F$18),0)</f>
        <v>0</v>
      </c>
      <c r="H26" s="37">
        <f>ROUND(Costs!H23/(1-$F$18),0)</f>
        <v>0</v>
      </c>
      <c r="I26" s="37">
        <f>ROUND(Costs!I23/(1-$F$18),0)</f>
        <v>99</v>
      </c>
      <c r="J26" s="37">
        <f>ROUND(Costs!J23/(1-$F$18),0)</f>
        <v>74</v>
      </c>
      <c r="K26" s="37">
        <f>ROUND(Costs!K23/(1-$F$18),0)</f>
        <v>191</v>
      </c>
      <c r="L26" s="37">
        <f>ROUND(Costs!L23/(1-$F$18),0)</f>
        <v>0</v>
      </c>
      <c r="M26" s="37">
        <f>ROUND(Costs!M23/(1-$F$18),0)</f>
        <v>0</v>
      </c>
      <c r="N26" s="37">
        <f>ROUND(Costs!N23/(1-$F$18),0)</f>
        <v>187</v>
      </c>
      <c r="O26" s="37">
        <f>ROUND(Costs!O23/(1-$F$18),0)</f>
        <v>69</v>
      </c>
      <c r="Q26" s="5" t="s">
        <v>137</v>
      </c>
      <c r="R26" s="37">
        <f>ROUND(Costs!C23/(1-$U$18),0)</f>
        <v>348</v>
      </c>
      <c r="S26" s="37">
        <f>ROUND(Costs!D23/(1-$U$18),0)</f>
        <v>0</v>
      </c>
      <c r="T26" s="37">
        <f>ROUND(Costs!E23/(1-$U$18),0)</f>
        <v>0</v>
      </c>
      <c r="U26" s="37">
        <f>ROUND(Costs!F23/(1-$U$18),0)</f>
        <v>0</v>
      </c>
      <c r="V26" s="37">
        <f>ROUND(Costs!G23/(1-$U$18),0)</f>
        <v>0</v>
      </c>
      <c r="W26" s="37">
        <f>ROUND(Costs!H23/(1-$U$18),0)</f>
        <v>0</v>
      </c>
      <c r="X26" s="37">
        <f>ROUND(Costs!I23/(1-$U$18),0)</f>
        <v>119</v>
      </c>
      <c r="Y26" s="37">
        <f>ROUND(Costs!J23/(1-$U$18),0)</f>
        <v>88</v>
      </c>
      <c r="Z26" s="37">
        <f>ROUND(Costs!K23/(1-$U$18),0)</f>
        <v>230</v>
      </c>
      <c r="AA26" s="37">
        <f>ROUND(Costs!L23/(1-$U$18),0)</f>
        <v>0</v>
      </c>
      <c r="AB26" s="37">
        <f>ROUND(Costs!M23/(1-$U$18),0)</f>
        <v>0</v>
      </c>
      <c r="AC26" s="37">
        <f>ROUND(Costs!N23/(1-$U$18),0)</f>
        <v>225</v>
      </c>
      <c r="AD26" s="37">
        <f>ROUND(Costs!O23/(1-$U$18),0)</f>
        <v>83</v>
      </c>
    </row>
    <row r="27" spans="2:30">
      <c r="B27" s="5" t="s">
        <v>141</v>
      </c>
      <c r="C27" s="37">
        <f>ROUND(Costs!C24/(1-$F$18),0)</f>
        <v>370</v>
      </c>
      <c r="D27" s="37">
        <f>ROUND(Costs!D24/(1-$F$18),0)</f>
        <v>0</v>
      </c>
      <c r="E27" s="37">
        <f>ROUND(Costs!E24/(1-$F$18),0)</f>
        <v>0</v>
      </c>
      <c r="F27" s="37">
        <f>ROUND(Costs!F24/(1-$F$18),0)</f>
        <v>0</v>
      </c>
      <c r="G27" s="37">
        <f>ROUND(Costs!G24/(1-$F$18),0)</f>
        <v>0</v>
      </c>
      <c r="H27" s="37">
        <f>ROUND(Costs!H24/(1-$F$18),0)</f>
        <v>0</v>
      </c>
      <c r="I27" s="37">
        <f>ROUND(Costs!I24/(1-$F$18),0)</f>
        <v>79</v>
      </c>
      <c r="J27" s="37">
        <f>ROUND(Costs!J24/(1-$F$18),0)</f>
        <v>0</v>
      </c>
      <c r="K27" s="37">
        <f>ROUND(Costs!K24/(1-$F$18),0)</f>
        <v>235</v>
      </c>
      <c r="L27" s="37">
        <f>ROUND(Costs!L24/(1-$F$18),0)</f>
        <v>0</v>
      </c>
      <c r="M27" s="37">
        <f>ROUND(Costs!M24/(1-$F$18),0)</f>
        <v>0</v>
      </c>
      <c r="N27" s="37">
        <f>ROUND(Costs!N24/(1-$F$18),0)</f>
        <v>0</v>
      </c>
      <c r="O27" s="37">
        <f>ROUND(Costs!O24/(1-$F$18),0)</f>
        <v>0</v>
      </c>
      <c r="Q27" s="5" t="s">
        <v>141</v>
      </c>
      <c r="R27" s="37">
        <f>ROUND(Costs!C24/(1-$U$18),0)</f>
        <v>444</v>
      </c>
      <c r="S27" s="37">
        <f>ROUND(Costs!D24/(1-$U$18),0)</f>
        <v>0</v>
      </c>
      <c r="T27" s="37">
        <f>ROUND(Costs!E24/(1-$U$18),0)</f>
        <v>0</v>
      </c>
      <c r="U27" s="37">
        <f>ROUND(Costs!F24/(1-$U$18),0)</f>
        <v>0</v>
      </c>
      <c r="V27" s="37">
        <f>ROUND(Costs!G24/(1-$U$18),0)</f>
        <v>0</v>
      </c>
      <c r="W27" s="37">
        <f>ROUND(Costs!H24/(1-$U$18),0)</f>
        <v>0</v>
      </c>
      <c r="X27" s="37">
        <f>ROUND(Costs!I24/(1-$U$18),0)</f>
        <v>95</v>
      </c>
      <c r="Y27" s="37">
        <f>ROUND(Costs!J24/(1-$U$18),0)</f>
        <v>0</v>
      </c>
      <c r="Z27" s="37">
        <f>ROUND(Costs!K24/(1-$U$18),0)</f>
        <v>282</v>
      </c>
      <c r="AA27" s="37">
        <f>ROUND(Costs!L24/(1-$U$18),0)</f>
        <v>0</v>
      </c>
      <c r="AB27" s="37">
        <f>ROUND(Costs!M24/(1-$U$18),0)</f>
        <v>0</v>
      </c>
      <c r="AC27" s="37">
        <f>ROUND(Costs!N24/(1-$U$18),0)</f>
        <v>0</v>
      </c>
      <c r="AD27" s="37">
        <f>ROUND(Costs!O24/(1-$U$18),0)</f>
        <v>0</v>
      </c>
    </row>
    <row r="28" spans="2:30">
      <c r="B28" s="5" t="s">
        <v>238</v>
      </c>
      <c r="C28" s="37">
        <f>ROUND(Costs!C25/(1-$F$18),0)</f>
        <v>361</v>
      </c>
      <c r="D28" s="37">
        <f>ROUND(Costs!D25/(1-$F$18),0)</f>
        <v>0</v>
      </c>
      <c r="E28" s="37">
        <f>ROUND(Costs!E25/(1-$F$18),0)</f>
        <v>0</v>
      </c>
      <c r="F28" s="37">
        <f>ROUND(Costs!F25/(1-$F$18),0)</f>
        <v>0</v>
      </c>
      <c r="G28" s="37">
        <f>ROUND(Costs!G25/(1-$F$18),0)</f>
        <v>0</v>
      </c>
      <c r="H28" s="37">
        <f>ROUND(Costs!H25/(1-$F$18),0)</f>
        <v>0</v>
      </c>
      <c r="I28" s="37">
        <f>ROUND(Costs!I25/(1-$F$18),0)</f>
        <v>0</v>
      </c>
      <c r="J28" s="37">
        <f>ROUND(Costs!J25/(1-$F$18),0)</f>
        <v>0</v>
      </c>
      <c r="K28" s="37">
        <f>ROUND(Costs!K25/(1-$F$18),0)</f>
        <v>0</v>
      </c>
      <c r="L28" s="37">
        <f>ROUND(Costs!L25/(1-$F$18),0)</f>
        <v>0</v>
      </c>
      <c r="M28" s="37">
        <f>ROUND(Costs!M25/(1-$F$18),0)</f>
        <v>0</v>
      </c>
      <c r="N28" s="37">
        <f>ROUND(Costs!N25/(1-$F$18),0)</f>
        <v>0</v>
      </c>
      <c r="O28" s="37">
        <f>ROUND(Costs!O25/(1-$F$18),0)</f>
        <v>0</v>
      </c>
      <c r="Q28" s="5" t="s">
        <v>238</v>
      </c>
      <c r="R28" s="37">
        <f>ROUND(Costs!C25/(1-$U$18),0)</f>
        <v>433</v>
      </c>
      <c r="S28" s="37">
        <f>ROUND(Costs!D25/(1-$U$18),0)</f>
        <v>0</v>
      </c>
      <c r="T28" s="37">
        <f>ROUND(Costs!E25/(1-$U$18),0)</f>
        <v>0</v>
      </c>
      <c r="U28" s="37">
        <f>ROUND(Costs!F25/(1-$U$18),0)</f>
        <v>0</v>
      </c>
      <c r="V28" s="37">
        <f>ROUND(Costs!G25/(1-$U$18),0)</f>
        <v>0</v>
      </c>
      <c r="W28" s="37">
        <f>ROUND(Costs!H25/(1-$U$18),0)</f>
        <v>0</v>
      </c>
      <c r="X28" s="37">
        <f>ROUND(Costs!I25/(1-$U$18),0)</f>
        <v>0</v>
      </c>
      <c r="Y28" s="37">
        <f>ROUND(Costs!J25/(1-$U$18),0)</f>
        <v>0</v>
      </c>
      <c r="Z28" s="37">
        <f>ROUND(Costs!K25/(1-$U$18),0)</f>
        <v>0</v>
      </c>
      <c r="AA28" s="37">
        <f>ROUND(Costs!L25/(1-$U$18),0)</f>
        <v>0</v>
      </c>
      <c r="AB28" s="37">
        <f>ROUND(Costs!M25/(1-$U$18),0)</f>
        <v>0</v>
      </c>
      <c r="AC28" s="37">
        <f>ROUND(Costs!N25/(1-$U$18),0)</f>
        <v>0</v>
      </c>
      <c r="AD28" s="37">
        <f>ROUND(Costs!O25/(1-$U$18),0)</f>
        <v>0</v>
      </c>
    </row>
    <row r="29" spans="2:30" ht="15.75" thickBot="1">
      <c r="B29" s="6" t="s">
        <v>99</v>
      </c>
      <c r="C29" s="37">
        <f>ROUND(Costs!C26/(1-$F$18),0)</f>
        <v>545</v>
      </c>
      <c r="D29" s="37">
        <f>ROUND(Costs!D26/(1-$F$18),0)</f>
        <v>0</v>
      </c>
      <c r="E29" s="37">
        <f>ROUND(Costs!E26/(1-$F$18),0)</f>
        <v>0</v>
      </c>
      <c r="F29" s="37">
        <f>ROUND(Costs!F26/(1-$F$18),0)</f>
        <v>0</v>
      </c>
      <c r="G29" s="37">
        <f>ROUND(Costs!G26/(1-$F$18),0)</f>
        <v>0</v>
      </c>
      <c r="H29" s="37">
        <f>ROUND(Costs!H26/(1-$F$18),0)</f>
        <v>0</v>
      </c>
      <c r="I29" s="37">
        <f>ROUND(Costs!I26/(1-$F$18),0)</f>
        <v>58</v>
      </c>
      <c r="J29" s="37">
        <f>ROUND(Costs!J26/(1-$F$18),0)</f>
        <v>55</v>
      </c>
      <c r="K29" s="37">
        <f>ROUND(Costs!K26/(1-$F$18),0)</f>
        <v>0</v>
      </c>
      <c r="L29" s="37">
        <f>ROUND(Costs!L26/(1-$F$18),0)</f>
        <v>0</v>
      </c>
      <c r="M29" s="37">
        <f>ROUND(Costs!M26/(1-$F$18),0)</f>
        <v>0</v>
      </c>
      <c r="N29" s="37">
        <f>ROUND(Costs!N26/(1-$F$18),0)</f>
        <v>0</v>
      </c>
      <c r="O29" s="37">
        <f>ROUND(Costs!O26/(1-$F$18),0)</f>
        <v>0</v>
      </c>
      <c r="Q29" s="6" t="s">
        <v>99</v>
      </c>
      <c r="R29" s="37">
        <f>ROUND(Costs!C26/(1-$U$18),0)</f>
        <v>654</v>
      </c>
      <c r="S29" s="37">
        <f>ROUND(Costs!D26/(1-$U$18),0)</f>
        <v>0</v>
      </c>
      <c r="T29" s="37">
        <f>ROUND(Costs!E26/(1-$U$18),0)</f>
        <v>0</v>
      </c>
      <c r="U29" s="37">
        <f>ROUND(Costs!F26/(1-$U$18),0)</f>
        <v>0</v>
      </c>
      <c r="V29" s="37">
        <f>ROUND(Costs!G26/(1-$U$18),0)</f>
        <v>0</v>
      </c>
      <c r="W29" s="37">
        <f>ROUND(Costs!H26/(1-$U$18),0)</f>
        <v>0</v>
      </c>
      <c r="X29" s="37">
        <f>ROUND(Costs!I26/(1-$U$18),0)</f>
        <v>69</v>
      </c>
      <c r="Y29" s="37">
        <f>ROUND(Costs!J26/(1-$U$18),0)</f>
        <v>66</v>
      </c>
      <c r="Z29" s="37">
        <f>ROUND(Costs!K26/(1-$U$18),0)</f>
        <v>0</v>
      </c>
      <c r="AA29" s="37">
        <f>ROUND(Costs!L26/(1-$U$18),0)</f>
        <v>0</v>
      </c>
      <c r="AB29" s="37">
        <f>ROUND(Costs!M26/(1-$U$18),0)</f>
        <v>0</v>
      </c>
      <c r="AC29" s="37">
        <f>ROUND(Costs!N26/(1-$U$18),0)</f>
        <v>0</v>
      </c>
      <c r="AD29" s="37">
        <f>ROUND(Costs!O26/(1-$U$18),0)</f>
        <v>0</v>
      </c>
    </row>
    <row r="33" spans="2:30">
      <c r="B33" s="44" t="s">
        <v>111</v>
      </c>
      <c r="C33" s="45"/>
      <c r="E33" t="s">
        <v>300</v>
      </c>
      <c r="F33" s="35">
        <v>0.4</v>
      </c>
      <c r="Q33" s="44" t="s">
        <v>111</v>
      </c>
      <c r="R33" s="45"/>
      <c r="T33" t="s">
        <v>300</v>
      </c>
      <c r="U33" s="35">
        <v>0.5</v>
      </c>
    </row>
    <row r="34" spans="2:30" ht="15.75" thickBot="1"/>
    <row r="35" spans="2:30" ht="15.75" thickBot="1">
      <c r="B35" s="46" t="s">
        <v>301</v>
      </c>
      <c r="C35" s="47" t="s">
        <v>153</v>
      </c>
      <c r="D35" s="48" t="s">
        <v>98</v>
      </c>
      <c r="E35" s="48" t="s">
        <v>105</v>
      </c>
      <c r="F35" s="48" t="s">
        <v>149</v>
      </c>
      <c r="G35" s="48" t="s">
        <v>131</v>
      </c>
      <c r="H35" s="48" t="s">
        <v>120</v>
      </c>
      <c r="I35" s="48" t="s">
        <v>156</v>
      </c>
      <c r="J35" s="48" t="s">
        <v>159</v>
      </c>
      <c r="K35" s="48" t="s">
        <v>136</v>
      </c>
      <c r="L35" s="48" t="s">
        <v>140</v>
      </c>
      <c r="M35" s="49" t="s">
        <v>125</v>
      </c>
      <c r="N35" s="49" t="s">
        <v>112</v>
      </c>
      <c r="O35" s="50" t="s">
        <v>145</v>
      </c>
      <c r="Q35" s="46" t="s">
        <v>301</v>
      </c>
      <c r="R35" s="47" t="s">
        <v>153</v>
      </c>
      <c r="S35" s="48" t="s">
        <v>98</v>
      </c>
      <c r="T35" s="48" t="s">
        <v>105</v>
      </c>
      <c r="U35" s="48" t="s">
        <v>149</v>
      </c>
      <c r="V35" s="48" t="s">
        <v>131</v>
      </c>
      <c r="W35" s="48" t="s">
        <v>120</v>
      </c>
      <c r="X35" s="48" t="s">
        <v>156</v>
      </c>
      <c r="Y35" s="48" t="s">
        <v>159</v>
      </c>
      <c r="Z35" s="48" t="s">
        <v>136</v>
      </c>
      <c r="AA35" s="48" t="s">
        <v>140</v>
      </c>
      <c r="AB35" s="49" t="s">
        <v>125</v>
      </c>
      <c r="AC35" s="49" t="s">
        <v>112</v>
      </c>
      <c r="AD35" s="50" t="s">
        <v>145</v>
      </c>
    </row>
    <row r="36" spans="2:30">
      <c r="B36" s="3" t="s">
        <v>106</v>
      </c>
      <c r="C36" s="51">
        <f>ROUND(Costs!C36/(1-$F$33),0)</f>
        <v>0</v>
      </c>
      <c r="D36" s="51">
        <f>ROUND(Costs!D36/(1-$F$33),0)</f>
        <v>0</v>
      </c>
      <c r="E36" s="51">
        <f>ROUND(Costs!E36/(1-$F$33),0)</f>
        <v>0</v>
      </c>
      <c r="F36" s="51">
        <f>ROUND(Costs!F36/(1-$F$33),0)</f>
        <v>0</v>
      </c>
      <c r="G36" s="51">
        <f>ROUND(Costs!G36/(1-$F$33),0)</f>
        <v>0</v>
      </c>
      <c r="H36" s="51">
        <f>ROUND(Costs!H36/(1-$F$33),0)</f>
        <v>0</v>
      </c>
      <c r="I36" s="51">
        <f>ROUND(Costs!I36/(1-$F$33),0)</f>
        <v>25</v>
      </c>
      <c r="J36" s="51">
        <f>ROUND(Costs!J36/(1-$F$33),0)</f>
        <v>0</v>
      </c>
      <c r="K36" s="51">
        <f>ROUND(Costs!K36/(1-$F$33),0)</f>
        <v>0</v>
      </c>
      <c r="L36" s="51">
        <f>ROUND(Costs!L36/(1-$F$33),0)</f>
        <v>0</v>
      </c>
      <c r="M36" s="51">
        <f>ROUND(Costs!M36/(1-$F$33),0)</f>
        <v>0</v>
      </c>
      <c r="N36" s="51">
        <f>ROUND(Costs!N36/(1-$F$33),0)</f>
        <v>0</v>
      </c>
      <c r="O36" s="51">
        <f>ROUND(Costs!O36/(1-$F$33),0)</f>
        <v>0</v>
      </c>
      <c r="Q36" s="3" t="s">
        <v>106</v>
      </c>
      <c r="R36" s="51">
        <f>ROUND(Costs!C36/(1-$U$33),0)</f>
        <v>0</v>
      </c>
      <c r="S36" s="51">
        <f>ROUND(Costs!D36/(1-$U$33),0)</f>
        <v>0</v>
      </c>
      <c r="T36" s="51">
        <f>ROUND(Costs!E36/(1-$U$33),0)</f>
        <v>0</v>
      </c>
      <c r="U36" s="51">
        <f>ROUND(Costs!F36/(1-$U$33),0)</f>
        <v>0</v>
      </c>
      <c r="V36" s="51">
        <f>ROUND(Costs!G36/(1-$U$33),0)</f>
        <v>0</v>
      </c>
      <c r="W36" s="51">
        <f>ROUND(Costs!H36/(1-$U$33),0)</f>
        <v>0</v>
      </c>
      <c r="X36" s="51">
        <f>ROUND(Costs!I36/(1-$U$33),0)</f>
        <v>30</v>
      </c>
      <c r="Y36" s="51">
        <f>ROUND(Costs!J36/(1-$U$33),0)</f>
        <v>0</v>
      </c>
      <c r="Z36" s="51">
        <f>ROUND(Costs!K36/(1-$U$33),0)</f>
        <v>0</v>
      </c>
      <c r="AA36" s="51">
        <f>ROUND(Costs!L36/(1-$U$33),0)</f>
        <v>0</v>
      </c>
      <c r="AB36" s="51">
        <f>ROUND(Costs!M36/(1-$U$33),0)</f>
        <v>0</v>
      </c>
      <c r="AC36" s="51">
        <f>ROUND(Costs!N36/(1-$U$33),0)</f>
        <v>0</v>
      </c>
      <c r="AD36" s="51">
        <f>ROUND(Costs!O36/(1-$U$33),0)</f>
        <v>0</v>
      </c>
    </row>
    <row r="37" spans="2:30">
      <c r="B37" s="5" t="s">
        <v>113</v>
      </c>
      <c r="C37" s="51">
        <f>ROUND(Costs!C37/(1-$F$33),0)</f>
        <v>0</v>
      </c>
      <c r="D37" s="51">
        <f>ROUND(Costs!D37/(1-$F$33),0)</f>
        <v>0</v>
      </c>
      <c r="E37" s="51">
        <f>ROUND(Costs!E37/(1-$F$33),0)</f>
        <v>0</v>
      </c>
      <c r="F37" s="51">
        <f>ROUND(Costs!F37/(1-$F$33),0)</f>
        <v>0</v>
      </c>
      <c r="G37" s="51">
        <f>ROUND(Costs!G37/(1-$F$33),0)</f>
        <v>0</v>
      </c>
      <c r="H37" s="51">
        <f>ROUND(Costs!H37/(1-$F$33),0)</f>
        <v>72</v>
      </c>
      <c r="I37" s="51">
        <f>ROUND(Costs!I37/(1-$F$33),0)</f>
        <v>34</v>
      </c>
      <c r="J37" s="51">
        <f>ROUND(Costs!J37/(1-$F$33),0)</f>
        <v>0</v>
      </c>
      <c r="K37" s="51">
        <f>ROUND(Costs!K37/(1-$F$33),0)</f>
        <v>0</v>
      </c>
      <c r="L37" s="51">
        <f>ROUND(Costs!L37/(1-$F$33),0)</f>
        <v>0</v>
      </c>
      <c r="M37" s="51">
        <f>ROUND(Costs!M37/(1-$F$33),0)</f>
        <v>0</v>
      </c>
      <c r="N37" s="51">
        <f>ROUND(Costs!N37/(1-$F$33),0)</f>
        <v>0</v>
      </c>
      <c r="O37" s="51">
        <f>ROUND(Costs!O37/(1-$F$33),0)</f>
        <v>0</v>
      </c>
      <c r="Q37" s="5" t="s">
        <v>113</v>
      </c>
      <c r="R37" s="51">
        <f>ROUND(Costs!C37/(1-$U$33),0)</f>
        <v>0</v>
      </c>
      <c r="S37" s="51">
        <f>ROUND(Costs!D37/(1-$U$33),0)</f>
        <v>0</v>
      </c>
      <c r="T37" s="51">
        <f>ROUND(Costs!E37/(1-$U$33),0)</f>
        <v>0</v>
      </c>
      <c r="U37" s="51">
        <f>ROUND(Costs!F37/(1-$U$33),0)</f>
        <v>0</v>
      </c>
      <c r="V37" s="51">
        <f>ROUND(Costs!G37/(1-$U$33),0)</f>
        <v>0</v>
      </c>
      <c r="W37" s="51">
        <f>ROUND(Costs!H37/(1-$U$33),0)</f>
        <v>86</v>
      </c>
      <c r="X37" s="51">
        <f>ROUND(Costs!I37/(1-$U$33),0)</f>
        <v>40</v>
      </c>
      <c r="Y37" s="51">
        <f>ROUND(Costs!J37/(1-$U$33),0)</f>
        <v>0</v>
      </c>
      <c r="Z37" s="51">
        <f>ROUND(Costs!K37/(1-$U$33),0)</f>
        <v>0</v>
      </c>
      <c r="AA37" s="51">
        <f>ROUND(Costs!L37/(1-$U$33),0)</f>
        <v>0</v>
      </c>
      <c r="AB37" s="51">
        <f>ROUND(Costs!M37/(1-$U$33),0)</f>
        <v>0</v>
      </c>
      <c r="AC37" s="51">
        <f>ROUND(Costs!N37/(1-$U$33),0)</f>
        <v>0</v>
      </c>
      <c r="AD37" s="51">
        <f>ROUND(Costs!O37/(1-$U$33),0)</f>
        <v>0</v>
      </c>
    </row>
    <row r="38" spans="2:30">
      <c r="B38" s="5" t="s">
        <v>91</v>
      </c>
      <c r="C38" s="51">
        <f>ROUND(Costs!C38/(1-$F$33),0)</f>
        <v>223</v>
      </c>
      <c r="D38" s="51">
        <f>ROUND(Costs!D38/(1-$F$33),0)</f>
        <v>0</v>
      </c>
      <c r="E38" s="51">
        <f>ROUND(Costs!E38/(1-$F$33),0)</f>
        <v>0</v>
      </c>
      <c r="F38" s="51">
        <f>ROUND(Costs!F38/(1-$F$33),0)</f>
        <v>0</v>
      </c>
      <c r="G38" s="51">
        <f>ROUND(Costs!G38/(1-$F$33),0)</f>
        <v>0</v>
      </c>
      <c r="H38" s="51">
        <f>ROUND(Costs!H38/(1-$F$33),0)</f>
        <v>84</v>
      </c>
      <c r="I38" s="51">
        <f>ROUND(Costs!I38/(1-$F$33),0)</f>
        <v>53</v>
      </c>
      <c r="J38" s="51">
        <f>ROUND(Costs!J38/(1-$F$33),0)</f>
        <v>0</v>
      </c>
      <c r="K38" s="51">
        <f>ROUND(Costs!K38/(1-$F$33),0)</f>
        <v>174</v>
      </c>
      <c r="L38" s="51">
        <f>ROUND(Costs!L38/(1-$F$33),0)</f>
        <v>174</v>
      </c>
      <c r="M38" s="51">
        <f>ROUND(Costs!M38/(1-$F$33),0)</f>
        <v>211</v>
      </c>
      <c r="N38" s="51">
        <f>ROUND(Costs!N38/(1-$F$33),0)</f>
        <v>0</v>
      </c>
      <c r="O38" s="51">
        <f>ROUND(Costs!O38/(1-$F$33),0)</f>
        <v>0</v>
      </c>
      <c r="Q38" s="5" t="s">
        <v>91</v>
      </c>
      <c r="R38" s="51">
        <f>ROUND(Costs!C38/(1-$U$33),0)</f>
        <v>268</v>
      </c>
      <c r="S38" s="51">
        <f>ROUND(Costs!D38/(1-$U$33),0)</f>
        <v>0</v>
      </c>
      <c r="T38" s="51">
        <f>ROUND(Costs!E38/(1-$U$33),0)</f>
        <v>0</v>
      </c>
      <c r="U38" s="51">
        <f>ROUND(Costs!F38/(1-$U$33),0)</f>
        <v>0</v>
      </c>
      <c r="V38" s="51">
        <f>ROUND(Costs!G38/(1-$U$33),0)</f>
        <v>0</v>
      </c>
      <c r="W38" s="51">
        <f>ROUND(Costs!H38/(1-$U$33),0)</f>
        <v>101</v>
      </c>
      <c r="X38" s="51">
        <f>ROUND(Costs!I38/(1-$U$33),0)</f>
        <v>64</v>
      </c>
      <c r="Y38" s="51">
        <f>ROUND(Costs!J38/(1-$U$33),0)</f>
        <v>0</v>
      </c>
      <c r="Z38" s="51">
        <f>ROUND(Costs!K38/(1-$U$33),0)</f>
        <v>209</v>
      </c>
      <c r="AA38" s="51">
        <f>ROUND(Costs!L38/(1-$U$33),0)</f>
        <v>209</v>
      </c>
      <c r="AB38" s="51">
        <f>ROUND(Costs!M38/(1-$U$33),0)</f>
        <v>253</v>
      </c>
      <c r="AC38" s="51">
        <f>ROUND(Costs!N38/(1-$U$33),0)</f>
        <v>0</v>
      </c>
      <c r="AD38" s="51">
        <f>ROUND(Costs!O38/(1-$U$33),0)</f>
        <v>0</v>
      </c>
    </row>
    <row r="39" spans="2:30">
      <c r="B39" s="5" t="s">
        <v>126</v>
      </c>
      <c r="C39" s="51">
        <f>ROUND(Costs!C39/(1-$F$33),0)</f>
        <v>280</v>
      </c>
      <c r="D39" s="51">
        <f>ROUND(Costs!D39/(1-$F$33),0)</f>
        <v>207</v>
      </c>
      <c r="E39" s="51">
        <f>ROUND(Costs!E39/(1-$F$33),0)</f>
        <v>214</v>
      </c>
      <c r="F39" s="51">
        <f>ROUND(Costs!F39/(1-$F$33),0)</f>
        <v>0</v>
      </c>
      <c r="G39" s="51">
        <f>ROUND(Costs!G39/(1-$F$33),0)</f>
        <v>238</v>
      </c>
      <c r="H39" s="51">
        <f>ROUND(Costs!H39/(1-$F$33),0)</f>
        <v>119</v>
      </c>
      <c r="I39" s="51">
        <f>ROUND(Costs!I39/(1-$F$33),0)</f>
        <v>0</v>
      </c>
      <c r="J39" s="51">
        <f>ROUND(Costs!J39/(1-$F$33),0)</f>
        <v>0</v>
      </c>
      <c r="K39" s="51">
        <f>ROUND(Costs!K39/(1-$F$33),0)</f>
        <v>0</v>
      </c>
      <c r="L39" s="51">
        <f>ROUND(Costs!L39/(1-$F$33),0)</f>
        <v>0</v>
      </c>
      <c r="M39" s="51">
        <f>ROUND(Costs!M39/(1-$F$33),0)</f>
        <v>270</v>
      </c>
      <c r="N39" s="51">
        <f>ROUND(Costs!N39/(1-$F$33),0)</f>
        <v>0</v>
      </c>
      <c r="O39" s="51">
        <f>ROUND(Costs!O39/(1-$F$33),0)</f>
        <v>0</v>
      </c>
      <c r="Q39" s="5" t="s">
        <v>126</v>
      </c>
      <c r="R39" s="51">
        <f>ROUND(Costs!C39/(1-$U$33),0)</f>
        <v>336</v>
      </c>
      <c r="S39" s="51">
        <f>ROUND(Costs!D39/(1-$U$33),0)</f>
        <v>248</v>
      </c>
      <c r="T39" s="51">
        <f>ROUND(Costs!E39/(1-$U$33),0)</f>
        <v>257</v>
      </c>
      <c r="U39" s="51">
        <f>ROUND(Costs!F39/(1-$U$33),0)</f>
        <v>0</v>
      </c>
      <c r="V39" s="51">
        <f>ROUND(Costs!G39/(1-$U$33),0)</f>
        <v>286</v>
      </c>
      <c r="W39" s="51">
        <f>ROUND(Costs!H39/(1-$U$33),0)</f>
        <v>143</v>
      </c>
      <c r="X39" s="51">
        <f>ROUND(Costs!I39/(1-$U$33),0)</f>
        <v>0</v>
      </c>
      <c r="Y39" s="51">
        <f>ROUND(Costs!J39/(1-$U$33),0)</f>
        <v>0</v>
      </c>
      <c r="Z39" s="51">
        <f>ROUND(Costs!K39/(1-$U$33),0)</f>
        <v>0</v>
      </c>
      <c r="AA39" s="51">
        <f>ROUND(Costs!L39/(1-$U$33),0)</f>
        <v>0</v>
      </c>
      <c r="AB39" s="51">
        <f>ROUND(Costs!M39/(1-$U$33),0)</f>
        <v>323</v>
      </c>
      <c r="AC39" s="51">
        <f>ROUND(Costs!N39/(1-$U$33),0)</f>
        <v>0</v>
      </c>
      <c r="AD39" s="51">
        <f>ROUND(Costs!O39/(1-$U$33),0)</f>
        <v>0</v>
      </c>
    </row>
    <row r="40" spans="2:30">
      <c r="B40" s="5" t="s">
        <v>302</v>
      </c>
      <c r="C40" s="51">
        <f>ROUND(Costs!C40/(1-$F$33),0)</f>
        <v>322</v>
      </c>
      <c r="D40" s="51">
        <f>ROUND(Costs!D40/(1-$F$33),0)</f>
        <v>0</v>
      </c>
      <c r="E40" s="51">
        <f>ROUND(Costs!E40/(1-$F$33),0)</f>
        <v>0</v>
      </c>
      <c r="F40" s="51">
        <f>ROUND(Costs!F40/(1-$F$33),0)</f>
        <v>0</v>
      </c>
      <c r="G40" s="51">
        <f>ROUND(Costs!G40/(1-$F$33),0)</f>
        <v>261</v>
      </c>
      <c r="H40" s="51">
        <f>ROUND(Costs!H40/(1-$F$33),0)</f>
        <v>0</v>
      </c>
      <c r="I40" s="51">
        <f>ROUND(Costs!I40/(1-$F$33),0)</f>
        <v>0</v>
      </c>
      <c r="J40" s="51">
        <f>ROUND(Costs!J40/(1-$F$33),0)</f>
        <v>0</v>
      </c>
      <c r="K40" s="51">
        <f>ROUND(Costs!K40/(1-$F$33),0)</f>
        <v>0</v>
      </c>
      <c r="L40" s="51">
        <f>ROUND(Costs!L40/(1-$F$33),0)</f>
        <v>0</v>
      </c>
      <c r="M40" s="51">
        <f>ROUND(Costs!M40/(1-$F$33),0)</f>
        <v>0</v>
      </c>
      <c r="N40" s="51">
        <f>ROUND(Costs!N40/(1-$F$33),0)</f>
        <v>0</v>
      </c>
      <c r="O40" s="51">
        <f>ROUND(Costs!O40/(1-$F$33),0)</f>
        <v>0</v>
      </c>
      <c r="Q40" s="5" t="s">
        <v>302</v>
      </c>
      <c r="R40" s="51">
        <f>ROUND(Costs!C40/(1-$U$33),0)</f>
        <v>387</v>
      </c>
      <c r="S40" s="51">
        <f>ROUND(Costs!D40/(1-$U$33),0)</f>
        <v>0</v>
      </c>
      <c r="T40" s="51">
        <f>ROUND(Costs!E40/(1-$U$33),0)</f>
        <v>0</v>
      </c>
      <c r="U40" s="51">
        <f>ROUND(Costs!F40/(1-$U$33),0)</f>
        <v>0</v>
      </c>
      <c r="V40" s="51">
        <f>ROUND(Costs!G40/(1-$U$33),0)</f>
        <v>313</v>
      </c>
      <c r="W40" s="51">
        <f>ROUND(Costs!H40/(1-$U$33),0)</f>
        <v>0</v>
      </c>
      <c r="X40" s="51">
        <f>ROUND(Costs!I40/(1-$U$33),0)</f>
        <v>0</v>
      </c>
      <c r="Y40" s="51">
        <f>ROUND(Costs!J40/(1-$U$33),0)</f>
        <v>0</v>
      </c>
      <c r="Z40" s="51">
        <f>ROUND(Costs!K40/(1-$U$33),0)</f>
        <v>0</v>
      </c>
      <c r="AA40" s="51">
        <f>ROUND(Costs!L40/(1-$U$33),0)</f>
        <v>0</v>
      </c>
      <c r="AB40" s="51">
        <f>ROUND(Costs!M40/(1-$U$33),0)</f>
        <v>0</v>
      </c>
      <c r="AC40" s="51">
        <f>ROUND(Costs!N40/(1-$U$33),0)</f>
        <v>0</v>
      </c>
      <c r="AD40" s="51">
        <f>ROUND(Costs!O40/(1-$U$33),0)</f>
        <v>0</v>
      </c>
    </row>
    <row r="41" spans="2:30">
      <c r="B41" s="5" t="s">
        <v>137</v>
      </c>
      <c r="C41" s="51">
        <f>ROUND(Costs!C41/(1-$F$33),0)</f>
        <v>0</v>
      </c>
      <c r="D41" s="51">
        <f>ROUND(Costs!D41/(1-$F$33),0)</f>
        <v>0</v>
      </c>
      <c r="E41" s="51">
        <f>ROUND(Costs!E41/(1-$F$33),0)</f>
        <v>0</v>
      </c>
      <c r="F41" s="51">
        <f>ROUND(Costs!F41/(1-$F$33),0)</f>
        <v>0</v>
      </c>
      <c r="G41" s="51">
        <f>ROUND(Costs!G41/(1-$F$33),0)</f>
        <v>0</v>
      </c>
      <c r="H41" s="51">
        <f>ROUND(Costs!H41/(1-$F$33),0)</f>
        <v>0</v>
      </c>
      <c r="I41" s="51">
        <f>ROUND(Costs!I41/(1-$F$33),0)</f>
        <v>0</v>
      </c>
      <c r="J41" s="51">
        <f>ROUND(Costs!J41/(1-$F$33),0)</f>
        <v>0</v>
      </c>
      <c r="K41" s="51">
        <f>ROUND(Costs!K41/(1-$F$33),0)</f>
        <v>0</v>
      </c>
      <c r="L41" s="51">
        <f>ROUND(Costs!L41/(1-$F$33),0)</f>
        <v>0</v>
      </c>
      <c r="M41" s="51">
        <f>ROUND(Costs!M41/(1-$F$33),0)</f>
        <v>0</v>
      </c>
      <c r="N41" s="51">
        <f>ROUND(Costs!N41/(1-$F$33),0)</f>
        <v>0</v>
      </c>
      <c r="O41" s="51">
        <f>ROUND(Costs!O41/(1-$F$33),0)</f>
        <v>0</v>
      </c>
      <c r="Q41" s="5" t="s">
        <v>137</v>
      </c>
      <c r="R41" s="51">
        <f>ROUND(Costs!C41/(1-$U$33),0)</f>
        <v>0</v>
      </c>
      <c r="S41" s="51">
        <f>ROUND(Costs!D41/(1-$U$33),0)</f>
        <v>0</v>
      </c>
      <c r="T41" s="51">
        <f>ROUND(Costs!E41/(1-$U$33),0)</f>
        <v>0</v>
      </c>
      <c r="U41" s="51">
        <f>ROUND(Costs!F41/(1-$U$33),0)</f>
        <v>0</v>
      </c>
      <c r="V41" s="51">
        <f>ROUND(Costs!G41/(1-$U$33),0)</f>
        <v>0</v>
      </c>
      <c r="W41" s="51">
        <f>ROUND(Costs!H41/(1-$U$33),0)</f>
        <v>0</v>
      </c>
      <c r="X41" s="51">
        <f>ROUND(Costs!I41/(1-$U$33),0)</f>
        <v>0</v>
      </c>
      <c r="Y41" s="51">
        <f>ROUND(Costs!J41/(1-$U$33),0)</f>
        <v>0</v>
      </c>
      <c r="Z41" s="51">
        <f>ROUND(Costs!K41/(1-$U$33),0)</f>
        <v>0</v>
      </c>
      <c r="AA41" s="51">
        <f>ROUND(Costs!L41/(1-$U$33),0)</f>
        <v>0</v>
      </c>
      <c r="AB41" s="51">
        <f>ROUND(Costs!M41/(1-$U$33),0)</f>
        <v>0</v>
      </c>
      <c r="AC41" s="51">
        <f>ROUND(Costs!N41/(1-$U$33),0)</f>
        <v>0</v>
      </c>
      <c r="AD41" s="51">
        <f>ROUND(Costs!O41/(1-$U$33),0)</f>
        <v>0</v>
      </c>
    </row>
    <row r="42" spans="2:30">
      <c r="B42" s="5" t="s">
        <v>141</v>
      </c>
      <c r="C42" s="51">
        <f>ROUND(Costs!C42/(1-$F$33),0)</f>
        <v>0</v>
      </c>
      <c r="D42" s="51">
        <f>ROUND(Costs!D42/(1-$F$33),0)</f>
        <v>168</v>
      </c>
      <c r="E42" s="51">
        <f>ROUND(Costs!E42/(1-$F$33),0)</f>
        <v>0</v>
      </c>
      <c r="F42" s="51">
        <f>ROUND(Costs!F42/(1-$F$33),0)</f>
        <v>0</v>
      </c>
      <c r="G42" s="51">
        <f>ROUND(Costs!G42/(1-$F$33),0)</f>
        <v>0</v>
      </c>
      <c r="H42" s="51">
        <f>ROUND(Costs!H42/(1-$F$33),0)</f>
        <v>0</v>
      </c>
      <c r="I42" s="51">
        <f>ROUND(Costs!I42/(1-$F$33),0)</f>
        <v>65</v>
      </c>
      <c r="J42" s="51">
        <f>ROUND(Costs!J42/(1-$F$33),0)</f>
        <v>0</v>
      </c>
      <c r="K42" s="51">
        <f>ROUND(Costs!K42/(1-$F$33),0)</f>
        <v>0</v>
      </c>
      <c r="L42" s="51">
        <f>ROUND(Costs!L42/(1-$F$33),0)</f>
        <v>0</v>
      </c>
      <c r="M42" s="51">
        <f>ROUND(Costs!M42/(1-$F$33),0)</f>
        <v>0</v>
      </c>
      <c r="N42" s="51">
        <f>ROUND(Costs!N42/(1-$F$33),0)</f>
        <v>0</v>
      </c>
      <c r="O42" s="51">
        <f>ROUND(Costs!O42/(1-$F$33),0)</f>
        <v>0</v>
      </c>
      <c r="Q42" s="5" t="s">
        <v>141</v>
      </c>
      <c r="R42" s="51">
        <f>ROUND(Costs!C42/(1-$U$33),0)</f>
        <v>0</v>
      </c>
      <c r="S42" s="51">
        <f>ROUND(Costs!D42/(1-$U$33),0)</f>
        <v>202</v>
      </c>
      <c r="T42" s="51">
        <f>ROUND(Costs!E42/(1-$U$33),0)</f>
        <v>0</v>
      </c>
      <c r="U42" s="51">
        <f>ROUND(Costs!F42/(1-$U$33),0)</f>
        <v>0</v>
      </c>
      <c r="V42" s="51">
        <f>ROUND(Costs!G42/(1-$U$33),0)</f>
        <v>0</v>
      </c>
      <c r="W42" s="51">
        <f>ROUND(Costs!H42/(1-$U$33),0)</f>
        <v>0</v>
      </c>
      <c r="X42" s="51">
        <f>ROUND(Costs!I42/(1-$U$33),0)</f>
        <v>78</v>
      </c>
      <c r="Y42" s="51">
        <f>ROUND(Costs!J42/(1-$U$33),0)</f>
        <v>0</v>
      </c>
      <c r="Z42" s="51">
        <f>ROUND(Costs!K42/(1-$U$33),0)</f>
        <v>0</v>
      </c>
      <c r="AA42" s="51">
        <f>ROUND(Costs!L42/(1-$U$33),0)</f>
        <v>0</v>
      </c>
      <c r="AB42" s="51">
        <f>ROUND(Costs!M42/(1-$U$33),0)</f>
        <v>0</v>
      </c>
      <c r="AC42" s="51">
        <f>ROUND(Costs!N42/(1-$U$33),0)</f>
        <v>0</v>
      </c>
      <c r="AD42" s="51">
        <f>ROUND(Costs!O42/(1-$U$33),0)</f>
        <v>0</v>
      </c>
    </row>
    <row r="43" spans="2:30">
      <c r="B43" s="5" t="s">
        <v>238</v>
      </c>
      <c r="C43" s="51">
        <f>ROUND(Costs!C43/(1-$F$33),0)</f>
        <v>636</v>
      </c>
      <c r="D43" s="51">
        <f>ROUND(Costs!D43/(1-$F$33),0)</f>
        <v>462</v>
      </c>
      <c r="E43" s="51">
        <f>ROUND(Costs!E43/(1-$F$33),0)</f>
        <v>0</v>
      </c>
      <c r="F43" s="51">
        <f>ROUND(Costs!F43/(1-$F$33),0)</f>
        <v>0</v>
      </c>
      <c r="G43" s="51">
        <f>ROUND(Costs!G43/(1-$F$33),0)</f>
        <v>0</v>
      </c>
      <c r="H43" s="51">
        <f>ROUND(Costs!H43/(1-$F$33),0)</f>
        <v>0</v>
      </c>
      <c r="I43" s="51">
        <f>ROUND(Costs!I43/(1-$F$33),0)</f>
        <v>0</v>
      </c>
      <c r="J43" s="51">
        <f>ROUND(Costs!J43/(1-$F$33),0)</f>
        <v>0</v>
      </c>
      <c r="K43" s="51">
        <f>ROUND(Costs!K43/(1-$F$33),0)</f>
        <v>0</v>
      </c>
      <c r="L43" s="51">
        <f>ROUND(Costs!L43/(1-$F$33),0)</f>
        <v>0</v>
      </c>
      <c r="M43" s="51">
        <f>ROUND(Costs!M43/(1-$F$33),0)</f>
        <v>0</v>
      </c>
      <c r="N43" s="51">
        <f>ROUND(Costs!N43/(1-$F$33),0)</f>
        <v>0</v>
      </c>
      <c r="O43" s="51">
        <f>ROUND(Costs!O43/(1-$F$33),0)</f>
        <v>0</v>
      </c>
      <c r="Q43" s="5" t="s">
        <v>238</v>
      </c>
      <c r="R43" s="51">
        <f>ROUND(Costs!C43/(1-$U$33),0)</f>
        <v>763</v>
      </c>
      <c r="S43" s="51">
        <f>ROUND(Costs!D43/(1-$U$33),0)</f>
        <v>555</v>
      </c>
      <c r="T43" s="51">
        <f>ROUND(Costs!E43/(1-$U$33),0)</f>
        <v>0</v>
      </c>
      <c r="U43" s="51">
        <f>ROUND(Costs!F43/(1-$U$33),0)</f>
        <v>0</v>
      </c>
      <c r="V43" s="51">
        <f>ROUND(Costs!G43/(1-$U$33),0)</f>
        <v>0</v>
      </c>
      <c r="W43" s="51">
        <f>ROUND(Costs!H43/(1-$U$33),0)</f>
        <v>0</v>
      </c>
      <c r="X43" s="51">
        <f>ROUND(Costs!I43/(1-$U$33),0)</f>
        <v>0</v>
      </c>
      <c r="Y43" s="51">
        <f>ROUND(Costs!J43/(1-$U$33),0)</f>
        <v>0</v>
      </c>
      <c r="Z43" s="51">
        <f>ROUND(Costs!K43/(1-$U$33),0)</f>
        <v>0</v>
      </c>
      <c r="AA43" s="51">
        <f>ROUND(Costs!L43/(1-$U$33),0)</f>
        <v>0</v>
      </c>
      <c r="AB43" s="51">
        <f>ROUND(Costs!M43/(1-$U$33),0)</f>
        <v>0</v>
      </c>
      <c r="AC43" s="51">
        <f>ROUND(Costs!N43/(1-$U$33),0)</f>
        <v>0</v>
      </c>
      <c r="AD43" s="51">
        <f>ROUND(Costs!O43/(1-$U$33),0)</f>
        <v>0</v>
      </c>
    </row>
    <row r="44" spans="2:30" ht="15.75" thickBot="1">
      <c r="B44" s="6" t="s">
        <v>99</v>
      </c>
      <c r="C44" s="51">
        <f>ROUND(Costs!C44/(1-$F$33),0)</f>
        <v>0</v>
      </c>
      <c r="D44" s="51">
        <f>ROUND(Costs!D44/(1-$F$33),0)</f>
        <v>0</v>
      </c>
      <c r="E44" s="51">
        <f>ROUND(Costs!E44/(1-$F$33),0)</f>
        <v>0</v>
      </c>
      <c r="F44" s="51">
        <f>ROUND(Costs!F44/(1-$F$33),0)</f>
        <v>0</v>
      </c>
      <c r="G44" s="51">
        <f>ROUND(Costs!G44/(1-$F$33),0)</f>
        <v>0</v>
      </c>
      <c r="H44" s="51">
        <f>ROUND(Costs!H44/(1-$F$33),0)</f>
        <v>0</v>
      </c>
      <c r="I44" s="51">
        <f>ROUND(Costs!I44/(1-$F$33),0)</f>
        <v>0</v>
      </c>
      <c r="J44" s="51">
        <f>ROUND(Costs!J44/(1-$F$33),0)</f>
        <v>0</v>
      </c>
      <c r="K44" s="51">
        <f>ROUND(Costs!K44/(1-$F$33),0)</f>
        <v>0</v>
      </c>
      <c r="L44" s="51">
        <f>ROUND(Costs!L44/(1-$F$33),0)</f>
        <v>0</v>
      </c>
      <c r="M44" s="51">
        <f>ROUND(Costs!M44/(1-$F$33),0)</f>
        <v>0</v>
      </c>
      <c r="N44" s="51">
        <f>ROUND(Costs!N44/(1-$F$33),0)</f>
        <v>0</v>
      </c>
      <c r="O44" s="51">
        <f>ROUND(Costs!O44/(1-$F$33),0)</f>
        <v>0</v>
      </c>
      <c r="Q44" s="6" t="s">
        <v>99</v>
      </c>
      <c r="R44" s="51">
        <f>ROUND(Costs!C44/(1-$U$33),0)</f>
        <v>0</v>
      </c>
      <c r="S44" s="51">
        <f>ROUND(Costs!D44/(1-$U$33),0)</f>
        <v>0</v>
      </c>
      <c r="T44" s="51">
        <f>ROUND(Costs!E44/(1-$U$33),0)</f>
        <v>0</v>
      </c>
      <c r="U44" s="51">
        <f>ROUND(Costs!F44/(1-$U$33),0)</f>
        <v>0</v>
      </c>
      <c r="V44" s="51">
        <f>ROUND(Costs!G44/(1-$U$33),0)</f>
        <v>0</v>
      </c>
      <c r="W44" s="51">
        <f>ROUND(Costs!H44/(1-$U$33),0)</f>
        <v>0</v>
      </c>
      <c r="X44" s="51">
        <f>ROUND(Costs!I44/(1-$U$33),0)</f>
        <v>0</v>
      </c>
      <c r="Y44" s="51">
        <f>ROUND(Costs!J44/(1-$U$33),0)</f>
        <v>0</v>
      </c>
      <c r="Z44" s="51">
        <f>ROUND(Costs!K44/(1-$U$33),0)</f>
        <v>0</v>
      </c>
      <c r="AA44" s="51">
        <f>ROUND(Costs!L44/(1-$U$33),0)</f>
        <v>0</v>
      </c>
      <c r="AB44" s="51">
        <f>ROUND(Costs!M44/(1-$U$33),0)</f>
        <v>0</v>
      </c>
      <c r="AC44" s="51">
        <f>ROUND(Costs!N44/(1-$U$33),0)</f>
        <v>0</v>
      </c>
      <c r="AD44" s="51">
        <f>ROUND(Costs!O44/(1-$U$33),0)</f>
        <v>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93CC-89E8-4B70-8EA7-309330A51241}">
  <sheetPr codeName="Sheet1"/>
  <dimension ref="B1:AK73"/>
  <sheetViews>
    <sheetView showGridLines="0" tabSelected="1" topLeftCell="A7" zoomScale="70" zoomScaleNormal="70" workbookViewId="0">
      <selection activeCell="E21" sqref="E21:S29"/>
    </sheetView>
  </sheetViews>
  <sheetFormatPr defaultColWidth="8.85546875" defaultRowHeight="15"/>
  <cols>
    <col min="1" max="1" width="1.85546875" customWidth="1"/>
    <col min="2" max="2" width="11.42578125" hidden="1" customWidth="1"/>
    <col min="3" max="3" width="4.85546875" hidden="1" customWidth="1"/>
    <col min="4" max="4" width="6" customWidth="1"/>
    <col min="5" max="5" width="31" customWidth="1"/>
    <col min="6" max="6" width="24.42578125" customWidth="1"/>
    <col min="7" max="7" width="20" customWidth="1"/>
    <col min="8" max="8" width="24.85546875" customWidth="1"/>
    <col min="9" max="9" width="15.85546875" customWidth="1"/>
    <col min="10" max="10" width="32" customWidth="1"/>
    <col min="11" max="11" width="25.42578125" customWidth="1"/>
    <col min="12" max="13" width="17.42578125" customWidth="1"/>
    <col min="14" max="14" width="12.140625" customWidth="1"/>
    <col min="15" max="15" width="27.42578125" customWidth="1"/>
    <col min="16" max="16" width="25.42578125" hidden="1" customWidth="1"/>
    <col min="17" max="17" width="25.85546875" customWidth="1"/>
    <col min="18" max="18" width="19.85546875" customWidth="1"/>
    <col min="19" max="19" width="11.42578125" customWidth="1"/>
    <col min="21" max="21" width="77.42578125" bestFit="1" customWidth="1"/>
    <col min="22" max="22" width="25.42578125" customWidth="1"/>
    <col min="23" max="23" width="20.42578125" customWidth="1"/>
    <col min="28" max="29" width="12.42578125" customWidth="1"/>
  </cols>
  <sheetData>
    <row r="1" spans="5:37">
      <c r="E1" s="508" t="s">
        <v>303</v>
      </c>
      <c r="F1" s="510">
        <v>0</v>
      </c>
      <c r="G1" s="63"/>
      <c r="Q1" s="141" t="s">
        <v>304</v>
      </c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</row>
    <row r="2" spans="5:37" ht="31.5" thickBot="1">
      <c r="E2" s="509"/>
      <c r="F2" s="130" t="s">
        <v>305</v>
      </c>
      <c r="G2" s="63"/>
      <c r="J2" s="339" t="str">
        <f>IF(expiry_code=1,"The rate card has expired. Please download the latest version from Solution hub","")</f>
        <v/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</row>
    <row r="3" spans="5:37" ht="31.35" customHeight="1" thickBot="1">
      <c r="E3" s="343" t="s">
        <v>306</v>
      </c>
      <c r="F3" s="90" t="s">
        <v>307</v>
      </c>
      <c r="H3" s="339" t="str">
        <f>IF(expiry_code=1,"The rate card has expired. Please download the latest version from Solution hub","")</f>
        <v/>
      </c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</row>
    <row r="4" spans="5:37" ht="38.1" customHeight="1" thickBot="1">
      <c r="E4" s="343" t="s">
        <v>308</v>
      </c>
      <c r="F4" s="91" t="s">
        <v>105</v>
      </c>
      <c r="H4" s="299" t="str">
        <f>IF(F5="Yes"," Enter details in table below (click here)","")</f>
        <v/>
      </c>
      <c r="I4" s="357"/>
      <c r="L4" s="14"/>
      <c r="M4" s="14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</row>
    <row r="5" spans="5:37" ht="42.6" customHeight="1" thickBot="1">
      <c r="E5" s="343" t="s">
        <v>309</v>
      </c>
      <c r="F5" s="90" t="s">
        <v>310</v>
      </c>
      <c r="G5" s="15"/>
      <c r="H5" s="129" t="s">
        <v>311</v>
      </c>
      <c r="I5" s="222" cm="1">
        <f t="array" ref="I5">SUMPRODUCT(tb_supplier[Cost (per unit/ per hr/per day rate) to Rackspace],tb_supplier[Qty (In same as cost units)],(1+tb_supplier[Add contingency]))</f>
        <v>3500</v>
      </c>
      <c r="N5" s="13"/>
      <c r="O5" s="12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</row>
    <row r="6" spans="5:37" ht="30" customHeight="1" thickBot="1">
      <c r="E6" s="33" t="s">
        <v>312</v>
      </c>
      <c r="F6" s="92" t="s">
        <v>108</v>
      </c>
      <c r="H6" s="129" t="s">
        <v>313</v>
      </c>
      <c r="I6" s="220">
        <f>IFERROR(1-I5/I7,"")</f>
        <v>0.35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</row>
    <row r="7" spans="5:37" ht="29.1" customHeight="1" thickBot="1">
      <c r="E7" s="343" t="s">
        <v>314</v>
      </c>
      <c r="F7" s="93" t="s">
        <v>315</v>
      </c>
      <c r="H7" s="129" t="s">
        <v>316</v>
      </c>
      <c r="I7" s="221">
        <f>SUM(tb_supplier[Extended Price])</f>
        <v>5384.6153846153848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</row>
    <row r="8" spans="5:37" ht="32.450000000000003" customHeight="1" thickBot="1">
      <c r="E8" s="513" t="s">
        <v>317</v>
      </c>
      <c r="F8" s="512" t="s">
        <v>310</v>
      </c>
      <c r="H8" s="119" t="s">
        <v>318</v>
      </c>
      <c r="I8" s="378">
        <f ca="1">IFERROR(1-(F14*75%/85%*(1+Contingency)  +SUM(F10:F11)*(1+Contingency)+F17+IF(F5="Yes",I5,0) ) /I11,"")</f>
        <v>0.11766300780001082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</row>
    <row r="9" spans="5:37" ht="24.6" customHeight="1" thickBot="1">
      <c r="E9" s="344" t="s">
        <v>319</v>
      </c>
      <c r="F9" s="90" t="s">
        <v>320</v>
      </c>
      <c r="G9" s="15"/>
      <c r="H9" s="131" t="s">
        <v>321</v>
      </c>
      <c r="I9" s="253">
        <v>0.54389289993510648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</row>
    <row r="10" spans="5:37" s="16" customFormat="1" ht="24.6" customHeight="1" thickBot="1">
      <c r="E10" s="95"/>
      <c r="F10" s="94"/>
      <c r="H10" s="65" t="s">
        <v>171</v>
      </c>
      <c r="I10" s="17"/>
      <c r="J10" s="18"/>
      <c r="K10" s="19"/>
      <c r="L10"/>
      <c r="M10"/>
      <c r="N10"/>
      <c r="Q10" s="251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</row>
    <row r="11" spans="5:37" ht="37.35" customHeight="1" thickBot="1">
      <c r="E11" s="343" t="s">
        <v>322</v>
      </c>
      <c r="F11" s="94"/>
      <c r="H11" s="20" t="s">
        <v>323</v>
      </c>
      <c r="I11" s="254">
        <f ca="1">IFERROR((SUM(tb_resource[Extended Price],F10)+IF(F5="Yes",I7,0))*(1-I9),"")</f>
        <v>99691.784968283842</v>
      </c>
      <c r="J11" s="132" t="s">
        <v>324</v>
      </c>
      <c r="K11" s="25"/>
      <c r="L11" s="16"/>
      <c r="M11" s="16"/>
      <c r="N11" s="16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</row>
    <row r="12" spans="5:37">
      <c r="E12" s="357"/>
      <c r="F12" s="357"/>
      <c r="H12" s="64" t="str">
        <f>"Total " &amp; F7</f>
        <v>Total Days</v>
      </c>
      <c r="I12" s="376">
        <f ca="1">IFERROR(SUMIFS(Calculator!$H$23:$H$43,Calculator!$B$23:$B$43,"&gt;"&amp;0),"")</f>
        <v>160</v>
      </c>
      <c r="J12" s="134" t="str">
        <f>F7</f>
        <v>Days</v>
      </c>
      <c r="K12" s="26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</row>
    <row r="13" spans="5:37">
      <c r="E13" s="357"/>
      <c r="F13" s="357"/>
      <c r="H13" s="21" t="s">
        <v>325</v>
      </c>
      <c r="I13" s="377">
        <f ca="1">IFERROR(1-F18/I11,"")</f>
        <v>1.8075506678760789E-5</v>
      </c>
      <c r="J13" s="133" t="str">
        <f ca="1">IF(I13&lt;40%, "Approval Needed!","")</f>
        <v>Approval Needed!</v>
      </c>
      <c r="K13" s="26"/>
      <c r="L13" s="63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</row>
    <row r="14" spans="5:37">
      <c r="E14" s="383" t="s">
        <v>326</v>
      </c>
      <c r="F14" s="379">
        <f ca="1">SUMPRODUCT($B$23:$B$43,$H$23:$H$43)</f>
        <v>94942.840941675066</v>
      </c>
      <c r="H14" s="137" t="s">
        <v>327</v>
      </c>
      <c r="I14" s="135"/>
      <c r="J14" s="134"/>
      <c r="K14" s="26"/>
      <c r="L14" s="63"/>
      <c r="M14" s="63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</row>
    <row r="15" spans="5:37" ht="15.75" thickBot="1">
      <c r="E15" s="383"/>
      <c r="F15" s="380"/>
      <c r="H15" s="136" t="s">
        <v>328</v>
      </c>
      <c r="I15" s="22"/>
      <c r="J15" s="23"/>
      <c r="K15" s="24"/>
      <c r="L15" s="63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</row>
    <row r="16" spans="5:37">
      <c r="E16" s="383" t="s">
        <v>329</v>
      </c>
      <c r="F16" s="380">
        <f>IF(F5="Yes",SUMPRODUCT(tb_supplier[Cost (per unit/ per hr/per day rate) to Rackspace],tb_supplier[Qty (In same as cost units)]),0)</f>
        <v>0</v>
      </c>
      <c r="L16" s="63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</row>
    <row r="17" spans="2:37">
      <c r="E17" s="383" t="s">
        <v>330</v>
      </c>
      <c r="F17" s="380">
        <f ca="1">I11*IF($F$9="Master",10%,IF($F$9="Sub-agent",5%,0))</f>
        <v>0</v>
      </c>
      <c r="H17" s="238" t="s">
        <v>50</v>
      </c>
      <c r="I17" s="239">
        <f>IF(F3="T&amp;M",I19,I18)</f>
        <v>0.05</v>
      </c>
      <c r="J17" s="236"/>
      <c r="K17" s="335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</row>
    <row r="18" spans="2:37">
      <c r="E18" s="384" t="s">
        <v>331</v>
      </c>
      <c r="F18" s="381">
        <f ca="1">SUM(F10:F11,F14)*(1+Contingency) + SUM(IF(F5="Yes",I5,0),F17)</f>
        <v>99689.982988758828</v>
      </c>
      <c r="H18" s="533" t="s">
        <v>332</v>
      </c>
      <c r="I18" s="538">
        <v>0.05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</row>
    <row r="19" spans="2:37">
      <c r="E19" s="383" t="s">
        <v>50</v>
      </c>
      <c r="F19" s="382">
        <f ca="1">IF(F8="Yes",F14*75%/85%,F14)*Contingency+SUM(F10:F11,F15)*(Contingency)+SUMPRODUCT(tb_supplier[Cost (per unit/ per hr/per day rate) to Rackspace],tb_supplier[Qty (In same as cost units)],tb_supplier[Add contingency])*IF(F5="Yes",1,0)</f>
        <v>4747.1420470837538</v>
      </c>
      <c r="H19" s="340" t="s">
        <v>333</v>
      </c>
      <c r="I19" s="341">
        <v>0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</row>
    <row r="20" spans="2:37"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</row>
    <row r="21" spans="2:37" ht="36.6" customHeight="1" thickBot="1">
      <c r="B21" s="100" t="s">
        <v>334</v>
      </c>
      <c r="C21" s="100" t="s">
        <v>335</v>
      </c>
      <c r="D21" s="101" t="s">
        <v>336</v>
      </c>
      <c r="E21" s="101" t="s">
        <v>86</v>
      </c>
      <c r="F21" s="100" t="s">
        <v>87</v>
      </c>
      <c r="G21" s="101" t="s">
        <v>82</v>
      </c>
      <c r="H21" s="118" t="str">
        <f>F7</f>
        <v>Days</v>
      </c>
      <c r="I21" s="100" t="str">
        <f>"Price/"&amp; IF(F7="Hours","hr","day")</f>
        <v>Price/day</v>
      </c>
      <c r="J21" s="100" t="s">
        <v>337</v>
      </c>
      <c r="K21" s="100" t="s">
        <v>338</v>
      </c>
      <c r="L21" s="100" t="s">
        <v>339</v>
      </c>
      <c r="M21" s="100" t="str">
        <f>"Cost/"&amp; IF(F7="Hours","hr","day")</f>
        <v>Cost/day</v>
      </c>
      <c r="N21" s="100" t="s">
        <v>340</v>
      </c>
      <c r="O21" s="555" t="str">
        <f>"Discounted Price/"&amp; IF(F7="Hours","hr","day") &amp; " after strategic discount"</f>
        <v>Discounted Price/day after strategic discount</v>
      </c>
      <c r="P21" s="100" t="s">
        <v>341</v>
      </c>
      <c r="Q21" s="100" t="s">
        <v>342</v>
      </c>
      <c r="R21" s="100" t="s">
        <v>343</v>
      </c>
      <c r="S21" s="102" t="s">
        <v>344</v>
      </c>
      <c r="T21" s="165" t="s">
        <v>345</v>
      </c>
      <c r="U21" s="100" t="s">
        <v>346</v>
      </c>
      <c r="V21" s="356" t="s">
        <v>347</v>
      </c>
    </row>
    <row r="22" spans="2:37" ht="28.35" hidden="1" customHeight="1" thickBot="1">
      <c r="B22" s="161" t="s">
        <v>334</v>
      </c>
      <c r="C22" s="162" t="s">
        <v>335</v>
      </c>
      <c r="D22" s="163" t="s">
        <v>336</v>
      </c>
      <c r="E22" s="163" t="s">
        <v>86</v>
      </c>
      <c r="F22" s="162" t="s">
        <v>87</v>
      </c>
      <c r="G22" s="163" t="s">
        <v>82</v>
      </c>
      <c r="H22" s="164" t="s">
        <v>348</v>
      </c>
      <c r="I22" s="162" t="s">
        <v>349</v>
      </c>
      <c r="J22" s="162" t="s">
        <v>350</v>
      </c>
      <c r="K22" s="162" t="s">
        <v>351</v>
      </c>
      <c r="L22" s="162" t="s">
        <v>339</v>
      </c>
      <c r="M22" s="162" t="s">
        <v>352</v>
      </c>
      <c r="N22" s="162" t="s">
        <v>340</v>
      </c>
      <c r="O22" s="349" t="s">
        <v>301</v>
      </c>
      <c r="P22" s="162" t="s">
        <v>341</v>
      </c>
      <c r="Q22" s="162" t="s">
        <v>353</v>
      </c>
      <c r="R22" s="162" t="s">
        <v>343</v>
      </c>
      <c r="S22" s="165" t="s">
        <v>344</v>
      </c>
      <c r="T22" s="349" t="s">
        <v>354</v>
      </c>
      <c r="U22" s="162" t="s">
        <v>355</v>
      </c>
      <c r="V22" s="349" t="s">
        <v>356</v>
      </c>
    </row>
    <row r="23" spans="2:37" ht="16.350000000000001" customHeight="1" thickBot="1">
      <c r="B23" s="157">
        <f t="shared" ref="B23:B43" ca="1" si="0">IFERROR(
    INDEX(
        CHOOSE(
            MATCH(E23, practices, 0),
            costAps,
            costData,
            costSec,
            costAdv,
            costProd,
            costPvtCld,
            costSdaia,
            costErp,
           costHealth
        ),
        MATCH($G23,INDIRECT( "roles_"&amp;MATCH(E23, practices, 0)), 0),
        MATCH($F23, countries, 0))
     *
    INDEX(fx, MATCH($F$6, currency, 0)) *
    IF($F$7 = "Days", 8, 1),
    ""
)</f>
        <v>860.93850931891882</v>
      </c>
      <c r="C23" s="125">
        <f ca="1">IF(AND( tb_resource[[#This Row],[Practice Area]]&lt;&gt;0,OR(R23=0,R23="")),1,0)</f>
        <v>0</v>
      </c>
      <c r="D23" s="121">
        <v>1</v>
      </c>
      <c r="E23" s="147" t="s">
        <v>97</v>
      </c>
      <c r="F23" s="147" t="s">
        <v>105</v>
      </c>
      <c r="G23" s="147" t="s">
        <v>150</v>
      </c>
      <c r="H23" s="342">
        <f>LOE!N40</f>
        <v>37.5</v>
      </c>
      <c r="I23" s="298">
        <f t="shared" ref="I23:I43" ca="1" si="1">IFERROR(ROUNDUP(IF(J23="List Price",S23*IF($F$9="Master",1.1,IF($F$9="Sub-agent",1.05,1))*IF($F$3="Fixed Price",1.1,1),IF(K23&lt;1,B23/(1-K23),K23)),0),"")</f>
        <v>1863</v>
      </c>
      <c r="J23" s="249" t="s">
        <v>357</v>
      </c>
      <c r="K23" s="560">
        <v>186</v>
      </c>
      <c r="L23" s="103">
        <f t="shared" ref="L23:L43" ca="1" si="2">IF(S23="","",H23*I23)</f>
        <v>69862.5</v>
      </c>
      <c r="M23" s="287">
        <f t="shared" ref="M23:M43" ca="1" si="3">B23</f>
        <v>860.93850931891882</v>
      </c>
      <c r="N23" s="534">
        <f t="shared" ref="N23:N43" ca="1" si="4">IFERROR(1-B23/I23,"")</f>
        <v>0.53787519628614122</v>
      </c>
      <c r="O23" s="556">
        <f ca="1">IFERROR(tb_resource[[#This Row],[Price/hr]]*(1-$I$9),"")</f>
        <v>849.72752742089665</v>
      </c>
      <c r="P23" s="105" t="str">
        <f ca="1">IF(Calculator!$C23=-1,"No resource in region, please work with delivery and finance to get approvals for using this rate",IF(Calculator!$C23=1,"No resource in region or planned in future. Please get special approval from Finance and HR",""))</f>
        <v/>
      </c>
      <c r="Q23" s="146" t="s">
        <v>358</v>
      </c>
      <c r="R23" s="256">
        <f t="shared" ref="R23:R43" ca="1" si="5">IFERROR(
    INDEX(
        CHOOSE(
            MATCH(E23, practices, 0),
            countAps,
            countData,
            countSec,
            countAdv,
            countProd,
            CountPvtCld,
            countSdaia,
            countErp,
            CountHealth
        ),
        MATCH($G23, INDIRECT( "roles_"&amp;MATCH(E23, practices, 0)), 0),
        MATCH($F23, countries, 0)),
    ""
)</f>
        <v>129.65941405405405</v>
      </c>
      <c r="S23" s="257">
        <f t="shared" ref="S23:S43" ca="1" si="6">IFERROR(
    INDEX(
        CHOOSE(
            MATCH(E23, practices, 0),
            priceAps,
            priceData,
            priceSec,
            priceAdv,
            priceProd,
            pricePvtCld,
            priceSdaia,
            priceErp,
           priceHealth
        ),
        MATCH($G23,INDIRECT( "roles_"&amp;MATCH(E23, practices, 0)), 0),
        MATCH($F23, countries, 0))
     *
    INDEX(fx, MATCH($F$6, currency, 0)) *
    IF($F$7 = "Days", 8, 1),
    ""
)</f>
        <v>1693.1999999999998</v>
      </c>
      <c r="T23" s="375">
        <f t="shared" ref="T23:T43" ca="1" si="7">ROUNDUP(IFERROR(
    INDEX(
        CHOOSE(
            MATCH(E23, practices, 0),
            altcostAps,
            altcostData,
            altcostSec,
            altcostAdv,
            altcostProd,
            altcostPvtCld,
            altcostSdaia,
            altcostErp
        ),
        MATCH($G23,INDIRECT( "roles_"&amp;MATCH(E23, practices, 0)), 0),
        MATCH($F23, countries, 0))
     *
    INDEX(fx, MATCH($F$6, currency, 0)) *
    IF($F$7 = "Days", 8, 1),
    0
), 0)</f>
        <v>809</v>
      </c>
      <c r="U23" s="374" t="str">
        <f ca="1">IF(AND(OR(T23=0,T23=""),tb_resource[[#This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INDEX(Other_roles[Roles],MATCH(Calculator!$G23,Other_roles[mapped to],0)),"")))</f>
        <v>role also mapped to Program Manager</v>
      </c>
      <c r="V23" s="355"/>
    </row>
    <row r="24" spans="2:37">
      <c r="B24" s="158">
        <f t="shared" ca="1" si="0"/>
        <v>703.65930107387396</v>
      </c>
      <c r="C24" s="126">
        <f ca="1">IF(AND( tb_resource[[#This Row],[Practice Area]]&lt;&gt;0,OR(R24=0,R24="")),1,0)</f>
        <v>0</v>
      </c>
      <c r="D24" s="122">
        <f>IF(E24="","",D23+1)</f>
        <v>2</v>
      </c>
      <c r="E24" s="148" t="s">
        <v>97</v>
      </c>
      <c r="F24" s="148" t="s">
        <v>125</v>
      </c>
      <c r="G24" s="148" t="s">
        <v>91</v>
      </c>
      <c r="H24" s="342">
        <f>LOE!N41</f>
        <v>40</v>
      </c>
      <c r="I24" s="298">
        <f t="shared" ca="1" si="1"/>
        <v>1644</v>
      </c>
      <c r="J24" s="249" t="s">
        <v>357</v>
      </c>
      <c r="K24" s="248">
        <v>0.5</v>
      </c>
      <c r="L24" s="107">
        <f t="shared" ca="1" si="2"/>
        <v>65760</v>
      </c>
      <c r="M24" s="288">
        <f t="shared" ca="1" si="3"/>
        <v>703.65930107387396</v>
      </c>
      <c r="N24" s="535">
        <f t="shared" ca="1" si="4"/>
        <v>0.57198339350737593</v>
      </c>
      <c r="O24" s="557">
        <f ca="1">IFERROR(tb_resource[[#This Row],[Price/hr]]*(1-$I$9),"")</f>
        <v>749.84007250668492</v>
      </c>
      <c r="P24" s="109" t="str">
        <f ca="1">IF(Calculator!$C24=-1,"No resource in region, please work with delivery and finance to get approvals for using this rate",IF(Calculator!$C24=1,"No resource in region or planned in future. Please get special approval from Finance and HR",""))</f>
        <v/>
      </c>
      <c r="Q24" s="144" t="s">
        <v>359</v>
      </c>
      <c r="R24" s="256">
        <f t="shared" ca="1" si="5"/>
        <v>133.37061657657657</v>
      </c>
      <c r="S24" s="257">
        <f t="shared" ca="1" si="6"/>
        <v>1494</v>
      </c>
      <c r="T24" s="364">
        <f t="shared" ca="1" si="7"/>
        <v>804</v>
      </c>
      <c r="U24" s="353" t="str">
        <f ca="1">IF(AND(OR(T24=0,T24=""),tb_resource[[#This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INDEX(Other_roles[Roles],MATCH(Calculator!$G24,Other_roles[mapped to],0)),"")))</f>
        <v>role also mapped to Subject Matter Expert (SME) &amp; Security Consultant</v>
      </c>
      <c r="V24" s="355"/>
    </row>
    <row r="25" spans="2:37">
      <c r="B25" s="159">
        <f t="shared" ca="1" si="0"/>
        <v>940.26243144264276</v>
      </c>
      <c r="C25" s="127">
        <f ca="1">IF(AND( tb_resource[[#This Row],[Practice Area]]&lt;&gt;0,OR(R25=0,R25="")),1,0)</f>
        <v>0</v>
      </c>
      <c r="D25" s="123">
        <f t="shared" ref="D25:D28" si="8">IF(E25="","",D24+1)</f>
        <v>3</v>
      </c>
      <c r="E25" s="148" t="s">
        <v>97</v>
      </c>
      <c r="F25" s="148" t="s">
        <v>105</v>
      </c>
      <c r="G25" s="148" t="s">
        <v>91</v>
      </c>
      <c r="H25" s="342">
        <f>LOE!N46</f>
        <v>4</v>
      </c>
      <c r="I25" s="298">
        <f t="shared" ca="1" si="1"/>
        <v>1826</v>
      </c>
      <c r="J25" s="249" t="s">
        <v>357</v>
      </c>
      <c r="K25" s="247">
        <v>0.5</v>
      </c>
      <c r="L25" s="111">
        <f t="shared" ca="1" si="2"/>
        <v>7304</v>
      </c>
      <c r="M25" s="289">
        <f t="shared" ca="1" si="3"/>
        <v>940.26243144264276</v>
      </c>
      <c r="N25" s="536">
        <f t="shared" ca="1" si="4"/>
        <v>0.48506986229866222</v>
      </c>
      <c r="O25" s="558">
        <f ca="1">IFERROR(tb_resource[[#This Row],[Price/hr]]*(1-$I$9),"")</f>
        <v>832.85156471849552</v>
      </c>
      <c r="P25" s="113" t="str">
        <f ca="1">IF(Calculator!$C25=-1,"No resource in region, please work with delivery and finance to get approvals for using this rate",IF(Calculator!$C25=1,"No resource in region or planned in future. Please get special approval from Finance and HR",""))</f>
        <v/>
      </c>
      <c r="Q25" s="146" t="s">
        <v>360</v>
      </c>
      <c r="R25" s="256">
        <f t="shared" ca="1" si="5"/>
        <v>129.99811006435007</v>
      </c>
      <c r="S25" s="257">
        <f t="shared" ca="1" si="6"/>
        <v>1660</v>
      </c>
      <c r="T25" s="364">
        <f t="shared" ca="1" si="7"/>
        <v>884</v>
      </c>
      <c r="U25" s="353" t="str">
        <f ca="1">IF(AND(OR(T25=0,T25=""),tb_resource[[#This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INDEX(Other_roles[Roles],MATCH(Calculator!$G25,Other_roles[mapped to],0)),"")))</f>
        <v>role also mapped to Subject Matter Expert (SME) &amp; Security Consultant</v>
      </c>
      <c r="V25" s="355"/>
    </row>
    <row r="26" spans="2:37">
      <c r="B26" s="158">
        <f t="shared" ca="1" si="0"/>
        <v>278.88</v>
      </c>
      <c r="C26" s="126">
        <f ca="1">IF(AND( tb_resource[[#This Row],[Practice Area]]&lt;&gt;0,OR(R26=0,R26="")),1,0)</f>
        <v>0</v>
      </c>
      <c r="D26" s="122">
        <f t="shared" si="8"/>
        <v>4</v>
      </c>
      <c r="E26" s="148" t="s">
        <v>97</v>
      </c>
      <c r="F26" s="148" t="s">
        <v>136</v>
      </c>
      <c r="G26" s="148" t="s">
        <v>91</v>
      </c>
      <c r="H26" s="342">
        <f>LOE!N42</f>
        <v>22</v>
      </c>
      <c r="I26" s="298">
        <f t="shared" ca="1" si="1"/>
        <v>731</v>
      </c>
      <c r="J26" s="249" t="s">
        <v>357</v>
      </c>
      <c r="K26" s="247">
        <v>0.5</v>
      </c>
      <c r="L26" s="107">
        <f t="shared" ca="1" si="2"/>
        <v>16082</v>
      </c>
      <c r="M26" s="288">
        <f t="shared" ca="1" si="3"/>
        <v>278.88</v>
      </c>
      <c r="N26" s="535">
        <f t="shared" ca="1" si="4"/>
        <v>0.61849521203830371</v>
      </c>
      <c r="O26" s="557">
        <f ca="1">IFERROR(tb_resource[[#This Row],[Price/hr]]*(1-$I$9),"")</f>
        <v>333.41429014743716</v>
      </c>
      <c r="P26" s="113" t="str">
        <f ca="1">IF(Calculator!$C26=-1,"No resource in region, please work with delivery and finance to get approvals for using this rate",IF(Calculator!$C26=1,"No resource in region or planned in future. Please get special approval from Finance and HR",""))</f>
        <v/>
      </c>
      <c r="Q26" s="146" t="s">
        <v>361</v>
      </c>
      <c r="R26" s="256">
        <f t="shared" ca="1" si="5"/>
        <v>41.697040120120121</v>
      </c>
      <c r="S26" s="257">
        <f t="shared" ca="1" si="6"/>
        <v>664</v>
      </c>
      <c r="T26" s="364">
        <f t="shared" ca="1" si="7"/>
        <v>244</v>
      </c>
      <c r="U26" s="353" t="str">
        <f ca="1">IF(AND(OR(T26=0,T26=""),tb_resource[[#This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INDEX(Other_roles[Roles],MATCH(Calculator!$G26,Other_roles[mapped to],0)),"")))</f>
        <v>role also mapped to Subject Matter Expert (SME) &amp; Security Consultant</v>
      </c>
      <c r="V26" s="355"/>
    </row>
    <row r="27" spans="2:37">
      <c r="B27" s="159">
        <f t="shared" ca="1" si="0"/>
        <v>278.88</v>
      </c>
      <c r="C27" s="127">
        <f ca="1">IF(AND( tb_resource[[#This Row],[Practice Area]]&lt;&gt;0,OR(R27=0,R27="")),1,0)</f>
        <v>0</v>
      </c>
      <c r="D27" s="123">
        <f t="shared" si="8"/>
        <v>5</v>
      </c>
      <c r="E27" s="148" t="s">
        <v>97</v>
      </c>
      <c r="F27" s="148" t="s">
        <v>136</v>
      </c>
      <c r="G27" s="148" t="s">
        <v>91</v>
      </c>
      <c r="H27" s="342">
        <f>LOE!N43</f>
        <v>22</v>
      </c>
      <c r="I27" s="298">
        <f t="shared" ca="1" si="1"/>
        <v>731</v>
      </c>
      <c r="J27" s="249" t="s">
        <v>357</v>
      </c>
      <c r="K27" s="247">
        <v>0.5</v>
      </c>
      <c r="L27" s="111">
        <f t="shared" ca="1" si="2"/>
        <v>16082</v>
      </c>
      <c r="M27" s="289">
        <f t="shared" ca="1" si="3"/>
        <v>278.88</v>
      </c>
      <c r="N27" s="536">
        <f t="shared" ca="1" si="4"/>
        <v>0.61849521203830371</v>
      </c>
      <c r="O27" s="558">
        <f ca="1">IFERROR(tb_resource[[#This Row],[Price/hr]]*(1-$I$9),"")</f>
        <v>333.41429014743716</v>
      </c>
      <c r="P27" s="113" t="str">
        <f ca="1">IF(Calculator!$C27=-1,"No resource in region, please work with delivery and finance to get approvals for using this rate",IF(Calculator!$C27=1,"No resource in region or planned in future. Please get special approval from Finance and HR",""))</f>
        <v/>
      </c>
      <c r="Q27" s="146" t="s">
        <v>362</v>
      </c>
      <c r="R27" s="256">
        <f t="shared" ca="1" si="5"/>
        <v>41.697040120120121</v>
      </c>
      <c r="S27" s="257">
        <f t="shared" ca="1" si="6"/>
        <v>664</v>
      </c>
      <c r="T27" s="364">
        <f t="shared" ca="1" si="7"/>
        <v>244</v>
      </c>
      <c r="U27" s="353" t="str">
        <f ca="1">IF(AND(OR(T27=0,T27=""),tb_resource[[#This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INDEX(Other_roles[Roles],MATCH(Calculator!$G27,Other_roles[mapped to],0)),"")))</f>
        <v>role also mapped to Subject Matter Expert (SME) &amp; Security Consultant</v>
      </c>
      <c r="V27" s="355"/>
    </row>
    <row r="28" spans="2:37">
      <c r="B28" s="158">
        <f t="shared" ca="1" si="0"/>
        <v>703.65930107387396</v>
      </c>
      <c r="C28" s="126">
        <f ca="1">IF(AND( tb_resource[[#This Row],[Practice Area]]&lt;&gt;0,OR(R28=0,R28="")),1,0)</f>
        <v>0</v>
      </c>
      <c r="D28" s="122">
        <f t="shared" si="8"/>
        <v>6</v>
      </c>
      <c r="E28" s="148" t="s">
        <v>97</v>
      </c>
      <c r="F28" s="148" t="s">
        <v>125</v>
      </c>
      <c r="G28" s="148" t="s">
        <v>91</v>
      </c>
      <c r="H28" s="342">
        <f>LOE!N44</f>
        <v>22</v>
      </c>
      <c r="I28" s="298">
        <f t="shared" ca="1" si="1"/>
        <v>1644</v>
      </c>
      <c r="J28" s="249" t="s">
        <v>357</v>
      </c>
      <c r="K28" s="248">
        <v>0.4</v>
      </c>
      <c r="L28" s="107">
        <f t="shared" ca="1" si="2"/>
        <v>36168</v>
      </c>
      <c r="M28" s="288">
        <f t="shared" ca="1" si="3"/>
        <v>703.65930107387396</v>
      </c>
      <c r="N28" s="535">
        <f t="shared" ca="1" si="4"/>
        <v>0.57198339350737593</v>
      </c>
      <c r="O28" s="557">
        <f ca="1">IFERROR(tb_resource[[#This Row],[Price/hr]]*(1-$I$9),"")</f>
        <v>749.84007250668492</v>
      </c>
      <c r="P28" s="113" t="str">
        <f ca="1">IF(Calculator!$C28=-1,"No resource in region, please work with delivery and finance to get approvals for using this rate",IF(Calculator!$C28=1,"No resource in region or planned in future. Please get special approval from Finance and HR",""))</f>
        <v/>
      </c>
      <c r="Q28" s="146" t="s">
        <v>363</v>
      </c>
      <c r="R28" s="256">
        <f t="shared" ca="1" si="5"/>
        <v>133.37061657657657</v>
      </c>
      <c r="S28" s="257">
        <f t="shared" ca="1" si="6"/>
        <v>1494</v>
      </c>
      <c r="T28" s="364">
        <f t="shared" ca="1" si="7"/>
        <v>804</v>
      </c>
      <c r="U28" s="353" t="str">
        <f ca="1">IF(AND(OR(T28=0,T28=""),tb_resource[[#This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INDEX(Other_roles[Roles],MATCH(Calculator!$G28,Other_roles[mapped to],0)),"")))</f>
        <v>role also mapped to Subject Matter Expert (SME) &amp; Security Consultant</v>
      </c>
      <c r="V28" s="355"/>
    </row>
    <row r="29" spans="2:37">
      <c r="B29" s="159">
        <f t="shared" ca="1" si="0"/>
        <v>239.92003598918916</v>
      </c>
      <c r="C29" s="127">
        <f ca="1">IF(AND( tb_resource[[#This Row],[Practice Area]]&lt;&gt;0,OR(R29=0,R29="")),1,0)</f>
        <v>0</v>
      </c>
      <c r="D29" s="123">
        <f t="shared" ref="D29:D43" si="9">IF(E29="","",D28+1)</f>
        <v>7</v>
      </c>
      <c r="E29" s="148" t="s">
        <v>97</v>
      </c>
      <c r="F29" s="148" t="s">
        <v>136</v>
      </c>
      <c r="G29" s="148" t="s">
        <v>113</v>
      </c>
      <c r="H29" s="342">
        <f>LOE!N45</f>
        <v>12.5</v>
      </c>
      <c r="I29" s="298">
        <f t="shared" ca="1" si="1"/>
        <v>585</v>
      </c>
      <c r="J29" s="249" t="s">
        <v>357</v>
      </c>
      <c r="K29" s="247">
        <v>0.5</v>
      </c>
      <c r="L29" s="111">
        <f t="shared" ca="1" si="2"/>
        <v>7312.5</v>
      </c>
      <c r="M29" s="289">
        <f t="shared" ca="1" si="3"/>
        <v>239.92003598918916</v>
      </c>
      <c r="N29" s="536">
        <f t="shared" ca="1" si="4"/>
        <v>0.58988028036036044</v>
      </c>
      <c r="O29" s="558">
        <f ca="1">IFERROR(tb_resource[[#This Row],[Price/hr]]*(1-$I$9),"")</f>
        <v>266.82265353796271</v>
      </c>
      <c r="P29" s="113" t="str">
        <f ca="1">IF(Calculator!$C29=-1,"No resource in region, please work with delivery and finance to get approvals for using this rate",IF(Calculator!$C29=1,"No resource in region or planned in future. Please get special approval from Finance and HR",""))</f>
        <v/>
      </c>
      <c r="Q29" s="146" t="s">
        <v>364</v>
      </c>
      <c r="R29" s="256">
        <f t="shared" ca="1" si="5"/>
        <v>36.132535540540538</v>
      </c>
      <c r="S29" s="257">
        <f t="shared" ca="1" si="6"/>
        <v>531.19999999999993</v>
      </c>
      <c r="T29" s="364">
        <f t="shared" ca="1" si="7"/>
        <v>183</v>
      </c>
      <c r="U29" s="353" t="str">
        <f ca="1">IF(AND(OR(T29=0,T29=""),tb_resource[[#This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INDEX(Other_roles[Roles],MATCH(Calculator!$G29,Other_roles[mapped to],0)),"")))</f>
        <v>role also mapped to Engineer III, IV</v>
      </c>
      <c r="V29" s="355"/>
    </row>
    <row r="30" spans="2:37">
      <c r="B30" s="158" t="str">
        <f t="shared" ca="1" si="0"/>
        <v/>
      </c>
      <c r="C30" s="126">
        <f ca="1">IF(AND( tb_resource[[#This Row],[Practice Area]]&lt;&gt;0,OR(R30=0,R30="")),1,0)</f>
        <v>0</v>
      </c>
      <c r="D30" s="122" t="str">
        <f t="shared" si="9"/>
        <v/>
      </c>
      <c r="E30" s="148"/>
      <c r="F30" s="148"/>
      <c r="G30" s="148"/>
      <c r="H30" s="342"/>
      <c r="I30" s="298" t="str">
        <f t="shared" ca="1" si="1"/>
        <v/>
      </c>
      <c r="J30" s="249" t="s">
        <v>357</v>
      </c>
      <c r="K30" s="143">
        <v>0.5</v>
      </c>
      <c r="L30" s="107" t="str">
        <f t="shared" ca="1" si="2"/>
        <v/>
      </c>
      <c r="M30" s="288" t="str">
        <f t="shared" ca="1" si="3"/>
        <v/>
      </c>
      <c r="N30" s="535" t="str">
        <f t="shared" ca="1" si="4"/>
        <v/>
      </c>
      <c r="O30" s="557" t="str">
        <f ca="1">IFERROR(tb_resource[[#This Row],[Price/hr]]*(1-$I$9),"")</f>
        <v/>
      </c>
      <c r="P30" s="113" t="str">
        <f ca="1">IF(Calculator!$C30=-1,"No resource in region, please work with delivery and finance to get approvals for using this rate",IF(Calculator!$C30=1,"No resource in region or planned in future. Please get special approval from Finance and HR",""))</f>
        <v/>
      </c>
      <c r="Q30" s="146"/>
      <c r="R30" s="256" t="str">
        <f t="shared" ca="1" si="5"/>
        <v/>
      </c>
      <c r="S30" s="257" t="str">
        <f t="shared" ca="1" si="6"/>
        <v/>
      </c>
      <c r="T30" s="364">
        <f t="shared" ca="1" si="7"/>
        <v>0</v>
      </c>
      <c r="U30" s="353" t="str">
        <f ca="1">IF(AND(OR(T30=0,T30=""),tb_resource[[#This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INDEX(Other_roles[Roles],MATCH(Calculator!$G30,Other_roles[mapped to],0)),"")))</f>
        <v/>
      </c>
      <c r="V30" s="355"/>
    </row>
    <row r="31" spans="2:37">
      <c r="B31" s="159" t="str">
        <f t="shared" ca="1" si="0"/>
        <v/>
      </c>
      <c r="C31" s="127">
        <f ca="1">IF(AND( tb_resource[[#This Row],[Practice Area]]&lt;&gt;0,OR(R31=0,R31="")),1,0)</f>
        <v>0</v>
      </c>
      <c r="D31" s="123" t="str">
        <f t="shared" si="9"/>
        <v/>
      </c>
      <c r="E31" s="148"/>
      <c r="F31" s="148"/>
      <c r="G31" s="148"/>
      <c r="H31" s="342"/>
      <c r="I31" s="298" t="str">
        <f t="shared" ca="1" si="1"/>
        <v/>
      </c>
      <c r="J31" s="249" t="s">
        <v>357</v>
      </c>
      <c r="K31" s="143">
        <v>0.5</v>
      </c>
      <c r="L31" s="111" t="str">
        <f t="shared" ca="1" si="2"/>
        <v/>
      </c>
      <c r="M31" s="289" t="str">
        <f t="shared" ca="1" si="3"/>
        <v/>
      </c>
      <c r="N31" s="536" t="str">
        <f t="shared" ca="1" si="4"/>
        <v/>
      </c>
      <c r="O31" s="558" t="str">
        <f ca="1">IFERROR(tb_resource[[#This Row],[Price/hr]]*(1-$I$9),"")</f>
        <v/>
      </c>
      <c r="P31" s="113" t="str">
        <f ca="1">IF(Calculator!$C31=-1,"No resource in region, please work with delivery and finance to get approvals for using this rate",IF(Calculator!$C31=1,"No resource in region or planned in future. Please get special approval from Finance and HR",""))</f>
        <v/>
      </c>
      <c r="Q31" s="146"/>
      <c r="R31" s="256" t="str">
        <f t="shared" ca="1" si="5"/>
        <v/>
      </c>
      <c r="S31" s="257" t="str">
        <f t="shared" ca="1" si="6"/>
        <v/>
      </c>
      <c r="T31" s="364">
        <f t="shared" ca="1" si="7"/>
        <v>0</v>
      </c>
      <c r="U31" s="353" t="str">
        <f ca="1">IF(AND(OR(T31=0,T31=""),tb_resource[[#This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INDEX(Other_roles[Roles],MATCH(Calculator!$G31,Other_roles[mapped to],0)),"")))</f>
        <v/>
      </c>
      <c r="V31" s="355"/>
    </row>
    <row r="32" spans="2:37">
      <c r="B32" s="158" t="str">
        <f t="shared" ca="1" si="0"/>
        <v/>
      </c>
      <c r="C32" s="126">
        <f ca="1">IF(AND( tb_resource[[#This Row],[Practice Area]]&lt;&gt;0,OR(R32=0,R32="")),1,0)</f>
        <v>0</v>
      </c>
      <c r="D32" s="122" t="str">
        <f t="shared" si="9"/>
        <v/>
      </c>
      <c r="E32" s="148"/>
      <c r="F32" s="148"/>
      <c r="G32" s="148"/>
      <c r="H32" s="342"/>
      <c r="I32" s="298" t="str">
        <f t="shared" ca="1" si="1"/>
        <v/>
      </c>
      <c r="J32" s="249" t="s">
        <v>357</v>
      </c>
      <c r="K32" s="143">
        <v>0.5</v>
      </c>
      <c r="L32" s="107" t="str">
        <f t="shared" ca="1" si="2"/>
        <v/>
      </c>
      <c r="M32" s="288" t="str">
        <f t="shared" ca="1" si="3"/>
        <v/>
      </c>
      <c r="N32" s="535" t="str">
        <f t="shared" ca="1" si="4"/>
        <v/>
      </c>
      <c r="O32" s="557" t="str">
        <f ca="1">IFERROR(tb_resource[[#This Row],[Price/hr]]*(1-$I$9),"")</f>
        <v/>
      </c>
      <c r="P32" s="113" t="str">
        <f ca="1">IF(Calculator!$C32=-1,"No resource in region, please work with delivery and finance to get approvals for using this rate",IF(Calculator!$C32=1,"No resource in region or planned in future. Please get special approval from Finance and HR",""))</f>
        <v/>
      </c>
      <c r="Q32" s="146"/>
      <c r="R32" s="256" t="str">
        <f t="shared" ca="1" si="5"/>
        <v/>
      </c>
      <c r="S32" s="257" t="str">
        <f t="shared" ca="1" si="6"/>
        <v/>
      </c>
      <c r="T32" s="364">
        <f t="shared" ca="1" si="7"/>
        <v>0</v>
      </c>
      <c r="U32" s="353" t="str">
        <f ca="1">IF(AND(OR(T32=0,T32=""),tb_resource[[#This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INDEX(Other_roles[Roles],MATCH(Calculator!$G32,Other_roles[mapped to],0)),"")))</f>
        <v/>
      </c>
      <c r="V32" s="355"/>
    </row>
    <row r="33" spans="2:22">
      <c r="B33" s="159" t="str">
        <f t="shared" ca="1" si="0"/>
        <v/>
      </c>
      <c r="C33" s="127">
        <f ca="1">IF(AND( tb_resource[[#This Row],[Practice Area]]&lt;&gt;0,OR(R33=0,R33="")),1,0)</f>
        <v>0</v>
      </c>
      <c r="D33" s="123" t="str">
        <f t="shared" si="9"/>
        <v/>
      </c>
      <c r="E33" s="148"/>
      <c r="F33" s="148"/>
      <c r="G33" s="148"/>
      <c r="H33" s="342"/>
      <c r="I33" s="298" t="str">
        <f t="shared" ca="1" si="1"/>
        <v/>
      </c>
      <c r="J33" s="249" t="s">
        <v>357</v>
      </c>
      <c r="K33" s="143">
        <v>0.5</v>
      </c>
      <c r="L33" s="111" t="str">
        <f t="shared" ca="1" si="2"/>
        <v/>
      </c>
      <c r="M33" s="289" t="str">
        <f t="shared" ca="1" si="3"/>
        <v/>
      </c>
      <c r="N33" s="536" t="str">
        <f t="shared" ca="1" si="4"/>
        <v/>
      </c>
      <c r="O33" s="558" t="str">
        <f ca="1">IFERROR(tb_resource[[#This Row],[Price/hr]]*(1-$I$9),"")</f>
        <v/>
      </c>
      <c r="P33" s="113" t="str">
        <f ca="1">IF(Calculator!$C33=-1,"No resource in region, please work with delivery and finance to get approvals for using this rate",IF(Calculator!$C33=1,"No resource in region or planned in future. Please get special approval from Finance and HR",""))</f>
        <v/>
      </c>
      <c r="Q33" s="146"/>
      <c r="R33" s="256" t="str">
        <f t="shared" ca="1" si="5"/>
        <v/>
      </c>
      <c r="S33" s="257" t="str">
        <f t="shared" ca="1" si="6"/>
        <v/>
      </c>
      <c r="T33" s="364">
        <f t="shared" ca="1" si="7"/>
        <v>0</v>
      </c>
      <c r="U33" s="353" t="str">
        <f ca="1">IF(AND(OR(T33=0,T33=""),tb_resource[[#This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INDEX(Other_roles[Roles],MATCH(Calculator!$G33,Other_roles[mapped to],0)),"")))</f>
        <v/>
      </c>
      <c r="V33" s="355"/>
    </row>
    <row r="34" spans="2:22">
      <c r="B34" s="158" t="str">
        <f t="shared" ca="1" si="0"/>
        <v/>
      </c>
      <c r="C34" s="126">
        <f ca="1">IF(AND( tb_resource[[#This Row],[Practice Area]]&lt;&gt;0,OR(R34=0,R34="")),1,0)</f>
        <v>0</v>
      </c>
      <c r="D34" s="122" t="str">
        <f t="shared" si="9"/>
        <v/>
      </c>
      <c r="E34" s="148"/>
      <c r="F34" s="148"/>
      <c r="G34" s="148"/>
      <c r="H34" s="342"/>
      <c r="I34" s="298" t="str">
        <f t="shared" ca="1" si="1"/>
        <v/>
      </c>
      <c r="J34" s="249" t="s">
        <v>357</v>
      </c>
      <c r="K34" s="143">
        <v>0.5</v>
      </c>
      <c r="L34" s="107" t="str">
        <f t="shared" ca="1" si="2"/>
        <v/>
      </c>
      <c r="M34" s="288" t="str">
        <f t="shared" ca="1" si="3"/>
        <v/>
      </c>
      <c r="N34" s="535" t="str">
        <f t="shared" ca="1" si="4"/>
        <v/>
      </c>
      <c r="O34" s="557" t="str">
        <f ca="1">IFERROR(tb_resource[[#This Row],[Price/hr]]*(1-$I$9),"")</f>
        <v/>
      </c>
      <c r="P34" s="113" t="str">
        <f ca="1">IF(Calculator!$C34=-1,"No resource in region, please work with delivery and finance to get approvals for using this rate",IF(Calculator!$C34=1,"No resource in region or planned in future. Please get special approval from Finance and HR",""))</f>
        <v/>
      </c>
      <c r="Q34" s="146"/>
      <c r="R34" s="256" t="str">
        <f t="shared" ca="1" si="5"/>
        <v/>
      </c>
      <c r="S34" s="257" t="str">
        <f t="shared" ca="1" si="6"/>
        <v/>
      </c>
      <c r="T34" s="364">
        <f t="shared" ca="1" si="7"/>
        <v>0</v>
      </c>
      <c r="U34" s="353" t="str">
        <f ca="1">IF(AND(OR(T34=0,T34=""),tb_resource[[#This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INDEX(Other_roles[Roles],MATCH(Calculator!$G34,Other_roles[mapped to],0)),"")))</f>
        <v/>
      </c>
      <c r="V34" s="355"/>
    </row>
    <row r="35" spans="2:22">
      <c r="B35" s="159" t="str">
        <f t="shared" ca="1" si="0"/>
        <v/>
      </c>
      <c r="C35" s="127">
        <f ca="1">IF(AND( tb_resource[[#This Row],[Practice Area]]&lt;&gt;0,OR(R35=0,R35="")),1,0)</f>
        <v>0</v>
      </c>
      <c r="D35" s="123" t="str">
        <f t="shared" si="9"/>
        <v/>
      </c>
      <c r="E35" s="148"/>
      <c r="F35" s="148"/>
      <c r="G35" s="148"/>
      <c r="H35" s="342"/>
      <c r="I35" s="298" t="str">
        <f t="shared" ca="1" si="1"/>
        <v/>
      </c>
      <c r="J35" s="249" t="s">
        <v>357</v>
      </c>
      <c r="K35" s="143">
        <v>0.5</v>
      </c>
      <c r="L35" s="111" t="str">
        <f t="shared" ca="1" si="2"/>
        <v/>
      </c>
      <c r="M35" s="289" t="str">
        <f t="shared" ca="1" si="3"/>
        <v/>
      </c>
      <c r="N35" s="536" t="str">
        <f t="shared" ca="1" si="4"/>
        <v/>
      </c>
      <c r="O35" s="558" t="str">
        <f ca="1">IFERROR(tb_resource[[#This Row],[Price/hr]]*(1-$I$9),"")</f>
        <v/>
      </c>
      <c r="P35" s="113" t="str">
        <f ca="1">IF(Calculator!$C35=-1,"No resource in region, please work with delivery and finance to get approvals for using this rate",IF(Calculator!$C35=1,"No resource in region or planned in future. Please get special approval from Finance and HR",""))</f>
        <v/>
      </c>
      <c r="Q35" s="146"/>
      <c r="R35" s="256" t="str">
        <f t="shared" ca="1" si="5"/>
        <v/>
      </c>
      <c r="S35" s="257" t="str">
        <f t="shared" ca="1" si="6"/>
        <v/>
      </c>
      <c r="T35" s="364">
        <f t="shared" ca="1" si="7"/>
        <v>0</v>
      </c>
      <c r="U35" s="353" t="str">
        <f ca="1">IF(AND(OR(T35=0,T35=""),tb_resource[[#This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INDEX(Other_roles[Roles],MATCH(Calculator!$G35,Other_roles[mapped to],0)),"")))</f>
        <v/>
      </c>
      <c r="V35" s="355"/>
    </row>
    <row r="36" spans="2:22">
      <c r="B36" s="158" t="str">
        <f t="shared" ca="1" si="0"/>
        <v/>
      </c>
      <c r="C36" s="126">
        <f ca="1">IF(AND( tb_resource[[#This Row],[Practice Area]]&lt;&gt;0,OR(R36=0,R36="")),1,0)</f>
        <v>0</v>
      </c>
      <c r="D36" s="122" t="str">
        <f t="shared" si="9"/>
        <v/>
      </c>
      <c r="E36" s="148"/>
      <c r="F36" s="148"/>
      <c r="G36" s="148"/>
      <c r="H36" s="342"/>
      <c r="I36" s="298" t="str">
        <f t="shared" ca="1" si="1"/>
        <v/>
      </c>
      <c r="J36" s="249" t="s">
        <v>357</v>
      </c>
      <c r="K36" s="143">
        <v>0.5</v>
      </c>
      <c r="L36" s="107" t="str">
        <f t="shared" ca="1" si="2"/>
        <v/>
      </c>
      <c r="M36" s="288" t="str">
        <f t="shared" ca="1" si="3"/>
        <v/>
      </c>
      <c r="N36" s="535" t="str">
        <f t="shared" ca="1" si="4"/>
        <v/>
      </c>
      <c r="O36" s="557" t="str">
        <f ca="1">IFERROR(tb_resource[[#This Row],[Price/hr]]*(1-$I$9),"")</f>
        <v/>
      </c>
      <c r="P36" s="113" t="str">
        <f ca="1">IF(Calculator!$C36=-1,"No resource in region, please work with delivery and finance to get approvals for using this rate",IF(Calculator!$C36=1,"No resource in region or planned in future. Please get special approval from Finance and HR",""))</f>
        <v/>
      </c>
      <c r="Q36" s="146"/>
      <c r="R36" s="256" t="str">
        <f t="shared" ca="1" si="5"/>
        <v/>
      </c>
      <c r="S36" s="257" t="str">
        <f t="shared" ca="1" si="6"/>
        <v/>
      </c>
      <c r="T36" s="364">
        <f t="shared" ca="1" si="7"/>
        <v>0</v>
      </c>
      <c r="U36" s="353" t="str">
        <f ca="1">IF(AND(OR(T36=0,T36=""),tb_resource[[#This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INDEX(Other_roles[Roles],MATCH(Calculator!$G36,Other_roles[mapped to],0)),"")))</f>
        <v/>
      </c>
      <c r="V36" s="355"/>
    </row>
    <row r="37" spans="2:22">
      <c r="B37" s="159" t="str">
        <f t="shared" ca="1" si="0"/>
        <v/>
      </c>
      <c r="C37" s="127">
        <f ca="1">IF(AND( tb_resource[[#This Row],[Practice Area]]&lt;&gt;0,OR(R37=0,R37="")),1,0)</f>
        <v>0</v>
      </c>
      <c r="D37" s="123" t="str">
        <f t="shared" si="9"/>
        <v/>
      </c>
      <c r="E37" s="148"/>
      <c r="F37" s="148"/>
      <c r="G37" s="148"/>
      <c r="H37" s="342"/>
      <c r="I37" s="298" t="str">
        <f t="shared" ca="1" si="1"/>
        <v/>
      </c>
      <c r="J37" s="249" t="s">
        <v>357</v>
      </c>
      <c r="K37" s="143">
        <v>0.5</v>
      </c>
      <c r="L37" s="111" t="str">
        <f t="shared" ca="1" si="2"/>
        <v/>
      </c>
      <c r="M37" s="289" t="str">
        <f t="shared" ca="1" si="3"/>
        <v/>
      </c>
      <c r="N37" s="536" t="str">
        <f t="shared" ca="1" si="4"/>
        <v/>
      </c>
      <c r="O37" s="558" t="str">
        <f ca="1">IFERROR(tb_resource[[#This Row],[Price/hr]]*(1-$I$9),"")</f>
        <v/>
      </c>
      <c r="P37" s="113" t="str">
        <f ca="1">IF(Calculator!$C37=-1,"No resource in region, please work with delivery and finance to get approvals for using this rate",IF(Calculator!$C37=1,"No resource in region or planned in future. Please get special approval from Finance and HR",""))</f>
        <v/>
      </c>
      <c r="Q37" s="146"/>
      <c r="R37" s="256" t="str">
        <f t="shared" ca="1" si="5"/>
        <v/>
      </c>
      <c r="S37" s="257" t="str">
        <f t="shared" ca="1" si="6"/>
        <v/>
      </c>
      <c r="T37" s="364">
        <f t="shared" ca="1" si="7"/>
        <v>0</v>
      </c>
      <c r="U37" s="353" t="str">
        <f ca="1">IF(AND(OR(T37=0,T37=""),tb_resource[[#This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INDEX(Other_roles[Roles],MATCH(Calculator!$G37,Other_roles[mapped to],0)),"")))</f>
        <v/>
      </c>
      <c r="V37" s="355"/>
    </row>
    <row r="38" spans="2:22">
      <c r="B38" s="158" t="str">
        <f t="shared" ca="1" si="0"/>
        <v/>
      </c>
      <c r="C38" s="126">
        <f ca="1">IF(AND( tb_resource[[#This Row],[Practice Area]]&lt;&gt;0,OR(R38=0,R38="")),1,0)</f>
        <v>0</v>
      </c>
      <c r="D38" s="122" t="str">
        <f t="shared" si="9"/>
        <v/>
      </c>
      <c r="E38" s="148"/>
      <c r="F38" s="148"/>
      <c r="G38" s="148"/>
      <c r="H38" s="342"/>
      <c r="I38" s="298" t="str">
        <f t="shared" ca="1" si="1"/>
        <v/>
      </c>
      <c r="J38" s="249" t="s">
        <v>357</v>
      </c>
      <c r="K38" s="143">
        <v>0.5</v>
      </c>
      <c r="L38" s="107" t="str">
        <f t="shared" ca="1" si="2"/>
        <v/>
      </c>
      <c r="M38" s="288" t="str">
        <f t="shared" ca="1" si="3"/>
        <v/>
      </c>
      <c r="N38" s="535" t="str">
        <f t="shared" ca="1" si="4"/>
        <v/>
      </c>
      <c r="O38" s="557" t="str">
        <f ca="1">IFERROR(tb_resource[[#This Row],[Price/hr]]*(1-$I$9),"")</f>
        <v/>
      </c>
      <c r="P38" s="113" t="str">
        <f ca="1">IF(Calculator!$C38=-1,"No resource in region, please work with delivery and finance to get approvals for using this rate",IF(Calculator!$C38=1,"No resource in region or planned in future. Please get special approval from Finance and HR",""))</f>
        <v/>
      </c>
      <c r="Q38" s="146"/>
      <c r="R38" s="256" t="str">
        <f t="shared" ca="1" si="5"/>
        <v/>
      </c>
      <c r="S38" s="257" t="str">
        <f t="shared" ca="1" si="6"/>
        <v/>
      </c>
      <c r="T38" s="364">
        <f t="shared" ca="1" si="7"/>
        <v>0</v>
      </c>
      <c r="U38" s="353" t="str">
        <f ca="1">IF(AND(OR(T38=0,T38=""),tb_resource[[#This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INDEX(Other_roles[Roles],MATCH(Calculator!$G38,Other_roles[mapped to],0)),"")))</f>
        <v/>
      </c>
      <c r="V38" s="355"/>
    </row>
    <row r="39" spans="2:22">
      <c r="B39" s="159" t="str">
        <f t="shared" ca="1" si="0"/>
        <v/>
      </c>
      <c r="C39" s="127">
        <f ca="1">IF(AND( tb_resource[[#This Row],[Practice Area]]&lt;&gt;0,OR(R39=0,R39="")),1,0)</f>
        <v>0</v>
      </c>
      <c r="D39" s="123" t="str">
        <f t="shared" si="9"/>
        <v/>
      </c>
      <c r="E39" s="148"/>
      <c r="F39" s="148"/>
      <c r="G39" s="148"/>
      <c r="H39" s="342"/>
      <c r="I39" s="298" t="str">
        <f t="shared" ca="1" si="1"/>
        <v/>
      </c>
      <c r="J39" s="249" t="s">
        <v>357</v>
      </c>
      <c r="K39" s="143">
        <v>0.5</v>
      </c>
      <c r="L39" s="111" t="str">
        <f t="shared" ca="1" si="2"/>
        <v/>
      </c>
      <c r="M39" s="289" t="str">
        <f t="shared" ca="1" si="3"/>
        <v/>
      </c>
      <c r="N39" s="536" t="str">
        <f t="shared" ca="1" si="4"/>
        <v/>
      </c>
      <c r="O39" s="558" t="str">
        <f ca="1">IFERROR(tb_resource[[#This Row],[Price/hr]]*(1-$I$9),"")</f>
        <v/>
      </c>
      <c r="P39" s="113" t="str">
        <f ca="1">IF(Calculator!$C39=-1,"No resource in region, please work with delivery and finance to get approvals for using this rate",IF(Calculator!$C39=1,"No resource in region or planned in future. Please get special approval from Finance and HR",""))</f>
        <v/>
      </c>
      <c r="Q39" s="146"/>
      <c r="R39" s="256" t="str">
        <f t="shared" ca="1" si="5"/>
        <v/>
      </c>
      <c r="S39" s="257" t="str">
        <f t="shared" ca="1" si="6"/>
        <v/>
      </c>
      <c r="T39" s="364">
        <f t="shared" ca="1" si="7"/>
        <v>0</v>
      </c>
      <c r="U39" s="353" t="str">
        <f ca="1">IF(AND(OR(T39=0,T39=""),tb_resource[[#This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INDEX(Other_roles[Roles],MATCH(Calculator!$G39,Other_roles[mapped to],0)),"")))</f>
        <v/>
      </c>
      <c r="V39" s="355"/>
    </row>
    <row r="40" spans="2:22">
      <c r="B40" s="158" t="str">
        <f t="shared" ca="1" si="0"/>
        <v/>
      </c>
      <c r="C40" s="126">
        <f ca="1">IF(AND( tb_resource[[#This Row],[Practice Area]]&lt;&gt;0,OR(R40=0,R40="")),1,0)</f>
        <v>0</v>
      </c>
      <c r="D40" s="122" t="str">
        <f t="shared" si="9"/>
        <v/>
      </c>
      <c r="E40" s="148"/>
      <c r="F40" s="148"/>
      <c r="G40" s="148"/>
      <c r="H40" s="342"/>
      <c r="I40" s="298" t="str">
        <f t="shared" ca="1" si="1"/>
        <v/>
      </c>
      <c r="J40" s="249" t="s">
        <v>357</v>
      </c>
      <c r="K40" s="143">
        <v>0.5</v>
      </c>
      <c r="L40" s="107" t="str">
        <f t="shared" ca="1" si="2"/>
        <v/>
      </c>
      <c r="M40" s="288" t="str">
        <f t="shared" ca="1" si="3"/>
        <v/>
      </c>
      <c r="N40" s="535" t="str">
        <f t="shared" ca="1" si="4"/>
        <v/>
      </c>
      <c r="O40" s="557" t="str">
        <f ca="1">IFERROR(tb_resource[[#This Row],[Price/hr]]*(1-$I$9),"")</f>
        <v/>
      </c>
      <c r="P40" s="113" t="str">
        <f ca="1">IF(Calculator!$C40=-1,"No resource in region, please work with delivery and finance to get approvals for using this rate",IF(Calculator!$C40=1,"No resource in region or planned in future. Please get special approval from Finance and HR",""))</f>
        <v/>
      </c>
      <c r="Q40" s="146"/>
      <c r="R40" s="256" t="str">
        <f t="shared" ca="1" si="5"/>
        <v/>
      </c>
      <c r="S40" s="257" t="str">
        <f t="shared" ca="1" si="6"/>
        <v/>
      </c>
      <c r="T40" s="364">
        <f t="shared" ca="1" si="7"/>
        <v>0</v>
      </c>
      <c r="U40" s="353" t="str">
        <f ca="1">IF(AND(OR(T40=0,T40=""),tb_resource[[#This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INDEX(Other_roles[Roles],MATCH(Calculator!$G40,Other_roles[mapped to],0)),"")))</f>
        <v/>
      </c>
      <c r="V40" s="355"/>
    </row>
    <row r="41" spans="2:22">
      <c r="B41" s="159" t="str">
        <f t="shared" ca="1" si="0"/>
        <v/>
      </c>
      <c r="C41" s="127">
        <f ca="1">IF(AND( tb_resource[[#This Row],[Practice Area]]&lt;&gt;0,OR(R41=0,R41="")),1,0)</f>
        <v>0</v>
      </c>
      <c r="D41" s="123" t="str">
        <f t="shared" si="9"/>
        <v/>
      </c>
      <c r="E41" s="148"/>
      <c r="F41" s="148"/>
      <c r="G41" s="148"/>
      <c r="H41" s="342"/>
      <c r="I41" s="298" t="str">
        <f t="shared" ca="1" si="1"/>
        <v/>
      </c>
      <c r="J41" s="249" t="s">
        <v>357</v>
      </c>
      <c r="K41" s="143">
        <v>0.5</v>
      </c>
      <c r="L41" s="111" t="str">
        <f t="shared" ca="1" si="2"/>
        <v/>
      </c>
      <c r="M41" s="289" t="str">
        <f t="shared" ca="1" si="3"/>
        <v/>
      </c>
      <c r="N41" s="536" t="str">
        <f t="shared" ca="1" si="4"/>
        <v/>
      </c>
      <c r="O41" s="558" t="str">
        <f ca="1">IFERROR(tb_resource[[#This Row],[Price/hr]]*(1-$I$9),"")</f>
        <v/>
      </c>
      <c r="P41" s="113" t="str">
        <f ca="1">IF(Calculator!$C41=-1,"No resource in region, please work with delivery and finance to get approvals for using this rate",IF(Calculator!$C41=1,"No resource in region or planned in future. Please get special approval from Finance and HR",""))</f>
        <v/>
      </c>
      <c r="Q41" s="146"/>
      <c r="R41" s="256" t="str">
        <f t="shared" ca="1" si="5"/>
        <v/>
      </c>
      <c r="S41" s="257" t="str">
        <f t="shared" ca="1" si="6"/>
        <v/>
      </c>
      <c r="T41" s="364">
        <f t="shared" ca="1" si="7"/>
        <v>0</v>
      </c>
      <c r="U41" s="353" t="str">
        <f ca="1">IF(AND(OR(T41=0,T41=""),tb_resource[[#This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INDEX(Other_roles[Roles],MATCH(Calculator!$G41,Other_roles[mapped to],0)),"")))</f>
        <v/>
      </c>
      <c r="V41" s="355"/>
    </row>
    <row r="42" spans="2:22">
      <c r="B42" s="158" t="str">
        <f t="shared" ca="1" si="0"/>
        <v/>
      </c>
      <c r="C42" s="126">
        <f ca="1">IF(AND( tb_resource[[#This Row],[Practice Area]]&lt;&gt;0,OR(R42=0,R42="")),1,0)</f>
        <v>0</v>
      </c>
      <c r="D42" s="122" t="str">
        <f t="shared" si="9"/>
        <v/>
      </c>
      <c r="E42" s="148"/>
      <c r="F42" s="148"/>
      <c r="G42" s="148"/>
      <c r="H42" s="342"/>
      <c r="I42" s="298" t="str">
        <f t="shared" ca="1" si="1"/>
        <v/>
      </c>
      <c r="J42" s="249" t="s">
        <v>357</v>
      </c>
      <c r="K42" s="143">
        <v>0.5</v>
      </c>
      <c r="L42" s="107" t="str">
        <f t="shared" ca="1" si="2"/>
        <v/>
      </c>
      <c r="M42" s="288" t="str">
        <f t="shared" ca="1" si="3"/>
        <v/>
      </c>
      <c r="N42" s="535" t="str">
        <f t="shared" ca="1" si="4"/>
        <v/>
      </c>
      <c r="O42" s="557" t="str">
        <f ca="1">IFERROR(tb_resource[[#This Row],[Price/hr]]*(1-$I$9),"")</f>
        <v/>
      </c>
      <c r="P42" s="113" t="str">
        <f ca="1">IF(Calculator!$C42=-1,"No resource in region, please work with delivery and finance to get approvals for using this rate",IF(Calculator!$C42=1,"No resource in region or planned in future. Please get special approval from Finance and HR",""))</f>
        <v/>
      </c>
      <c r="Q42" s="146"/>
      <c r="R42" s="256" t="str">
        <f t="shared" ca="1" si="5"/>
        <v/>
      </c>
      <c r="S42" s="257" t="str">
        <f t="shared" ca="1" si="6"/>
        <v/>
      </c>
      <c r="T42" s="364">
        <f t="shared" ca="1" si="7"/>
        <v>0</v>
      </c>
      <c r="U42" s="353" t="str">
        <f ca="1">IF(AND(OR(T42=0,T42=""),tb_resource[[#This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INDEX(Other_roles[Roles],MATCH(Calculator!$G42,Other_roles[mapped to],0)),"")))</f>
        <v/>
      </c>
      <c r="V42" s="355"/>
    </row>
    <row r="43" spans="2:22">
      <c r="B43" s="160" t="str">
        <f t="shared" ca="1" si="0"/>
        <v/>
      </c>
      <c r="C43" s="128">
        <f ca="1">IF(AND( tb_resource[[#This Row],[Practice Area]]&lt;&gt;0,OR(R43=0,R43="")),1,0)</f>
        <v>0</v>
      </c>
      <c r="D43" s="124" t="str">
        <f t="shared" si="9"/>
        <v/>
      </c>
      <c r="E43" s="148"/>
      <c r="F43" s="148"/>
      <c r="G43" s="148"/>
      <c r="H43" s="342"/>
      <c r="I43" s="298" t="str">
        <f t="shared" ca="1" si="1"/>
        <v/>
      </c>
      <c r="J43" s="249" t="s">
        <v>357</v>
      </c>
      <c r="K43" s="143">
        <v>0.5</v>
      </c>
      <c r="L43" s="114" t="str">
        <f t="shared" ca="1" si="2"/>
        <v/>
      </c>
      <c r="M43" s="290" t="str">
        <f t="shared" ca="1" si="3"/>
        <v/>
      </c>
      <c r="N43" s="537" t="str">
        <f t="shared" ca="1" si="4"/>
        <v/>
      </c>
      <c r="O43" s="559" t="str">
        <f ca="1">IFERROR(tb_resource[[#This Row],[Price/hr]]*(1-$I$9),"")</f>
        <v/>
      </c>
      <c r="P43" s="116" t="str">
        <f ca="1">IF(Calculator!$C43=-1,"No resource in region, please work with delivery and finance to get approvals for using this rate",IF(Calculator!$C43=1,"No resource in region or planned in future. Please get special approval from Finance and HR",""))</f>
        <v/>
      </c>
      <c r="Q43" s="145"/>
      <c r="R43" s="258" t="str">
        <f t="shared" ca="1" si="5"/>
        <v/>
      </c>
      <c r="S43" s="257" t="str">
        <f t="shared" ca="1" si="6"/>
        <v/>
      </c>
      <c r="T43" s="364">
        <f t="shared" ca="1" si="7"/>
        <v>0</v>
      </c>
      <c r="U43" s="354" t="str">
        <f ca="1">IF(AND(OR(T43=0,T43=""),tb_resource[[#This Row],[Flag if role is not planned]]=1),"This resource is not planned for this region. Check with PS delivery",IF(tb_resource[[#This Row],[Flag if role is not planned]]=1,"This resource is not available. Use cost = " &amp; tb_resource[[#This Row],[cost of unavailable]] &amp; "  in the Table B  below and check with PS delivery team",IFERROR("role also mapped to " &amp; INDEX(Other_roles[Roles],MATCH(Calculator!$G43,Other_roles[mapped to],0)),"")))</f>
        <v/>
      </c>
      <c r="V43" s="355"/>
    </row>
    <row r="48" spans="2:22" ht="15.75" thickBot="1"/>
    <row r="49" spans="4:15" ht="45.6" customHeight="1" thickBot="1">
      <c r="D49" s="33" t="s">
        <v>365</v>
      </c>
      <c r="E49" s="404" t="s">
        <v>366</v>
      </c>
      <c r="F49" s="365"/>
      <c r="G49" s="365"/>
    </row>
    <row r="50" spans="4:15" ht="39" customHeight="1" thickBot="1">
      <c r="D50" s="206" t="s">
        <v>367</v>
      </c>
      <c r="E50" s="366" t="s">
        <v>368</v>
      </c>
      <c r="F50" s="207" t="s">
        <v>369</v>
      </c>
      <c r="G50" s="193" t="s">
        <v>370</v>
      </c>
      <c r="H50" s="208" t="s">
        <v>371</v>
      </c>
      <c r="I50" s="193" t="s">
        <v>372</v>
      </c>
      <c r="J50" s="208" t="s">
        <v>373</v>
      </c>
      <c r="K50" s="346" t="s">
        <v>374</v>
      </c>
      <c r="L50" s="209" t="s">
        <v>339</v>
      </c>
      <c r="M50" s="209" t="s">
        <v>375</v>
      </c>
    </row>
    <row r="51" spans="4:15">
      <c r="D51" s="367">
        <v>1</v>
      </c>
      <c r="E51" s="372" t="s">
        <v>376</v>
      </c>
      <c r="F51" s="396"/>
      <c r="G51" s="190"/>
      <c r="H51" s="231">
        <v>3500</v>
      </c>
      <c r="I51" s="232">
        <v>1</v>
      </c>
      <c r="J51" s="213">
        <v>0.35</v>
      </c>
      <c r="K51" s="386">
        <f>tb_supplier[[#This Row],[Cost (per unit/ per hr/per day rate) to Rackspace]]*(1+tb_supplier[[#This Row],[Add contingency]])/(1-tb_supplier[[#This Row],[Enter required margin or Price]])</f>
        <v>5384.6153846153848</v>
      </c>
      <c r="L51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5384.6153846153848</v>
      </c>
      <c r="M51" s="345">
        <v>0</v>
      </c>
    </row>
    <row r="52" spans="4:15">
      <c r="D52" s="368"/>
      <c r="E52" s="372"/>
      <c r="F52" s="396"/>
      <c r="G52" s="190"/>
      <c r="H52" s="231"/>
      <c r="I52" s="232"/>
      <c r="J52" s="213"/>
      <c r="K52" s="502">
        <f>tb_supplier[[#This Row],[Cost (per unit/ per hr/per day rate) to Rackspace]]*(1+tb_supplier[[#This Row],[Add contingency]])/(1-tb_supplier[[#This Row],[Enter required margin or Price]])</f>
        <v>0</v>
      </c>
      <c r="L52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52" s="506">
        <v>0</v>
      </c>
      <c r="O52" t="s">
        <v>377</v>
      </c>
    </row>
    <row r="53" spans="4:15">
      <c r="D53" s="368"/>
      <c r="E53" s="372"/>
      <c r="F53" s="191"/>
      <c r="G53" s="190"/>
      <c r="H53" s="231"/>
      <c r="I53" s="232"/>
      <c r="J53" s="213"/>
      <c r="K53" s="387">
        <f>tb_supplier[[#This Row],[Cost (per unit/ per hr/per day rate) to Rackspace]]*(1+tb_supplier[[#This Row],[Add contingency]])/(1-tb_supplier[[#This Row],[Enter required margin or Price]])</f>
        <v>0</v>
      </c>
      <c r="L53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53" s="506"/>
    </row>
    <row r="54" spans="4:15">
      <c r="D54" s="368"/>
      <c r="E54" s="372"/>
      <c r="F54" s="191"/>
      <c r="G54" s="190"/>
      <c r="H54" s="231"/>
      <c r="I54" s="232"/>
      <c r="J54" s="213"/>
      <c r="K54" s="387">
        <f>tb_supplier[[#This Row],[Cost (per unit/ per hr/per day rate) to Rackspace]]*(1+tb_supplier[[#This Row],[Add contingency]])/(1-tb_supplier[[#This Row],[Enter required margin or Price]])</f>
        <v>0</v>
      </c>
      <c r="L54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54" s="506"/>
    </row>
    <row r="55" spans="4:15">
      <c r="D55" s="368"/>
      <c r="E55" s="372"/>
      <c r="F55" s="191"/>
      <c r="G55" s="190"/>
      <c r="H55" s="231"/>
      <c r="I55" s="232"/>
      <c r="J55" s="213"/>
      <c r="K55" s="387">
        <f>tb_supplier[[#This Row],[Cost (per unit/ per hr/per day rate) to Rackspace]]*(1+tb_supplier[[#This Row],[Add contingency]])/(1-tb_supplier[[#This Row],[Enter required margin or Price]])</f>
        <v>0</v>
      </c>
      <c r="L55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55" s="506"/>
    </row>
    <row r="56" spans="4:15">
      <c r="D56" s="368"/>
      <c r="E56" s="372"/>
      <c r="F56" s="191"/>
      <c r="G56" s="190"/>
      <c r="H56" s="231"/>
      <c r="I56" s="232"/>
      <c r="J56" s="213"/>
      <c r="K56" s="387">
        <f>tb_supplier[[#This Row],[Cost (per unit/ per hr/per day rate) to Rackspace]]*(1+tb_supplier[[#This Row],[Add contingency]])/(1-tb_supplier[[#This Row],[Enter required margin or Price]])</f>
        <v>0</v>
      </c>
      <c r="L56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56" s="506"/>
    </row>
    <row r="57" spans="4:15">
      <c r="D57" s="369"/>
      <c r="E57" s="372"/>
      <c r="F57" s="371"/>
      <c r="G57" s="192"/>
      <c r="H57" s="233"/>
      <c r="I57" s="232"/>
      <c r="J57" s="213"/>
      <c r="K57" s="387">
        <f>tb_supplier[[#This Row],[Cost (per unit/ per hr/per day rate) to Rackspace]]*(1+tb_supplier[[#This Row],[Add contingency]])/(1-tb_supplier[[#This Row],[Enter required margin or Price]])</f>
        <v>0</v>
      </c>
      <c r="L57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57" s="506"/>
    </row>
    <row r="58" spans="4:15">
      <c r="D58" s="368"/>
      <c r="E58" s="372"/>
      <c r="F58" s="191"/>
      <c r="G58" s="190"/>
      <c r="H58" s="231"/>
      <c r="I58" s="232"/>
      <c r="J58" s="213"/>
      <c r="K58" s="387">
        <f>tb_supplier[[#This Row],[Cost (per unit/ per hr/per day rate) to Rackspace]]*(1+tb_supplier[[#This Row],[Add contingency]])/(1-tb_supplier[[#This Row],[Enter required margin or Price]])</f>
        <v>0</v>
      </c>
      <c r="L58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58" s="506"/>
    </row>
    <row r="59" spans="4:15">
      <c r="D59" s="368"/>
      <c r="E59" s="372"/>
      <c r="F59" s="191"/>
      <c r="G59" s="190"/>
      <c r="H59" s="231"/>
      <c r="I59" s="232"/>
      <c r="J59" s="213"/>
      <c r="K59" s="387">
        <f>tb_supplier[[#This Row],[Cost (per unit/ per hr/per day rate) to Rackspace]]*(1+tb_supplier[[#This Row],[Add contingency]])/(1-tb_supplier[[#This Row],[Enter required margin or Price]])</f>
        <v>0</v>
      </c>
      <c r="L59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59" s="506"/>
    </row>
    <row r="60" spans="4:15">
      <c r="D60" s="368"/>
      <c r="E60" s="372"/>
      <c r="F60" s="191"/>
      <c r="G60" s="190"/>
      <c r="H60" s="231"/>
      <c r="I60" s="232"/>
      <c r="J60" s="213"/>
      <c r="K60" s="387">
        <f>tb_supplier[[#This Row],[Cost (per unit/ per hr/per day rate) to Rackspace]]*(1+tb_supplier[[#This Row],[Add contingency]])/(1-tb_supplier[[#This Row],[Enter required margin or Price]])</f>
        <v>0</v>
      </c>
      <c r="L60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60" s="506"/>
    </row>
    <row r="61" spans="4:15">
      <c r="D61" s="368"/>
      <c r="E61" s="372"/>
      <c r="F61" s="191"/>
      <c r="G61" s="190"/>
      <c r="H61" s="231"/>
      <c r="I61" s="232"/>
      <c r="J61" s="213"/>
      <c r="K61" s="387">
        <f>tb_supplier[[#This Row],[Cost (per unit/ per hr/per day rate) to Rackspace]]*(1+tb_supplier[[#This Row],[Add contingency]])/(1-tb_supplier[[#This Row],[Enter required margin or Price]])</f>
        <v>0</v>
      </c>
      <c r="L61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61" s="506"/>
    </row>
    <row r="62" spans="4:15">
      <c r="D62" s="368"/>
      <c r="E62" s="372"/>
      <c r="F62" s="191"/>
      <c r="G62" s="190"/>
      <c r="H62" s="231"/>
      <c r="I62" s="232"/>
      <c r="J62" s="213"/>
      <c r="K62" s="387">
        <f>tb_supplier[[#This Row],[Cost (per unit/ per hr/per day rate) to Rackspace]]*(1+tb_supplier[[#This Row],[Add contingency]])/(1-tb_supplier[[#This Row],[Enter required margin or Price]])</f>
        <v>0</v>
      </c>
      <c r="L62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62" s="506"/>
    </row>
    <row r="63" spans="4:15">
      <c r="D63" s="368"/>
      <c r="E63" s="372"/>
      <c r="F63" s="191"/>
      <c r="G63" s="190"/>
      <c r="H63" s="231"/>
      <c r="I63" s="232"/>
      <c r="J63" s="213"/>
      <c r="K63" s="387">
        <f>tb_supplier[[#This Row],[Cost (per unit/ per hr/per day rate) to Rackspace]]*(1+tb_supplier[[#This Row],[Add contingency]])/(1-tb_supplier[[#This Row],[Enter required margin or Price]])</f>
        <v>0</v>
      </c>
      <c r="L63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63" s="506"/>
    </row>
    <row r="64" spans="4:15">
      <c r="D64" s="368"/>
      <c r="E64" s="372"/>
      <c r="F64" s="191"/>
      <c r="G64" s="190"/>
      <c r="H64" s="231"/>
      <c r="I64" s="232"/>
      <c r="J64" s="213"/>
      <c r="K64" s="387">
        <f>tb_supplier[[#This Row],[Cost (per unit/ per hr/per day rate) to Rackspace]]*(1+tb_supplier[[#This Row],[Add contingency]])/(1-tb_supplier[[#This Row],[Enter required margin or Price]])</f>
        <v>0</v>
      </c>
      <c r="L64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64" s="506"/>
    </row>
    <row r="65" spans="4:13">
      <c r="D65" s="368"/>
      <c r="E65" s="372"/>
      <c r="F65" s="191"/>
      <c r="G65" s="190"/>
      <c r="H65" s="231"/>
      <c r="I65" s="232"/>
      <c r="J65" s="213"/>
      <c r="K65" s="387">
        <f>tb_supplier[[#This Row],[Cost (per unit/ per hr/per day rate) to Rackspace]]*(1+tb_supplier[[#This Row],[Add contingency]])/(1-tb_supplier[[#This Row],[Enter required margin or Price]])</f>
        <v>0</v>
      </c>
      <c r="L65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65" s="506"/>
    </row>
    <row r="66" spans="4:13">
      <c r="D66" s="368"/>
      <c r="E66" s="372"/>
      <c r="F66" s="191"/>
      <c r="G66" s="190"/>
      <c r="H66" s="231"/>
      <c r="I66" s="232"/>
      <c r="J66" s="213"/>
      <c r="K66" s="387">
        <f>tb_supplier[[#This Row],[Cost (per unit/ per hr/per day rate) to Rackspace]]*(1+tb_supplier[[#This Row],[Add contingency]])/(1-tb_supplier[[#This Row],[Enter required margin or Price]])</f>
        <v>0</v>
      </c>
      <c r="L66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66" s="506"/>
    </row>
    <row r="67" spans="4:13">
      <c r="D67" s="368"/>
      <c r="E67" s="372"/>
      <c r="F67" s="191"/>
      <c r="G67" s="190"/>
      <c r="H67" s="231"/>
      <c r="I67" s="232"/>
      <c r="J67" s="213"/>
      <c r="K67" s="387">
        <f>tb_supplier[[#This Row],[Cost (per unit/ per hr/per day rate) to Rackspace]]*(1+tb_supplier[[#This Row],[Add contingency]])/(1-tb_supplier[[#This Row],[Enter required margin or Price]])</f>
        <v>0</v>
      </c>
      <c r="L67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67" s="506"/>
    </row>
    <row r="68" spans="4:13">
      <c r="D68" s="368"/>
      <c r="E68" s="372"/>
      <c r="F68" s="191"/>
      <c r="G68" s="190"/>
      <c r="H68" s="231"/>
      <c r="I68" s="232"/>
      <c r="J68" s="213"/>
      <c r="K68" s="387">
        <f>tb_supplier[[#This Row],[Cost (per unit/ per hr/per day rate) to Rackspace]]*(1+tb_supplier[[#This Row],[Add contingency]])/(1-tb_supplier[[#This Row],[Enter required margin or Price]])</f>
        <v>0</v>
      </c>
      <c r="L68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68" s="506"/>
    </row>
    <row r="69" spans="4:13">
      <c r="D69" s="368"/>
      <c r="E69" s="372"/>
      <c r="F69" s="191"/>
      <c r="G69" s="190"/>
      <c r="H69" s="231"/>
      <c r="I69" s="232"/>
      <c r="J69" s="213"/>
      <c r="K69" s="387">
        <f>tb_supplier[[#This Row],[Cost (per unit/ per hr/per day rate) to Rackspace]]*(1+tb_supplier[[#This Row],[Add contingency]])/(1-tb_supplier[[#This Row],[Enter required margin or Price]])</f>
        <v>0</v>
      </c>
      <c r="L69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69" s="506"/>
    </row>
    <row r="70" spans="4:13">
      <c r="D70" s="368"/>
      <c r="E70" s="372"/>
      <c r="F70" s="191"/>
      <c r="G70" s="190"/>
      <c r="H70" s="231"/>
      <c r="I70" s="232"/>
      <c r="J70" s="213"/>
      <c r="K70" s="387">
        <f>tb_supplier[[#This Row],[Cost (per unit/ per hr/per day rate) to Rackspace]]*(1+tb_supplier[[#This Row],[Add contingency]])/(1-tb_supplier[[#This Row],[Enter required margin or Price]])</f>
        <v>0</v>
      </c>
      <c r="L70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70" s="506"/>
    </row>
    <row r="71" spans="4:13">
      <c r="D71" s="368"/>
      <c r="E71" s="372"/>
      <c r="F71" s="191"/>
      <c r="G71" s="190"/>
      <c r="H71" s="231"/>
      <c r="I71" s="232"/>
      <c r="J71" s="213"/>
      <c r="K71" s="387">
        <f>tb_supplier[[#This Row],[Cost (per unit/ per hr/per day rate) to Rackspace]]*(1+tb_supplier[[#This Row],[Add contingency]])/(1-tb_supplier[[#This Row],[Enter required margin or Price]])</f>
        <v>0</v>
      </c>
      <c r="L71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71" s="506"/>
    </row>
    <row r="72" spans="4:13" ht="15.75" thickBot="1">
      <c r="D72" s="370"/>
      <c r="E72" s="372"/>
      <c r="F72" s="216"/>
      <c r="G72" s="218"/>
      <c r="H72" s="234"/>
      <c r="I72" s="235"/>
      <c r="J72" s="213"/>
      <c r="K72" s="388">
        <f>tb_supplier[[#This Row],[Cost (per unit/ per hr/per day rate) to Rackspace]]*(1+tb_supplier[[#This Row],[Add contingency]])/(1-tb_supplier[[#This Row],[Enter required margin or Price]])</f>
        <v>0</v>
      </c>
      <c r="L72" s="347">
        <f>IF(tb_supplier[[#This Row],[Enter required margin or Price]]&lt;1,tb_supplier[[#This Row],[Cost (per unit/ per hr/per day rate) to Rackspace]]*(1+tb_supplier[[#This Row],[Add contingency]])*tb_supplier[[#This Row],[Qty (In same as cost units)]]/(1-tb_supplier[[#This Row],[Enter required margin or Price]]),tb_supplier[[#This Row],[Enter required margin or Price]])</f>
        <v>0</v>
      </c>
      <c r="M72" s="506"/>
    </row>
    <row r="73" spans="4:13" ht="15.75" thickTop="1"/>
  </sheetData>
  <sheetProtection algorithmName="SHA-512" hashValue="O78DwelYFp8jAay+ijD5iWCo/MphgrFitwrOCraGX1A3oFy9l4nogqNyuTOUhdxisrfVuqHcH6SsIrww8l+oYg==" saltValue="mn64HrYHP3wR3wRvofYsXA==" spinCount="100000" sheet="1" objects="1" scenarios="1"/>
  <phoneticPr fontId="46" type="noConversion"/>
  <conditionalFormatting sqref="F14">
    <cfRule type="cellIs" dxfId="133" priority="28" operator="greaterThanOrEqual">
      <formula>0</formula>
    </cfRule>
  </conditionalFormatting>
  <conditionalFormatting sqref="F19">
    <cfRule type="cellIs" dxfId="132" priority="9" operator="greaterThanOrEqual">
      <formula>0</formula>
    </cfRule>
  </conditionalFormatting>
  <conditionalFormatting sqref="H3">
    <cfRule type="expression" dxfId="131" priority="19">
      <formula>IF(expiry_code=1,1,0)</formula>
    </cfRule>
  </conditionalFormatting>
  <conditionalFormatting sqref="H4">
    <cfRule type="expression" dxfId="130" priority="21">
      <formula>IF($F$5="No",1,0)</formula>
    </cfRule>
    <cfRule type="expression" dxfId="129" priority="32">
      <formula>IF($F$5="Yes",1,0)</formula>
    </cfRule>
  </conditionalFormatting>
  <conditionalFormatting sqref="H5:I7">
    <cfRule type="expression" dxfId="128" priority="64">
      <formula>IF($F$5="No",1,0)</formula>
    </cfRule>
  </conditionalFormatting>
  <conditionalFormatting sqref="H8:I8">
    <cfRule type="expression" dxfId="127" priority="66">
      <formula>IF($F$8="Yes",1,0)</formula>
    </cfRule>
  </conditionalFormatting>
  <conditionalFormatting sqref="H18:I18">
    <cfRule type="expression" dxfId="126" priority="17">
      <formula>IF($F$3="T&amp;M",1,0)</formula>
    </cfRule>
  </conditionalFormatting>
  <conditionalFormatting sqref="H19:I19">
    <cfRule type="expression" dxfId="125" priority="18">
      <formula>IF($F$3&lt;&gt;"T&amp;M",1,0)</formula>
    </cfRule>
  </conditionalFormatting>
  <conditionalFormatting sqref="I5 I7 F10:F11 I11 F14:F18 I23:I43 L23:M43 S23:S43">
    <cfRule type="expression" dxfId="124" priority="52">
      <formula>IF($F$6="USD",1,0)</formula>
    </cfRule>
    <cfRule type="expression" dxfId="123" priority="51">
      <formula>IF($F$6="GBP",1,0)</formula>
    </cfRule>
    <cfRule type="expression" dxfId="122" priority="49">
      <formula>IF($F$6="AUD",1,0)</formula>
    </cfRule>
    <cfRule type="expression" dxfId="121" priority="48">
      <formula>IF($F$6="CAD",1,0)</formula>
    </cfRule>
    <cfRule type="expression" dxfId="120" priority="50">
      <formula>IF($F$6="EUR",1,0)</formula>
    </cfRule>
  </conditionalFormatting>
  <conditionalFormatting sqref="I5:I7">
    <cfRule type="expression" dxfId="119" priority="67">
      <formula>IF(currency="CAD",1,0)</formula>
    </cfRule>
  </conditionalFormatting>
  <conditionalFormatting sqref="I51:I72">
    <cfRule type="expression" dxfId="118" priority="36">
      <formula>AND(ISBLANK(I51),M51&gt;0)</formula>
    </cfRule>
  </conditionalFormatting>
  <conditionalFormatting sqref="J2">
    <cfRule type="expression" dxfId="117" priority="20">
      <formula>IF(expiry_code=1,1,0)</formula>
    </cfRule>
  </conditionalFormatting>
  <conditionalFormatting sqref="J13">
    <cfRule type="expression" dxfId="116" priority="54">
      <formula>IF($J$13="",0,1)</formula>
    </cfRule>
  </conditionalFormatting>
  <conditionalFormatting sqref="J23:J43">
    <cfRule type="expression" dxfId="115" priority="45">
      <formula>IF($G23="",1,0)</formula>
    </cfRule>
  </conditionalFormatting>
  <conditionalFormatting sqref="J51:J72">
    <cfRule type="expression" dxfId="114" priority="33">
      <formula>IF(J51&gt;1,1,0)</formula>
    </cfRule>
    <cfRule type="expression" dxfId="113" priority="34">
      <formula>IF(J51&lt;1,1,0)</formula>
    </cfRule>
  </conditionalFormatting>
  <conditionalFormatting sqref="K23:K43">
    <cfRule type="cellIs" dxfId="112" priority="43" operator="between">
      <formula>0</formula>
      <formula>1</formula>
    </cfRule>
    <cfRule type="expression" dxfId="111" priority="44">
      <formula>IF($G23="",1,0)</formula>
    </cfRule>
    <cfRule type="expression" dxfId="110" priority="27">
      <formula>IF(K23&lt;20%*J23,1,0)</formula>
    </cfRule>
    <cfRule type="expression" dxfId="109" priority="41">
      <formula>IF(J23="List Price",1,0)</formula>
    </cfRule>
    <cfRule type="cellIs" dxfId="108" priority="42" operator="greaterThan">
      <formula>1</formula>
    </cfRule>
  </conditionalFormatting>
  <conditionalFormatting sqref="K51:K72">
    <cfRule type="cellIs" dxfId="107" priority="14" operator="lessThanOrEqual">
      <formula>0</formula>
    </cfRule>
    <cfRule type="expression" dxfId="106" priority="15">
      <formula>AND($I51=0,ISNUMBER($H51))</formula>
    </cfRule>
  </conditionalFormatting>
  <conditionalFormatting sqref="L51:L72">
    <cfRule type="cellIs" dxfId="105" priority="12" operator="lessThanOrEqual">
      <formula>0</formula>
    </cfRule>
    <cfRule type="expression" dxfId="104" priority="13">
      <formula>AND($I51=0,ISNUMBER($H51))</formula>
    </cfRule>
  </conditionalFormatting>
  <conditionalFormatting sqref="L23:N43 P23:P31 R23:S31 P32:S43">
    <cfRule type="expression" dxfId="103" priority="46">
      <formula>IF($C23=-1,1,0)</formula>
    </cfRule>
  </conditionalFormatting>
  <conditionalFormatting sqref="M51">
    <cfRule type="expression" dxfId="102" priority="16">
      <formula>AND(ISBLANK(M51),P51&gt;0)</formula>
    </cfRule>
  </conditionalFormatting>
  <conditionalFormatting sqref="N23:N43">
    <cfRule type="cellIs" dxfId="101" priority="61" operator="lessThan">
      <formula>0.4</formula>
    </cfRule>
    <cfRule type="cellIs" dxfId="100" priority="1" operator="greaterThan">
      <formula>0.4</formula>
    </cfRule>
  </conditionalFormatting>
  <conditionalFormatting sqref="O23:O43">
    <cfRule type="expression" dxfId="99" priority="5">
      <formula>IF($F$6="AUD",1,0)</formula>
    </cfRule>
    <cfRule type="expression" dxfId="98" priority="4">
      <formula>IF($F$6="CAD",1,0)</formula>
    </cfRule>
    <cfRule type="expression" dxfId="97" priority="3">
      <formula>IF($C23=1,1,0)</formula>
    </cfRule>
    <cfRule type="expression" dxfId="96" priority="2">
      <formula>IF($C23=-1,1,0)</formula>
    </cfRule>
    <cfRule type="expression" dxfId="95" priority="8">
      <formula>IF($F$6="USD",1,0)</formula>
    </cfRule>
    <cfRule type="expression" dxfId="94" priority="7">
      <formula>IF($F$6="GBP",1,0)</formula>
    </cfRule>
    <cfRule type="expression" dxfId="93" priority="6">
      <formula>IF($F$6="EUR",1,0)</formula>
    </cfRule>
  </conditionalFormatting>
  <conditionalFormatting sqref="P23:P31 R23:S31 L23:N43 P32:S43">
    <cfRule type="expression" dxfId="92" priority="47">
      <formula>IF($C23=1,1,0)</formula>
    </cfRule>
  </conditionalFormatting>
  <conditionalFormatting sqref="Q23">
    <cfRule type="expression" dxfId="91" priority="74">
      <formula>IF($C26=-1,1,0)</formula>
    </cfRule>
    <cfRule type="expression" dxfId="90" priority="75">
      <formula>IF($C26=1,1,0)</formula>
    </cfRule>
  </conditionalFormatting>
  <conditionalFormatting sqref="Q24">
    <cfRule type="expression" dxfId="89" priority="79">
      <formula>IF($C23=-1,1,0)</formula>
    </cfRule>
    <cfRule type="expression" dxfId="88" priority="80">
      <formula>IF($C23=1,1,0)</formula>
    </cfRule>
  </conditionalFormatting>
  <conditionalFormatting sqref="Q25:Q26">
    <cfRule type="expression" dxfId="87" priority="87">
      <formula>IF($C27=-1,1,0)</formula>
    </cfRule>
    <cfRule type="expression" dxfId="86" priority="88">
      <formula>IF($C27=1,1,0)</formula>
    </cfRule>
  </conditionalFormatting>
  <conditionalFormatting sqref="Q27">
    <cfRule type="expression" dxfId="85" priority="70">
      <formula>IF($C24=-1,1,0)</formula>
    </cfRule>
    <cfRule type="expression" dxfId="84" priority="71">
      <formula>IF($C24=1,1,0)</formula>
    </cfRule>
    <cfRule type="expression" dxfId="83" priority="91">
      <formula>IF($C31=-1,1,0)</formula>
    </cfRule>
    <cfRule type="expression" dxfId="82" priority="92">
      <formula>IF($C31=1,1,0)</formula>
    </cfRule>
  </conditionalFormatting>
  <conditionalFormatting sqref="Q28">
    <cfRule type="expression" dxfId="81" priority="96">
      <formula>IF($C29=1,1,0)</formula>
    </cfRule>
    <cfRule type="expression" dxfId="80" priority="95">
      <formula>IF($C29=-1,1,0)</formula>
    </cfRule>
  </conditionalFormatting>
  <conditionalFormatting sqref="Q29">
    <cfRule type="expression" dxfId="79" priority="84">
      <formula>IF($C25=1,1,0)</formula>
    </cfRule>
    <cfRule type="expression" dxfId="78" priority="83">
      <formula>IF($C25=-1,1,0)</formula>
    </cfRule>
  </conditionalFormatting>
  <conditionalFormatting sqref="T23:T43">
    <cfRule type="expression" dxfId="77" priority="11">
      <formula>IF(OR(E23=0,ISNUMBER(S23)),1,0)</formula>
    </cfRule>
  </conditionalFormatting>
  <dataValidations count="14">
    <dataValidation type="list" allowBlank="1" showInputMessage="1" showErrorMessage="1" sqref="F5" xr:uid="{4E0BC796-CD20-46D1-85C2-0670B4B53912}">
      <formula1>"Yes, No"</formula1>
    </dataValidation>
    <dataValidation type="list" allowBlank="1" showInputMessage="1" showErrorMessage="1" sqref="F6" xr:uid="{36436F12-8D9B-47CF-BAAA-C15664883D4A}">
      <formula1>currency</formula1>
    </dataValidation>
    <dataValidation type="list" allowBlank="1" showInputMessage="1" showErrorMessage="1" sqref="F7" xr:uid="{F0D7C5D7-1B65-4AE9-9F8E-E24E987503DF}">
      <formula1>"Hours,Days"</formula1>
    </dataValidation>
    <dataValidation type="list" allowBlank="1" showInputMessage="1" showErrorMessage="1" sqref="F3" xr:uid="{7B585C04-CD96-4169-A8CB-AAEF85611CC2}">
      <formula1>"T&amp;M,Fixed Price"</formula1>
    </dataValidation>
    <dataValidation type="list" allowBlank="1" showInputMessage="1" showErrorMessage="1" sqref="F23:F43" xr:uid="{00F3A994-B6E5-40C6-A39D-AE9DDEA2DD1B}">
      <formula1>countries</formula1>
    </dataValidation>
    <dataValidation type="list" allowBlank="1" showInputMessage="1" showErrorMessage="1" sqref="E23:E43" xr:uid="{CB484FF5-6FC6-430B-A034-BD23F8C3058A}">
      <formula1>practices</formula1>
    </dataValidation>
    <dataValidation type="decimal" allowBlank="1" showInputMessage="1" showErrorMessage="1" errorTitle="Contingency for Fixed Price Proj" error="Enter min. 5% contingency " sqref="I18" xr:uid="{D93A0DFD-FAC2-47EE-AAB1-721DC412D5A9}">
      <formula1>0.05</formula1>
      <formula2>100</formula2>
    </dataValidation>
    <dataValidation allowBlank="1" showInputMessage="1" showErrorMessage="1" errorTitle="Contingency for Fixed Price Proj" error="Enter min. 5% contingency " sqref="I19" xr:uid="{F01B55A2-CD53-4540-AF43-73266633C16E}"/>
    <dataValidation type="list" allowBlank="1" showInputMessage="1" showErrorMessage="1" sqref="J23:J43" xr:uid="{D8923C79-B7B1-4994-BC5C-AA199B8241DA}">
      <formula1>"List Price, Custom margin/Price"</formula1>
    </dataValidation>
    <dataValidation type="list" allowBlank="1" showInputMessage="1" showErrorMessage="1" sqref="E51:E72" xr:uid="{15EC9293-A155-4D0B-A336-16F973FC1998}">
      <formula1>"Internal,External"</formula1>
    </dataValidation>
    <dataValidation type="list" allowBlank="1" showInputMessage="1" showErrorMessage="1" sqref="V10" xr:uid="{3FCEACA1-AACC-4726-BB51-13F86BB0BEA3}">
      <formula1>roles</formula1>
    </dataValidation>
    <dataValidation type="list" allowBlank="1" showInputMessage="1" showErrorMessage="1" sqref="G23:G43" xr:uid="{F94FAE8E-8DF4-4F8B-A661-ACC9E740C75E}">
      <formula1>CHOOSE(MATCH(E23,practices,0),roles_1,roles_2,roles_3,roles_4,roles_5,roles_6,roles_7,roles_8,roles_9)</formula1>
    </dataValidation>
    <dataValidation type="list" allowBlank="1" showInputMessage="1" showErrorMessage="1" sqref="F9" xr:uid="{7CC3BBBE-05F2-44AB-ADF5-B59A7204918A}">
      <formula1>"None,Master,Sub-agent"</formula1>
    </dataValidation>
    <dataValidation type="list" allowBlank="1" showInputMessage="1" showErrorMessage="1" sqref="F8" xr:uid="{291BAF32-D7D4-4C96-857D-75C7F93AD83A}">
      <formula1>"No"</formula1>
    </dataValidation>
  </dataValidations>
  <hyperlinks>
    <hyperlink ref="H4" location="Calculator!E51" tooltip="Enter Details" display="Calculator!E51" xr:uid="{25377917-B395-40DC-A774-4B938E2F998D}"/>
  </hyperlinks>
  <pageMargins left="0.7" right="0.7" top="0.75" bottom="0.75" header="0.3" footer="0.3"/>
  <pageSetup orientation="portrait" r:id="rId1"/>
  <ignoredErrors>
    <ignoredError sqref="D23" calculatedColumn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Button 9">
              <controlPr defaultSize="0" print="0" autoFill="0" autoPict="0" macro="[0]!Button9_Click">
                <anchor moveWithCells="1" sizeWithCells="1">
                  <from>
                    <xdr:col>6</xdr:col>
                    <xdr:colOff>1247775</xdr:colOff>
                    <xdr:row>0</xdr:row>
                    <xdr:rowOff>66675</xdr:rowOff>
                  </from>
                  <to>
                    <xdr:col>8</xdr:col>
                    <xdr:colOff>409575</xdr:colOff>
                    <xdr:row>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5" name="Button 22">
              <controlPr defaultSize="0" print="0" autoFill="0" autoPict="0" macro="[0]!Add_rows">
                <anchor moveWithCells="1" sizeWithCells="1">
                  <from>
                    <xdr:col>3</xdr:col>
                    <xdr:colOff>66675</xdr:colOff>
                    <xdr:row>44</xdr:row>
                    <xdr:rowOff>66675</xdr:rowOff>
                  </from>
                  <to>
                    <xdr:col>4</xdr:col>
                    <xdr:colOff>1247775</xdr:colOff>
                    <xdr:row>46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2"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86CE90-BE82-494A-BD63-B56B6E61AA83}">
          <x14:formula1>
            <xm:f>Reference!$E$4:$E$16</xm:f>
          </x14:formula1>
          <xm:sqref>F4</xm:sqref>
        </x14:dataValidation>
        <x14:dataValidation type="list" allowBlank="1" showInputMessage="1" showErrorMessage="1" xr:uid="{D90AC010-F9DB-4D78-A802-4E1E554A8C2F}">
          <x14:formula1>
            <xm:f>OFFSET(Reference!$W$3,MATCH(G23,role_rng,0)-1,1,COUNTIF(role_rng,G23),1)</xm:f>
          </x14:formula1>
          <xm:sqref>V23:V43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9BA3-F260-445F-970B-C9526B532766}">
  <sheetPr codeName="Sheet4"/>
  <dimension ref="A3:P54"/>
  <sheetViews>
    <sheetView topLeftCell="A38" zoomScale="96" workbookViewId="0">
      <selection activeCell="B42" sqref="B42"/>
    </sheetView>
  </sheetViews>
  <sheetFormatPr defaultColWidth="8.85546875" defaultRowHeight="12.75"/>
  <cols>
    <col min="1" max="1" width="63.28515625" style="430" customWidth="1"/>
    <col min="2" max="2" width="10" style="430" customWidth="1"/>
    <col min="3" max="3" width="11.28515625" style="430" customWidth="1"/>
    <col min="4" max="4" width="11.42578125" style="430" customWidth="1"/>
    <col min="5" max="7" width="10.42578125" style="430" customWidth="1"/>
    <col min="8" max="15" width="8.85546875" style="430"/>
    <col min="16" max="16" width="8.28515625" style="430" customWidth="1"/>
    <col min="17" max="16384" width="8.85546875" style="430"/>
  </cols>
  <sheetData>
    <row r="3" spans="1:14">
      <c r="A3" s="426"/>
      <c r="B3" s="427"/>
      <c r="C3" s="428" t="s">
        <v>378</v>
      </c>
      <c r="D3" s="428" t="s">
        <v>379</v>
      </c>
      <c r="E3" s="428" t="s">
        <v>380</v>
      </c>
      <c r="F3" s="428" t="s">
        <v>381</v>
      </c>
      <c r="G3" s="428" t="s">
        <v>382</v>
      </c>
      <c r="H3" s="428" t="s">
        <v>383</v>
      </c>
      <c r="I3" s="428" t="s">
        <v>384</v>
      </c>
      <c r="J3" s="428" t="s">
        <v>385</v>
      </c>
      <c r="K3" s="428" t="s">
        <v>386</v>
      </c>
      <c r="L3" s="428" t="s">
        <v>387</v>
      </c>
      <c r="M3" s="428" t="s">
        <v>388</v>
      </c>
      <c r="N3" s="429"/>
    </row>
    <row r="4" spans="1:14" ht="18" customHeight="1" thickBot="1">
      <c r="A4" s="431" t="s">
        <v>389</v>
      </c>
      <c r="B4" s="432"/>
      <c r="C4" s="433"/>
      <c r="D4" s="434"/>
      <c r="E4" s="434"/>
      <c r="F4" s="434"/>
      <c r="G4" s="434"/>
      <c r="H4" s="434"/>
      <c r="I4" s="434"/>
      <c r="J4" s="434"/>
      <c r="K4" s="434"/>
      <c r="L4" s="434"/>
      <c r="M4" s="434"/>
      <c r="N4" s="434"/>
    </row>
    <row r="5" spans="1:14" ht="13.5" thickBot="1">
      <c r="A5" s="435" t="s">
        <v>390</v>
      </c>
      <c r="B5" s="436"/>
      <c r="C5" s="437"/>
      <c r="D5" s="438"/>
      <c r="E5" s="438"/>
      <c r="F5" s="438"/>
      <c r="G5" s="445"/>
      <c r="H5" s="445"/>
      <c r="I5" s="445"/>
      <c r="J5" s="445"/>
      <c r="K5" s="445"/>
      <c r="L5" s="445"/>
      <c r="M5" s="445"/>
      <c r="N5" s="439"/>
    </row>
    <row r="6" spans="1:14" ht="13.5" thickBot="1">
      <c r="A6" s="435" t="s">
        <v>391</v>
      </c>
      <c r="B6" s="436"/>
      <c r="C6" s="437"/>
      <c r="D6" s="438"/>
      <c r="E6" s="438"/>
      <c r="F6" s="438"/>
      <c r="G6" s="445"/>
      <c r="H6" s="445"/>
      <c r="I6" s="445"/>
      <c r="J6" s="445"/>
      <c r="K6" s="445"/>
      <c r="L6" s="445"/>
      <c r="M6" s="445"/>
      <c r="N6" s="439"/>
    </row>
    <row r="7" spans="1:14" ht="13.5" thickBot="1">
      <c r="A7" s="435" t="s">
        <v>392</v>
      </c>
      <c r="B7" s="436"/>
      <c r="C7" s="437"/>
      <c r="D7" s="438"/>
      <c r="E7" s="438"/>
      <c r="F7" s="438"/>
      <c r="G7" s="445"/>
      <c r="H7" s="445"/>
      <c r="I7" s="445"/>
      <c r="J7" s="445"/>
      <c r="K7" s="445"/>
      <c r="L7" s="445"/>
      <c r="M7" s="445"/>
      <c r="N7" s="439"/>
    </row>
    <row r="8" spans="1:14" ht="13.5" thickBot="1">
      <c r="A8" s="435" t="s">
        <v>393</v>
      </c>
      <c r="B8" s="436"/>
      <c r="C8" s="437"/>
      <c r="D8" s="438"/>
      <c r="E8" s="438"/>
      <c r="F8" s="438"/>
      <c r="G8" s="445"/>
      <c r="H8" s="445"/>
      <c r="I8" s="445"/>
      <c r="J8" s="445"/>
      <c r="K8" s="445"/>
      <c r="L8" s="445"/>
      <c r="M8" s="445"/>
      <c r="N8" s="439"/>
    </row>
    <row r="9" spans="1:14" ht="13.5" thickBot="1">
      <c r="A9" s="435" t="s">
        <v>394</v>
      </c>
      <c r="B9" s="436"/>
      <c r="C9" s="437"/>
      <c r="D9" s="438"/>
      <c r="E9" s="438"/>
      <c r="F9" s="438"/>
      <c r="G9" s="445"/>
      <c r="H9" s="445"/>
      <c r="I9" s="445"/>
      <c r="J9" s="445"/>
      <c r="K9" s="445"/>
      <c r="L9" s="445"/>
      <c r="M9" s="445"/>
      <c r="N9" s="439"/>
    </row>
    <row r="10" spans="1:14" ht="13.5" thickBot="1">
      <c r="A10" s="431" t="s">
        <v>395</v>
      </c>
      <c r="B10" s="432"/>
      <c r="C10" s="432"/>
      <c r="D10" s="432"/>
      <c r="E10" s="432"/>
      <c r="F10" s="432"/>
      <c r="G10" s="432"/>
      <c r="H10" s="432"/>
      <c r="I10" s="432"/>
      <c r="J10" s="432"/>
      <c r="K10" s="432"/>
      <c r="L10" s="432"/>
      <c r="M10" s="432"/>
      <c r="N10" s="432"/>
    </row>
    <row r="11" spans="1:14" ht="13.5" thickBot="1">
      <c r="A11" s="435" t="s">
        <v>396</v>
      </c>
      <c r="B11" s="436"/>
      <c r="C11" s="437"/>
      <c r="D11" s="437"/>
      <c r="E11" s="437"/>
      <c r="F11" s="437"/>
      <c r="G11" s="571"/>
      <c r="H11" s="445"/>
      <c r="I11" s="445"/>
      <c r="J11" s="445"/>
      <c r="K11" s="445"/>
      <c r="L11" s="445"/>
      <c r="M11" s="445"/>
      <c r="N11" s="445"/>
    </row>
    <row r="12" spans="1:14" ht="13.5" thickBot="1">
      <c r="A12" s="435" t="s">
        <v>397</v>
      </c>
      <c r="B12" s="436"/>
      <c r="C12" s="437"/>
      <c r="D12" s="437"/>
      <c r="E12" s="437"/>
      <c r="F12" s="437"/>
      <c r="G12" s="571"/>
      <c r="H12" s="445"/>
      <c r="I12" s="445"/>
      <c r="J12" s="445"/>
      <c r="K12" s="445"/>
      <c r="L12" s="445"/>
      <c r="M12" s="445"/>
      <c r="N12" s="445"/>
    </row>
    <row r="13" spans="1:14">
      <c r="A13" s="440" t="s">
        <v>398</v>
      </c>
      <c r="B13" s="567"/>
      <c r="C13" s="437"/>
      <c r="D13" s="437"/>
      <c r="E13" s="437"/>
      <c r="F13" s="437"/>
      <c r="G13" s="571"/>
      <c r="H13" s="445"/>
      <c r="I13" s="445"/>
      <c r="J13" s="445"/>
      <c r="K13" s="445"/>
      <c r="L13" s="445"/>
      <c r="M13" s="445"/>
      <c r="N13" s="445"/>
    </row>
    <row r="14" spans="1:14">
      <c r="A14" s="440" t="s">
        <v>399</v>
      </c>
      <c r="B14" s="567"/>
      <c r="C14" s="437"/>
      <c r="D14" s="437"/>
      <c r="E14" s="437"/>
      <c r="F14" s="437"/>
      <c r="G14" s="571"/>
      <c r="H14" s="445"/>
      <c r="I14" s="445"/>
      <c r="J14" s="445"/>
      <c r="K14" s="445"/>
      <c r="L14" s="445"/>
      <c r="M14" s="445"/>
      <c r="N14" s="445"/>
    </row>
    <row r="15" spans="1:14" ht="13.5" thickBot="1">
      <c r="A15" s="431" t="s">
        <v>400</v>
      </c>
      <c r="B15" s="433"/>
      <c r="C15" s="434"/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4"/>
    </row>
    <row r="16" spans="1:14" ht="13.5" thickBot="1">
      <c r="A16" s="435" t="s">
        <v>401</v>
      </c>
      <c r="B16" s="436"/>
      <c r="C16" s="568"/>
      <c r="D16" s="568"/>
      <c r="E16" s="438"/>
      <c r="F16" s="438"/>
      <c r="G16" s="438"/>
      <c r="H16" s="438"/>
      <c r="I16" s="438"/>
      <c r="J16" s="438"/>
      <c r="K16" s="438"/>
      <c r="L16" s="438"/>
      <c r="M16" s="438"/>
      <c r="N16" s="438"/>
    </row>
    <row r="17" spans="1:14" ht="13.5" thickBot="1">
      <c r="A17" s="435" t="s">
        <v>402</v>
      </c>
      <c r="B17" s="436"/>
      <c r="C17" s="568"/>
      <c r="D17" s="568"/>
      <c r="E17" s="438"/>
      <c r="F17" s="438"/>
      <c r="G17" s="438"/>
      <c r="H17" s="438"/>
      <c r="I17" s="438"/>
      <c r="J17" s="438"/>
      <c r="K17" s="438"/>
      <c r="L17" s="438"/>
      <c r="M17" s="438"/>
      <c r="N17" s="438"/>
    </row>
    <row r="18" spans="1:14" ht="13.5" thickBot="1">
      <c r="A18" s="435" t="s">
        <v>403</v>
      </c>
      <c r="B18" s="436"/>
      <c r="C18" s="436"/>
      <c r="D18" s="436"/>
      <c r="E18" s="568"/>
      <c r="F18" s="568"/>
      <c r="G18" s="568"/>
      <c r="H18" s="438"/>
      <c r="I18" s="438"/>
      <c r="J18" s="438"/>
      <c r="K18" s="438"/>
      <c r="L18" s="438"/>
      <c r="M18" s="438"/>
      <c r="N18" s="438"/>
    </row>
    <row r="19" spans="1:14" ht="13.5" thickBot="1">
      <c r="A19" s="435" t="s">
        <v>399</v>
      </c>
      <c r="B19" s="436"/>
      <c r="C19" s="436"/>
      <c r="D19" s="436"/>
      <c r="E19" s="568"/>
      <c r="F19" s="568"/>
      <c r="G19" s="568"/>
      <c r="H19" s="438"/>
      <c r="I19" s="438"/>
      <c r="J19" s="438"/>
      <c r="K19" s="438"/>
      <c r="L19" s="438"/>
      <c r="M19" s="438"/>
      <c r="N19" s="438"/>
    </row>
    <row r="20" spans="1:14" ht="13.5" thickBot="1">
      <c r="A20" s="431" t="s">
        <v>404</v>
      </c>
      <c r="B20" s="433"/>
      <c r="C20" s="434"/>
      <c r="D20" s="434"/>
      <c r="E20" s="434"/>
      <c r="F20" s="434"/>
      <c r="G20" s="434"/>
      <c r="H20" s="434"/>
      <c r="I20" s="434"/>
      <c r="J20" s="434"/>
      <c r="K20" s="434"/>
      <c r="L20" s="434"/>
      <c r="M20" s="434"/>
      <c r="N20" s="434"/>
    </row>
    <row r="21" spans="1:14" ht="13.5" thickBot="1">
      <c r="A21" s="435" t="s">
        <v>405</v>
      </c>
      <c r="B21" s="438"/>
      <c r="C21" s="438"/>
      <c r="D21" s="438"/>
      <c r="E21" s="438"/>
      <c r="F21" s="438"/>
      <c r="G21" s="441"/>
      <c r="H21" s="570"/>
      <c r="I21" s="570"/>
      <c r="J21" s="445"/>
      <c r="K21" s="445"/>
      <c r="L21" s="445"/>
      <c r="M21" s="445"/>
      <c r="N21" s="445"/>
    </row>
    <row r="22" spans="1:14" ht="13.5" thickBot="1">
      <c r="A22" s="435" t="s">
        <v>406</v>
      </c>
      <c r="B22" s="438"/>
      <c r="C22" s="438"/>
      <c r="D22" s="438"/>
      <c r="E22" s="438"/>
      <c r="F22" s="438"/>
      <c r="G22" s="441"/>
      <c r="H22" s="570"/>
      <c r="I22" s="570"/>
      <c r="J22" s="445"/>
      <c r="K22" s="445"/>
      <c r="L22" s="445"/>
      <c r="M22" s="445"/>
      <c r="N22" s="445"/>
    </row>
    <row r="23" spans="1:14">
      <c r="A23" s="440" t="s">
        <v>407</v>
      </c>
      <c r="B23" s="438"/>
      <c r="C23" s="438"/>
      <c r="D23" s="438"/>
      <c r="E23" s="438"/>
      <c r="F23" s="438"/>
      <c r="G23" s="441"/>
      <c r="H23" s="570"/>
      <c r="I23" s="570"/>
      <c r="J23" s="445"/>
      <c r="K23" s="445"/>
      <c r="L23" s="445"/>
      <c r="M23" s="445"/>
      <c r="N23" s="445"/>
    </row>
    <row r="24" spans="1:14" ht="13.5" thickBot="1">
      <c r="A24" s="431" t="s">
        <v>408</v>
      </c>
      <c r="B24" s="433"/>
      <c r="C24" s="434"/>
      <c r="D24" s="434"/>
      <c r="E24" s="434"/>
      <c r="F24" s="434"/>
      <c r="G24" s="434"/>
      <c r="H24" s="434"/>
      <c r="I24" s="434"/>
      <c r="J24" s="434"/>
      <c r="K24" s="434"/>
      <c r="L24" s="434"/>
      <c r="M24" s="434"/>
      <c r="N24" s="434"/>
    </row>
    <row r="25" spans="1:14" ht="13.5" thickBot="1">
      <c r="A25" s="435" t="s">
        <v>409</v>
      </c>
      <c r="B25" s="436"/>
      <c r="C25" s="441"/>
      <c r="D25" s="441"/>
      <c r="E25" s="441"/>
      <c r="F25" s="441"/>
      <c r="G25" s="441"/>
      <c r="H25" s="570"/>
      <c r="I25" s="570"/>
      <c r="J25" s="438"/>
      <c r="K25" s="438"/>
      <c r="L25" s="438"/>
      <c r="M25" s="438"/>
      <c r="N25" s="438"/>
    </row>
    <row r="26" spans="1:14" ht="13.5" thickBot="1">
      <c r="A26" s="435" t="s">
        <v>410</v>
      </c>
      <c r="B26" s="436"/>
      <c r="C26" s="441"/>
      <c r="D26" s="441"/>
      <c r="E26" s="441"/>
      <c r="F26" s="441"/>
      <c r="G26" s="441"/>
      <c r="H26" s="570"/>
      <c r="I26" s="570"/>
      <c r="J26" s="438"/>
      <c r="K26" s="438"/>
      <c r="L26" s="438"/>
      <c r="M26" s="438"/>
      <c r="N26" s="438"/>
    </row>
    <row r="27" spans="1:14" ht="13.5" thickBot="1">
      <c r="A27" s="431" t="s">
        <v>411</v>
      </c>
      <c r="B27" s="432"/>
      <c r="C27" s="433"/>
      <c r="D27" s="434"/>
      <c r="E27" s="434"/>
      <c r="F27" s="434"/>
      <c r="G27" s="434"/>
      <c r="H27" s="434"/>
      <c r="I27" s="434"/>
      <c r="J27" s="434"/>
      <c r="K27" s="434"/>
      <c r="L27" s="434"/>
      <c r="M27" s="434"/>
      <c r="N27" s="434"/>
    </row>
    <row r="28" spans="1:14" ht="13.5" thickBot="1">
      <c r="A28" s="435" t="s">
        <v>412</v>
      </c>
      <c r="B28" s="441"/>
      <c r="C28" s="441"/>
      <c r="D28" s="441"/>
      <c r="E28" s="441"/>
      <c r="F28" s="441"/>
      <c r="G28" s="441"/>
      <c r="H28" s="441"/>
      <c r="I28" s="441"/>
      <c r="J28" s="570"/>
      <c r="K28" s="570"/>
      <c r="L28" s="570"/>
      <c r="M28" s="570"/>
      <c r="N28" s="441"/>
    </row>
    <row r="29" spans="1:14" ht="13.5" thickBot="1">
      <c r="A29" s="435" t="s">
        <v>413</v>
      </c>
      <c r="B29" s="441"/>
      <c r="C29" s="441"/>
      <c r="D29" s="441"/>
      <c r="E29" s="441"/>
      <c r="F29" s="441"/>
      <c r="G29" s="441"/>
      <c r="H29" s="441"/>
      <c r="I29" s="441"/>
      <c r="J29" s="570"/>
      <c r="K29" s="570"/>
      <c r="L29" s="570"/>
      <c r="M29" s="570"/>
      <c r="N29" s="441"/>
    </row>
    <row r="30" spans="1:14" ht="13.5" thickBot="1">
      <c r="A30" s="435" t="s">
        <v>414</v>
      </c>
      <c r="B30" s="441"/>
      <c r="C30" s="441"/>
      <c r="D30" s="441"/>
      <c r="E30" s="441"/>
      <c r="F30" s="441"/>
      <c r="G30" s="441"/>
      <c r="H30" s="441"/>
      <c r="I30" s="441"/>
      <c r="J30" s="570"/>
      <c r="K30" s="570"/>
      <c r="L30" s="570"/>
      <c r="M30" s="570"/>
      <c r="N30" s="441"/>
    </row>
    <row r="31" spans="1:14" ht="13.5" thickBot="1">
      <c r="A31" s="435" t="s">
        <v>415</v>
      </c>
      <c r="B31" s="441"/>
      <c r="C31" s="441"/>
      <c r="D31" s="441"/>
      <c r="E31" s="441"/>
      <c r="F31" s="441"/>
      <c r="G31" s="441"/>
      <c r="H31" s="441"/>
      <c r="I31" s="441"/>
      <c r="J31" s="570"/>
      <c r="K31" s="570"/>
      <c r="L31" s="570"/>
      <c r="M31" s="570"/>
      <c r="N31" s="441"/>
    </row>
    <row r="32" spans="1:14" ht="13.5" thickBot="1">
      <c r="A32" s="435" t="s">
        <v>411</v>
      </c>
      <c r="B32" s="441"/>
      <c r="C32" s="441"/>
      <c r="D32" s="441"/>
      <c r="E32" s="441"/>
      <c r="F32" s="441"/>
      <c r="G32" s="441"/>
      <c r="H32" s="441"/>
      <c r="I32" s="441"/>
      <c r="J32" s="570"/>
      <c r="K32" s="570"/>
      <c r="L32" s="570"/>
      <c r="M32" s="570"/>
      <c r="N32" s="441"/>
    </row>
    <row r="33" spans="1:15" ht="13.5" thickBot="1">
      <c r="A33" s="442" t="s">
        <v>416</v>
      </c>
      <c r="B33" s="433"/>
      <c r="C33" s="433"/>
      <c r="D33" s="434"/>
      <c r="E33" s="434"/>
      <c r="F33" s="434"/>
      <c r="G33" s="434"/>
      <c r="H33" s="434"/>
      <c r="I33" s="434"/>
      <c r="J33" s="434"/>
      <c r="K33" s="434"/>
      <c r="L33" s="434"/>
      <c r="M33" s="434"/>
      <c r="N33" s="434"/>
    </row>
    <row r="34" spans="1:15" ht="13.5" thickBot="1">
      <c r="A34" s="435" t="s">
        <v>417</v>
      </c>
      <c r="B34" s="441"/>
      <c r="C34" s="441"/>
      <c r="D34" s="438"/>
      <c r="E34" s="438"/>
      <c r="F34" s="438"/>
      <c r="G34" s="438"/>
      <c r="H34" s="438"/>
      <c r="I34" s="438"/>
      <c r="J34" s="438"/>
      <c r="K34" s="438"/>
      <c r="L34" s="438"/>
      <c r="M34" s="570"/>
      <c r="N34" s="443"/>
    </row>
    <row r="35" spans="1:15" ht="13.5" thickBot="1">
      <c r="A35" s="435" t="s">
        <v>418</v>
      </c>
      <c r="B35" s="441"/>
      <c r="C35" s="441"/>
      <c r="D35" s="438"/>
      <c r="E35" s="438"/>
      <c r="F35" s="438"/>
      <c r="G35" s="438"/>
      <c r="H35" s="438"/>
      <c r="I35" s="438"/>
      <c r="J35" s="438"/>
      <c r="K35" s="438"/>
      <c r="L35" s="438"/>
      <c r="M35" s="570"/>
      <c r="N35" s="443"/>
    </row>
    <row r="36" spans="1:15" ht="13.5" thickBot="1">
      <c r="A36" s="435" t="s">
        <v>419</v>
      </c>
      <c r="B36" s="441"/>
      <c r="C36" s="441"/>
      <c r="D36" s="438"/>
      <c r="E36" s="438"/>
      <c r="F36" s="438"/>
      <c r="G36" s="438"/>
      <c r="H36" s="438"/>
      <c r="I36" s="438"/>
      <c r="J36" s="438"/>
      <c r="K36" s="438"/>
      <c r="L36" s="438"/>
      <c r="M36" s="570"/>
      <c r="N36" s="443"/>
    </row>
    <row r="37" spans="1:15" ht="13.5" thickBot="1">
      <c r="A37" s="435" t="s">
        <v>420</v>
      </c>
      <c r="B37" s="438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570"/>
      <c r="N37" s="438"/>
    </row>
    <row r="38" spans="1:15" ht="51">
      <c r="A38" s="444"/>
      <c r="B38" s="445"/>
      <c r="C38" s="569" t="s">
        <v>421</v>
      </c>
      <c r="D38" s="569" t="s">
        <v>422</v>
      </c>
      <c r="E38" s="569" t="s">
        <v>422</v>
      </c>
      <c r="F38" s="569" t="s">
        <v>422</v>
      </c>
      <c r="G38" s="569" t="s">
        <v>422</v>
      </c>
      <c r="H38" s="569" t="s">
        <v>423</v>
      </c>
      <c r="I38" s="569" t="s">
        <v>423</v>
      </c>
      <c r="J38" s="569" t="s">
        <v>424</v>
      </c>
      <c r="K38" s="569" t="s">
        <v>424</v>
      </c>
      <c r="L38" s="569" t="s">
        <v>425</v>
      </c>
      <c r="M38" s="569" t="s">
        <v>425</v>
      </c>
      <c r="N38" s="569"/>
    </row>
    <row r="39" spans="1:15">
      <c r="A39" s="446" t="s">
        <v>426</v>
      </c>
      <c r="B39" s="447" t="s">
        <v>427</v>
      </c>
      <c r="C39" s="448" t="s">
        <v>378</v>
      </c>
      <c r="D39" s="449" t="s">
        <v>379</v>
      </c>
      <c r="E39" s="449" t="s">
        <v>380</v>
      </c>
      <c r="F39" s="449" t="s">
        <v>381</v>
      </c>
      <c r="G39" s="449" t="s">
        <v>382</v>
      </c>
      <c r="H39" s="449" t="s">
        <v>383</v>
      </c>
      <c r="I39" s="449" t="s">
        <v>384</v>
      </c>
      <c r="J39" s="449" t="s">
        <v>385</v>
      </c>
      <c r="K39" s="449" t="s">
        <v>386</v>
      </c>
      <c r="L39" s="449" t="s">
        <v>387</v>
      </c>
      <c r="M39" s="449" t="s">
        <v>388</v>
      </c>
      <c r="N39" s="449" t="s">
        <v>428</v>
      </c>
    </row>
    <row r="40" spans="1:15">
      <c r="A40" s="444" t="s">
        <v>429</v>
      </c>
      <c r="B40" s="450">
        <v>1</v>
      </c>
      <c r="C40" s="451">
        <v>5</v>
      </c>
      <c r="D40" s="451">
        <v>5</v>
      </c>
      <c r="E40" s="451">
        <v>5</v>
      </c>
      <c r="F40" s="451">
        <v>5</v>
      </c>
      <c r="G40" s="451">
        <v>2.5</v>
      </c>
      <c r="H40" s="451">
        <v>2.5</v>
      </c>
      <c r="I40" s="451">
        <v>2.5</v>
      </c>
      <c r="J40" s="451">
        <v>2.5</v>
      </c>
      <c r="K40" s="451">
        <v>2.5</v>
      </c>
      <c r="L40" s="451">
        <v>2.5</v>
      </c>
      <c r="M40" s="451">
        <v>2.5</v>
      </c>
      <c r="N40" s="452">
        <f>SUM(C40:M40)</f>
        <v>37.5</v>
      </c>
      <c r="O40" s="453"/>
    </row>
    <row r="41" spans="1:15">
      <c r="A41" s="444" t="s">
        <v>430</v>
      </c>
      <c r="B41" s="450">
        <v>1</v>
      </c>
      <c r="C41" s="451">
        <v>5</v>
      </c>
      <c r="D41" s="451">
        <v>5</v>
      </c>
      <c r="E41" s="451">
        <v>5</v>
      </c>
      <c r="F41" s="451">
        <v>5</v>
      </c>
      <c r="G41" s="451">
        <v>5</v>
      </c>
      <c r="H41" s="451">
        <v>2.5</v>
      </c>
      <c r="I41" s="451">
        <v>2.5</v>
      </c>
      <c r="J41" s="451">
        <v>2.5</v>
      </c>
      <c r="K41" s="451">
        <v>2.5</v>
      </c>
      <c r="L41" s="451">
        <v>2.5</v>
      </c>
      <c r="M41" s="451">
        <v>2.5</v>
      </c>
      <c r="N41" s="452">
        <f t="shared" ref="N41:N46" si="0">SUM(C41:M41)</f>
        <v>40</v>
      </c>
      <c r="O41" s="453"/>
    </row>
    <row r="42" spans="1:15">
      <c r="A42" s="444" t="s">
        <v>431</v>
      </c>
      <c r="B42" s="450">
        <v>1</v>
      </c>
      <c r="C42" s="451">
        <v>2</v>
      </c>
      <c r="D42" s="451">
        <v>2</v>
      </c>
      <c r="E42" s="451">
        <v>2</v>
      </c>
      <c r="F42" s="451">
        <v>2</v>
      </c>
      <c r="G42" s="451">
        <v>2</v>
      </c>
      <c r="H42" s="451">
        <v>2</v>
      </c>
      <c r="I42" s="451">
        <v>2</v>
      </c>
      <c r="J42" s="451">
        <v>2</v>
      </c>
      <c r="K42" s="451">
        <v>2</v>
      </c>
      <c r="L42" s="451">
        <v>2</v>
      </c>
      <c r="M42" s="451">
        <v>2</v>
      </c>
      <c r="N42" s="452">
        <f t="shared" si="0"/>
        <v>22</v>
      </c>
      <c r="O42" s="453"/>
    </row>
    <row r="43" spans="1:15">
      <c r="A43" s="444" t="s">
        <v>432</v>
      </c>
      <c r="B43" s="450">
        <v>1</v>
      </c>
      <c r="C43" s="451">
        <v>2</v>
      </c>
      <c r="D43" s="451">
        <v>2</v>
      </c>
      <c r="E43" s="451">
        <v>2</v>
      </c>
      <c r="F43" s="451">
        <v>2</v>
      </c>
      <c r="G43" s="451">
        <v>2</v>
      </c>
      <c r="H43" s="451">
        <v>2</v>
      </c>
      <c r="I43" s="451">
        <v>2</v>
      </c>
      <c r="J43" s="451">
        <v>2</v>
      </c>
      <c r="K43" s="451">
        <v>2</v>
      </c>
      <c r="L43" s="451">
        <v>2</v>
      </c>
      <c r="M43" s="451">
        <v>2</v>
      </c>
      <c r="N43" s="452">
        <f t="shared" si="0"/>
        <v>22</v>
      </c>
      <c r="O43" s="453"/>
    </row>
    <row r="44" spans="1:15">
      <c r="A44" s="444" t="s">
        <v>433</v>
      </c>
      <c r="B44" s="450">
        <v>1</v>
      </c>
      <c r="C44" s="451">
        <v>2</v>
      </c>
      <c r="D44" s="451">
        <v>2</v>
      </c>
      <c r="E44" s="451">
        <v>2</v>
      </c>
      <c r="F44" s="451">
        <v>2</v>
      </c>
      <c r="G44" s="451">
        <v>2</v>
      </c>
      <c r="H44" s="451">
        <v>2</v>
      </c>
      <c r="I44" s="451">
        <v>2</v>
      </c>
      <c r="J44" s="451">
        <v>2</v>
      </c>
      <c r="K44" s="451">
        <v>2</v>
      </c>
      <c r="L44" s="451">
        <v>2</v>
      </c>
      <c r="M44" s="451">
        <v>2</v>
      </c>
      <c r="N44" s="452">
        <f t="shared" si="0"/>
        <v>22</v>
      </c>
      <c r="O44" s="453"/>
    </row>
    <row r="45" spans="1:15">
      <c r="A45" s="444" t="s">
        <v>434</v>
      </c>
      <c r="B45" s="450">
        <v>1</v>
      </c>
      <c r="C45" s="451">
        <v>5</v>
      </c>
      <c r="D45" s="451">
        <v>5</v>
      </c>
      <c r="E45" s="451">
        <v>2.5</v>
      </c>
      <c r="F45" s="451"/>
      <c r="G45" s="451"/>
      <c r="H45" s="451"/>
      <c r="I45" s="451"/>
      <c r="J45" s="451"/>
      <c r="K45" s="451"/>
      <c r="L45" s="451"/>
      <c r="M45" s="451"/>
      <c r="N45" s="452">
        <f t="shared" si="0"/>
        <v>12.5</v>
      </c>
      <c r="O45" s="453"/>
    </row>
    <row r="46" spans="1:15">
      <c r="A46" s="444" t="s">
        <v>435</v>
      </c>
      <c r="B46" s="450">
        <v>1</v>
      </c>
      <c r="C46" s="451"/>
      <c r="D46" s="451"/>
      <c r="E46" s="451"/>
      <c r="F46" s="451"/>
      <c r="G46" s="451"/>
      <c r="H46" s="451"/>
      <c r="I46" s="451"/>
      <c r="J46" s="451">
        <v>1</v>
      </c>
      <c r="K46" s="451">
        <v>1</v>
      </c>
      <c r="L46" s="451">
        <v>1</v>
      </c>
      <c r="M46" s="451">
        <v>1</v>
      </c>
      <c r="N46" s="452">
        <f t="shared" si="0"/>
        <v>4</v>
      </c>
      <c r="O46" s="453"/>
    </row>
    <row r="47" spans="1:15">
      <c r="A47" s="444"/>
      <c r="B47" s="439"/>
      <c r="C47" s="451"/>
      <c r="D47" s="451"/>
      <c r="E47" s="451"/>
      <c r="F47" s="451"/>
      <c r="G47" s="451"/>
      <c r="H47" s="451"/>
      <c r="I47" s="451"/>
      <c r="J47" s="451"/>
      <c r="K47" s="451"/>
      <c r="L47" s="451"/>
      <c r="M47" s="451"/>
      <c r="N47" s="452"/>
    </row>
    <row r="48" spans="1:15">
      <c r="A48" s="444"/>
      <c r="B48" s="439"/>
      <c r="C48" s="451"/>
      <c r="D48" s="451"/>
      <c r="E48" s="451"/>
      <c r="F48" s="451"/>
      <c r="G48" s="451"/>
      <c r="H48" s="451"/>
      <c r="I48" s="451"/>
      <c r="J48" s="451"/>
      <c r="K48" s="451"/>
      <c r="L48" s="451"/>
      <c r="M48" s="451"/>
      <c r="N48" s="451"/>
    </row>
    <row r="50" spans="1:16">
      <c r="P50" s="454"/>
    </row>
    <row r="51" spans="1:16">
      <c r="A51" s="455" t="s">
        <v>436</v>
      </c>
      <c r="C51" s="456"/>
      <c r="P51" s="454"/>
    </row>
    <row r="52" spans="1:16">
      <c r="C52" s="456"/>
    </row>
    <row r="53" spans="1:16">
      <c r="C53" s="456"/>
    </row>
    <row r="54" spans="1:16">
      <c r="C54" s="456"/>
    </row>
  </sheetData>
  <phoneticPr fontId="4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F7DB-8C1B-465B-9135-9BE2D0CE6C3B}">
  <sheetPr codeName="Sheet10"/>
  <dimension ref="A1:H12"/>
  <sheetViews>
    <sheetView workbookViewId="0">
      <selection activeCell="D5" sqref="D5:D11"/>
    </sheetView>
  </sheetViews>
  <sheetFormatPr defaultColWidth="11.42578125" defaultRowHeight="15"/>
  <cols>
    <col min="3" max="3" width="14.42578125" bestFit="1" customWidth="1"/>
    <col min="4" max="4" width="34" customWidth="1"/>
  </cols>
  <sheetData>
    <row r="1" spans="1:8">
      <c r="D1" t="s">
        <v>437</v>
      </c>
      <c r="E1" s="254">
        <f ca="1">Calculator!I11</f>
        <v>99691.784968283842</v>
      </c>
    </row>
    <row r="2" spans="1:8">
      <c r="A2" s="355"/>
    </row>
    <row r="3" spans="1:8" ht="15.75" thickBot="1"/>
    <row r="4" spans="1:8" ht="15.75" thickBot="1">
      <c r="B4" s="273" t="s">
        <v>438</v>
      </c>
      <c r="C4" s="274" t="s">
        <v>439</v>
      </c>
      <c r="D4" s="274" t="s">
        <v>440</v>
      </c>
      <c r="E4" s="274" t="str">
        <f>"Fee("&amp;Calculator!F6&amp;")"</f>
        <v>Fee(GBP)</v>
      </c>
      <c r="G4" s="275" t="s">
        <v>441</v>
      </c>
    </row>
    <row r="5" spans="1:8" ht="31.35" customHeight="1" thickBot="1">
      <c r="B5" s="397" t="s">
        <v>442</v>
      </c>
      <c r="C5" s="398" t="s">
        <v>443</v>
      </c>
      <c r="D5" s="398"/>
      <c r="E5" s="276">
        <f ca="1">$E$1*G5</f>
        <v>0</v>
      </c>
      <c r="G5" s="399">
        <v>0</v>
      </c>
    </row>
    <row r="6" spans="1:8" ht="31.35" customHeight="1" thickBot="1">
      <c r="B6" s="397" t="s">
        <v>444</v>
      </c>
      <c r="C6" s="398" t="s">
        <v>445</v>
      </c>
      <c r="D6" s="398"/>
      <c r="E6" s="276">
        <f t="shared" ref="E6:E11" ca="1" si="0">$E$1*G6</f>
        <v>49845.892484141921</v>
      </c>
      <c r="G6" s="399">
        <v>0.5</v>
      </c>
    </row>
    <row r="7" spans="1:8" ht="31.35" customHeight="1" thickBot="1">
      <c r="B7" s="397" t="s">
        <v>446</v>
      </c>
      <c r="C7" s="398" t="s">
        <v>395</v>
      </c>
      <c r="D7" s="398"/>
      <c r="E7" s="276">
        <f t="shared" ca="1" si="0"/>
        <v>0</v>
      </c>
      <c r="G7" s="399">
        <v>0</v>
      </c>
    </row>
    <row r="8" spans="1:8" ht="31.35" customHeight="1" thickBot="1">
      <c r="B8" s="397" t="s">
        <v>447</v>
      </c>
      <c r="C8" s="398" t="s">
        <v>448</v>
      </c>
      <c r="D8" s="398"/>
      <c r="E8" s="276">
        <f t="shared" ca="1" si="0"/>
        <v>0</v>
      </c>
      <c r="G8" s="399">
        <v>0</v>
      </c>
    </row>
    <row r="9" spans="1:8" ht="31.35" customHeight="1" thickBot="1">
      <c r="B9" s="397" t="s">
        <v>449</v>
      </c>
      <c r="C9" s="398" t="s">
        <v>404</v>
      </c>
      <c r="D9" s="398"/>
      <c r="E9" s="276">
        <f t="shared" ca="1" si="0"/>
        <v>0</v>
      </c>
      <c r="G9" s="399">
        <v>0</v>
      </c>
    </row>
    <row r="10" spans="1:8" ht="31.35" customHeight="1" thickBot="1">
      <c r="B10" s="397" t="s">
        <v>450</v>
      </c>
      <c r="C10" s="398" t="s">
        <v>408</v>
      </c>
      <c r="D10" s="398"/>
      <c r="E10" s="276">
        <f t="shared" ca="1" si="0"/>
        <v>0</v>
      </c>
      <c r="G10" s="399">
        <v>0</v>
      </c>
    </row>
    <row r="11" spans="1:8" ht="31.35" customHeight="1" thickBot="1">
      <c r="B11" s="397" t="s">
        <v>451</v>
      </c>
      <c r="C11" s="398" t="s">
        <v>452</v>
      </c>
      <c r="D11" s="398"/>
      <c r="E11" s="277">
        <f t="shared" ca="1" si="0"/>
        <v>49845.892484141921</v>
      </c>
      <c r="G11" s="399">
        <v>0.5</v>
      </c>
    </row>
    <row r="12" spans="1:8" ht="21.75" thickBot="1">
      <c r="B12" s="599" t="s">
        <v>428</v>
      </c>
      <c r="C12" s="600"/>
      <c r="D12" s="601"/>
      <c r="E12" s="278">
        <f ca="1">SUM(E5:E11)</f>
        <v>99691.784968283842</v>
      </c>
      <c r="G12" s="400">
        <f>SUM(G5:G11)</f>
        <v>1</v>
      </c>
      <c r="H12" s="401" t="str">
        <f>IF(AND(G12&gt;99.98%,G12&lt;=100.01%),"","There is an error in allocating total price. Please recheck the %s")</f>
        <v/>
      </c>
    </row>
  </sheetData>
  <mergeCells count="1">
    <mergeCell ref="B12:D12"/>
  </mergeCells>
  <conditionalFormatting sqref="E1">
    <cfRule type="expression" dxfId="76" priority="6">
      <formula>IF($F$6="CAD",1,0)</formula>
    </cfRule>
    <cfRule type="expression" dxfId="75" priority="7">
      <formula>IF($F$6="AUD",1,0)</formula>
    </cfRule>
    <cfRule type="expression" dxfId="74" priority="8">
      <formula>IF($F$6="EUR",1,0)</formula>
    </cfRule>
    <cfRule type="expression" dxfId="73" priority="9">
      <formula>IF($F$6="GBP",1,0)</formula>
    </cfRule>
    <cfRule type="expression" dxfId="72" priority="10">
      <formula>IF($F$6="USD",1,0)</formula>
    </cfRule>
  </conditionalFormatting>
  <conditionalFormatting sqref="E5:E12">
    <cfRule type="expression" dxfId="71" priority="1">
      <formula>IF($F$6="CAD",1,0)</formula>
    </cfRule>
    <cfRule type="expression" dxfId="70" priority="2">
      <formula>IF($F$6="AUD",1,0)</formula>
    </cfRule>
    <cfRule type="expression" dxfId="69" priority="3">
      <formula>IF($F$6="EUR",1,0)</formula>
    </cfRule>
    <cfRule type="expression" dxfId="68" priority="4">
      <formula>IF($F$6="GBP",1,0)</formula>
    </cfRule>
    <cfRule type="expression" dxfId="67" priority="5">
      <formula>IF($F$6="USD",1,0)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0B97-E08D-401B-8C4A-D2F3E3A9C9BB}">
  <sheetPr codeName="Sheet3"/>
  <dimension ref="B1:AQ115"/>
  <sheetViews>
    <sheetView showGridLines="0" zoomScale="70" zoomScaleNormal="70" workbookViewId="0">
      <selection activeCell="P16" sqref="P16"/>
    </sheetView>
  </sheetViews>
  <sheetFormatPr defaultColWidth="8.85546875" defaultRowHeight="15" outlineLevelCol="1"/>
  <cols>
    <col min="2" max="2" width="20.85546875" customWidth="1"/>
    <col min="3" max="3" width="8.85546875" customWidth="1"/>
    <col min="4" max="4" width="10" customWidth="1"/>
    <col min="5" max="5" width="10.85546875" customWidth="1"/>
    <col min="6" max="7" width="8.85546875" customWidth="1"/>
    <col min="8" max="8" width="11.140625" customWidth="1"/>
    <col min="17" max="17" width="20.140625" customWidth="1" outlineLevel="1"/>
    <col min="18" max="19" width="8.85546875" customWidth="1" outlineLevel="1"/>
    <col min="20" max="20" width="10.42578125" customWidth="1" outlineLevel="1"/>
    <col min="21" max="31" width="8.85546875" customWidth="1" outlineLevel="1"/>
  </cols>
  <sheetData>
    <row r="1" spans="2:43">
      <c r="C1" s="10" t="s">
        <v>453</v>
      </c>
      <c r="AQ1" t="s">
        <v>299</v>
      </c>
    </row>
    <row r="2" spans="2:43">
      <c r="C2" s="10"/>
    </row>
    <row r="3" spans="2:43">
      <c r="B3" s="14" t="s">
        <v>42</v>
      </c>
      <c r="C3" s="485" t="s">
        <v>101</v>
      </c>
    </row>
    <row r="4" spans="2:43" ht="15.75" thickBot="1"/>
    <row r="5" spans="2:43" ht="15.75" thickBot="1">
      <c r="B5" s="34" t="s">
        <v>97</v>
      </c>
      <c r="C5" s="33"/>
      <c r="E5" s="54" t="s">
        <v>454</v>
      </c>
      <c r="F5" s="53"/>
      <c r="G5" s="53"/>
      <c r="H5" s="53"/>
      <c r="Q5" s="34" t="s">
        <v>97</v>
      </c>
      <c r="R5" s="33"/>
      <c r="U5" s="66" t="s">
        <v>455</v>
      </c>
      <c r="V5" s="67"/>
    </row>
    <row r="6" spans="2:43" ht="15.75" thickBot="1"/>
    <row r="7" spans="2:43" ht="15.75" thickBot="1">
      <c r="B7" s="457" t="s">
        <v>456</v>
      </c>
      <c r="C7" s="458" t="s">
        <v>98</v>
      </c>
      <c r="D7" s="459" t="s">
        <v>105</v>
      </c>
      <c r="E7" s="459" t="s">
        <v>112</v>
      </c>
      <c r="F7" s="459" t="s">
        <v>120</v>
      </c>
      <c r="G7" s="459" t="s">
        <v>125</v>
      </c>
      <c r="H7" s="459" t="s">
        <v>131</v>
      </c>
      <c r="I7" s="459" t="s">
        <v>136</v>
      </c>
      <c r="J7" s="459" t="s">
        <v>140</v>
      </c>
      <c r="K7" s="459" t="s">
        <v>145</v>
      </c>
      <c r="L7" s="459" t="s">
        <v>149</v>
      </c>
      <c r="M7" s="459" t="s">
        <v>153</v>
      </c>
      <c r="N7" s="459" t="s">
        <v>156</v>
      </c>
      <c r="O7" s="460" t="s">
        <v>159</v>
      </c>
      <c r="P7" s="357"/>
      <c r="Q7" s="28" t="s">
        <v>301</v>
      </c>
      <c r="R7" s="29" t="s">
        <v>98</v>
      </c>
      <c r="S7" s="30" t="s">
        <v>105</v>
      </c>
      <c r="T7" s="30" t="s">
        <v>112</v>
      </c>
      <c r="U7" s="30" t="s">
        <v>120</v>
      </c>
      <c r="V7" s="30" t="s">
        <v>125</v>
      </c>
      <c r="W7" s="30" t="s">
        <v>131</v>
      </c>
      <c r="X7" s="30" t="s">
        <v>136</v>
      </c>
      <c r="Y7" s="30" t="s">
        <v>140</v>
      </c>
      <c r="Z7" s="30" t="s">
        <v>145</v>
      </c>
      <c r="AA7" s="30" t="s">
        <v>149</v>
      </c>
      <c r="AB7" s="30" t="s">
        <v>153</v>
      </c>
      <c r="AC7" s="30" t="s">
        <v>156</v>
      </c>
      <c r="AD7" s="80" t="s">
        <v>159</v>
      </c>
      <c r="AE7" s="406" t="s">
        <v>161</v>
      </c>
    </row>
    <row r="8" spans="2:43">
      <c r="B8" s="461" t="s">
        <v>99</v>
      </c>
      <c r="C8" s="362">
        <v>0</v>
      </c>
      <c r="D8" s="362">
        <v>103.33333333333334</v>
      </c>
      <c r="E8" s="362">
        <v>106.66666666666667</v>
      </c>
      <c r="F8" s="362">
        <v>110</v>
      </c>
      <c r="G8" s="362">
        <v>0</v>
      </c>
      <c r="H8" s="362">
        <v>0</v>
      </c>
      <c r="I8" s="362">
        <v>40</v>
      </c>
      <c r="J8" s="362">
        <v>0</v>
      </c>
      <c r="K8" s="362">
        <v>0</v>
      </c>
      <c r="L8" s="362">
        <v>0</v>
      </c>
      <c r="M8" s="362">
        <v>0</v>
      </c>
      <c r="N8" s="362">
        <v>0</v>
      </c>
      <c r="O8" s="362">
        <v>0</v>
      </c>
      <c r="P8" s="11">
        <f>I8*(1-X8)</f>
        <v>16</v>
      </c>
      <c r="Q8" s="3" t="s">
        <v>99</v>
      </c>
      <c r="R8" s="52">
        <v>0.4</v>
      </c>
      <c r="S8" s="52">
        <v>0.4</v>
      </c>
      <c r="T8" s="52">
        <v>0.4</v>
      </c>
      <c r="U8" s="52">
        <v>0.4</v>
      </c>
      <c r="V8" s="52">
        <v>0.4</v>
      </c>
      <c r="W8" s="52">
        <v>0.4</v>
      </c>
      <c r="X8" s="52">
        <v>0.6</v>
      </c>
      <c r="Y8" s="52">
        <v>0.6</v>
      </c>
      <c r="Z8" s="52">
        <v>0.4</v>
      </c>
      <c r="AA8" s="52">
        <v>0.4</v>
      </c>
      <c r="AB8" s="52">
        <v>0.4</v>
      </c>
      <c r="AC8" s="52">
        <v>0.4</v>
      </c>
      <c r="AD8" s="52">
        <v>0.4</v>
      </c>
      <c r="AE8" s="52">
        <v>0.6</v>
      </c>
    </row>
    <row r="9" spans="2:43">
      <c r="B9" s="462" t="s">
        <v>106</v>
      </c>
      <c r="C9" s="362">
        <v>190</v>
      </c>
      <c r="D9" s="362">
        <v>153.33333333333334</v>
      </c>
      <c r="E9" s="362">
        <v>150</v>
      </c>
      <c r="F9" s="362">
        <v>116.66666666666667</v>
      </c>
      <c r="G9" s="362">
        <v>143.33333333333334</v>
      </c>
      <c r="H9" s="362">
        <v>73</v>
      </c>
      <c r="I9" s="564">
        <v>50</v>
      </c>
      <c r="J9" s="362">
        <v>62.5</v>
      </c>
      <c r="K9" s="362">
        <v>0</v>
      </c>
      <c r="L9" s="362">
        <v>0</v>
      </c>
      <c r="M9" s="362">
        <v>155.59142857142859</v>
      </c>
      <c r="N9" s="362">
        <v>0</v>
      </c>
      <c r="O9" s="362">
        <v>0</v>
      </c>
      <c r="P9" s="11">
        <f t="shared" ref="P9:P17" si="0">I9*(1-X9)</f>
        <v>20</v>
      </c>
      <c r="Q9" s="5" t="s">
        <v>106</v>
      </c>
      <c r="R9" s="52">
        <v>0.4</v>
      </c>
      <c r="S9" s="52">
        <v>0.4</v>
      </c>
      <c r="T9" s="52">
        <v>0.4</v>
      </c>
      <c r="U9" s="52">
        <v>0.4</v>
      </c>
      <c r="V9" s="52">
        <v>0.4</v>
      </c>
      <c r="W9" s="52">
        <v>0.4</v>
      </c>
      <c r="X9" s="52">
        <v>0.6</v>
      </c>
      <c r="Y9" s="52">
        <v>0.6</v>
      </c>
      <c r="Z9" s="52">
        <v>0.4</v>
      </c>
      <c r="AA9" s="52">
        <v>0.4</v>
      </c>
      <c r="AB9" s="52">
        <v>0.4</v>
      </c>
      <c r="AC9" s="52">
        <v>0.4</v>
      </c>
      <c r="AD9" s="52">
        <v>0.4</v>
      </c>
      <c r="AE9" s="52">
        <v>0.6</v>
      </c>
    </row>
    <row r="10" spans="2:43">
      <c r="B10" s="462" t="s">
        <v>113</v>
      </c>
      <c r="C10" s="362">
        <v>220</v>
      </c>
      <c r="D10" s="362">
        <v>213.33333333333334</v>
      </c>
      <c r="E10" s="362">
        <v>173.33333333333334</v>
      </c>
      <c r="F10" s="362">
        <v>146.66666666666669</v>
      </c>
      <c r="G10" s="362">
        <v>188.33333333333334</v>
      </c>
      <c r="H10" s="362">
        <v>95</v>
      </c>
      <c r="I10" s="362">
        <v>80</v>
      </c>
      <c r="J10" s="362">
        <v>85</v>
      </c>
      <c r="K10" s="362">
        <v>168.33333333333334</v>
      </c>
      <c r="L10" s="362">
        <v>0</v>
      </c>
      <c r="M10" s="362">
        <v>0</v>
      </c>
      <c r="N10" s="362">
        <v>0</v>
      </c>
      <c r="O10" s="362">
        <v>0</v>
      </c>
      <c r="P10" s="11">
        <f t="shared" si="0"/>
        <v>32</v>
      </c>
      <c r="Q10" s="5" t="s">
        <v>113</v>
      </c>
      <c r="R10" s="52">
        <v>0.4</v>
      </c>
      <c r="S10" s="52">
        <v>0.4</v>
      </c>
      <c r="T10" s="52">
        <v>0.4</v>
      </c>
      <c r="U10" s="52">
        <v>0.4</v>
      </c>
      <c r="V10" s="52">
        <v>0.4</v>
      </c>
      <c r="W10" s="52">
        <v>0.4</v>
      </c>
      <c r="X10" s="52">
        <v>0.6</v>
      </c>
      <c r="Y10" s="52">
        <v>0.6</v>
      </c>
      <c r="Z10" s="52">
        <v>0.4</v>
      </c>
      <c r="AA10" s="52">
        <v>0.4</v>
      </c>
      <c r="AB10" s="52">
        <v>0.4</v>
      </c>
      <c r="AC10" s="52">
        <v>0.4</v>
      </c>
      <c r="AD10" s="52">
        <v>0.4</v>
      </c>
      <c r="AE10" s="52">
        <v>0.6</v>
      </c>
    </row>
    <row r="11" spans="2:43">
      <c r="B11" s="462" t="s">
        <v>91</v>
      </c>
      <c r="C11" s="362">
        <v>290</v>
      </c>
      <c r="D11" s="362">
        <v>250</v>
      </c>
      <c r="E11" s="362">
        <v>223</v>
      </c>
      <c r="F11" s="362">
        <v>173.06666666666666</v>
      </c>
      <c r="G11" s="362">
        <v>225</v>
      </c>
      <c r="H11" s="362">
        <v>156.66666666666669</v>
      </c>
      <c r="I11" s="362">
        <v>100</v>
      </c>
      <c r="J11" s="362">
        <v>93.515571675675673</v>
      </c>
      <c r="K11" s="362">
        <v>185</v>
      </c>
      <c r="L11" s="362">
        <v>0</v>
      </c>
      <c r="M11" s="362"/>
      <c r="N11" s="362">
        <v>0</v>
      </c>
      <c r="O11" s="362">
        <v>0</v>
      </c>
      <c r="P11" s="11">
        <f t="shared" si="0"/>
        <v>40</v>
      </c>
      <c r="Q11" s="5" t="s">
        <v>91</v>
      </c>
      <c r="R11" s="52">
        <v>0.4</v>
      </c>
      <c r="S11" s="52">
        <v>0.4</v>
      </c>
      <c r="T11" s="52">
        <v>0.4</v>
      </c>
      <c r="U11" s="52">
        <v>0.4</v>
      </c>
      <c r="V11" s="52">
        <v>0.4</v>
      </c>
      <c r="W11" s="52">
        <v>0.4</v>
      </c>
      <c r="X11" s="52">
        <v>0.6</v>
      </c>
      <c r="Y11" s="52">
        <v>0.6</v>
      </c>
      <c r="Z11" s="52">
        <v>0.4</v>
      </c>
      <c r="AA11" s="52">
        <v>0.4</v>
      </c>
      <c r="AB11" s="52">
        <v>0.4</v>
      </c>
      <c r="AC11" s="52">
        <v>0.4</v>
      </c>
      <c r="AD11" s="52">
        <v>0.4</v>
      </c>
      <c r="AE11" s="52">
        <v>0.6</v>
      </c>
    </row>
    <row r="12" spans="2:43">
      <c r="B12" s="462" t="s">
        <v>126</v>
      </c>
      <c r="C12" s="362">
        <v>310</v>
      </c>
      <c r="D12" s="362">
        <v>260</v>
      </c>
      <c r="E12" s="362">
        <v>0</v>
      </c>
      <c r="F12" s="362">
        <v>0</v>
      </c>
      <c r="G12" s="362">
        <v>256.5</v>
      </c>
      <c r="H12" s="362">
        <v>167.4712643678161</v>
      </c>
      <c r="I12" s="362">
        <v>102.5</v>
      </c>
      <c r="J12" s="362">
        <v>0</v>
      </c>
      <c r="K12" s="362">
        <v>213.33333333333334</v>
      </c>
      <c r="L12" s="362">
        <v>0</v>
      </c>
      <c r="M12" s="362">
        <v>241.42857142857144</v>
      </c>
      <c r="N12" s="362">
        <v>0</v>
      </c>
      <c r="O12" s="362">
        <v>0</v>
      </c>
      <c r="P12" s="11">
        <f t="shared" si="0"/>
        <v>41</v>
      </c>
      <c r="Q12" s="5" t="s">
        <v>126</v>
      </c>
      <c r="R12" s="52">
        <v>0.4</v>
      </c>
      <c r="S12" s="52">
        <v>0.4</v>
      </c>
      <c r="T12" s="52">
        <v>0.4</v>
      </c>
      <c r="U12" s="52">
        <v>0.4</v>
      </c>
      <c r="V12" s="52">
        <v>0.4</v>
      </c>
      <c r="W12" s="52">
        <v>0.4</v>
      </c>
      <c r="X12" s="52">
        <v>0.6</v>
      </c>
      <c r="Y12" s="52">
        <v>0.6</v>
      </c>
      <c r="Z12" s="52">
        <v>0.4</v>
      </c>
      <c r="AA12" s="52">
        <v>0.4</v>
      </c>
      <c r="AB12" s="52">
        <v>0.4</v>
      </c>
      <c r="AC12" s="52">
        <v>0.4</v>
      </c>
      <c r="AD12" s="52">
        <v>0.4</v>
      </c>
      <c r="AE12" s="52">
        <v>0.6</v>
      </c>
    </row>
    <row r="13" spans="2:43">
      <c r="B13" s="462" t="s">
        <v>132</v>
      </c>
      <c r="C13" s="362"/>
      <c r="D13" s="362">
        <v>278.33333333333337</v>
      </c>
      <c r="E13" s="362">
        <v>0</v>
      </c>
      <c r="F13" s="362">
        <v>0</v>
      </c>
      <c r="G13" s="362">
        <v>408.33333333333337</v>
      </c>
      <c r="H13" s="362">
        <v>0</v>
      </c>
      <c r="I13" s="362">
        <v>0</v>
      </c>
      <c r="J13" s="362">
        <v>0</v>
      </c>
      <c r="K13" s="362">
        <v>288.33333333333337</v>
      </c>
      <c r="L13" s="362">
        <v>0</v>
      </c>
      <c r="M13" s="362">
        <v>0</v>
      </c>
      <c r="N13" s="362">
        <v>0</v>
      </c>
      <c r="O13" s="362">
        <v>0</v>
      </c>
      <c r="P13" s="11">
        <f t="shared" si="0"/>
        <v>0</v>
      </c>
      <c r="Q13" s="5" t="s">
        <v>132</v>
      </c>
      <c r="R13" s="52">
        <v>0.4</v>
      </c>
      <c r="S13" s="52">
        <v>0.4</v>
      </c>
      <c r="T13" s="52">
        <v>0.4</v>
      </c>
      <c r="U13" s="52">
        <v>0.4</v>
      </c>
      <c r="V13" s="52">
        <v>0.4</v>
      </c>
      <c r="W13" s="52">
        <v>0.4</v>
      </c>
      <c r="X13" s="52">
        <v>0.6</v>
      </c>
      <c r="Y13" s="52">
        <v>0.6</v>
      </c>
      <c r="Z13" s="52">
        <v>0.4</v>
      </c>
      <c r="AA13" s="52">
        <v>0.4</v>
      </c>
      <c r="AB13" s="52">
        <v>0.4</v>
      </c>
      <c r="AC13" s="52">
        <v>0.4</v>
      </c>
      <c r="AD13" s="52">
        <v>0.4</v>
      </c>
      <c r="AE13" s="52">
        <v>0.6</v>
      </c>
    </row>
    <row r="14" spans="2:43">
      <c r="B14" s="462" t="s">
        <v>137</v>
      </c>
      <c r="C14" s="362">
        <v>300</v>
      </c>
      <c r="D14" s="362">
        <v>265</v>
      </c>
      <c r="E14" s="362">
        <v>215.71428571428572</v>
      </c>
      <c r="F14" s="362">
        <v>0</v>
      </c>
      <c r="G14" s="362">
        <v>240</v>
      </c>
      <c r="H14" s="362">
        <v>0</v>
      </c>
      <c r="I14" s="362">
        <v>105</v>
      </c>
      <c r="J14" s="362">
        <v>116</v>
      </c>
      <c r="K14" s="362">
        <v>195</v>
      </c>
      <c r="L14" s="362">
        <v>0</v>
      </c>
      <c r="M14" s="362">
        <v>0</v>
      </c>
      <c r="N14" s="362">
        <v>0</v>
      </c>
      <c r="O14" s="362">
        <v>0</v>
      </c>
      <c r="P14" s="11">
        <f t="shared" si="0"/>
        <v>52.5</v>
      </c>
      <c r="Q14" s="5" t="s">
        <v>137</v>
      </c>
      <c r="R14" s="52">
        <v>0.3</v>
      </c>
      <c r="S14" s="52">
        <v>0.3</v>
      </c>
      <c r="T14" s="52">
        <v>0.3</v>
      </c>
      <c r="U14" s="52">
        <v>0.3</v>
      </c>
      <c r="V14" s="52">
        <v>0.3</v>
      </c>
      <c r="W14" s="52">
        <v>0.3</v>
      </c>
      <c r="X14" s="52">
        <v>0.5</v>
      </c>
      <c r="Y14" s="52">
        <v>0.5</v>
      </c>
      <c r="Z14" s="52">
        <v>0.3</v>
      </c>
      <c r="AA14" s="52">
        <v>0.3</v>
      </c>
      <c r="AB14" s="52">
        <v>0.3</v>
      </c>
      <c r="AC14" s="52">
        <v>0.3</v>
      </c>
      <c r="AD14" s="52">
        <v>0.3</v>
      </c>
      <c r="AE14" s="52">
        <v>0.5</v>
      </c>
    </row>
    <row r="15" spans="2:43">
      <c r="B15" s="462" t="s">
        <v>141</v>
      </c>
      <c r="C15" s="362">
        <v>350</v>
      </c>
      <c r="D15" s="362">
        <v>310</v>
      </c>
      <c r="E15" s="362">
        <v>0</v>
      </c>
      <c r="F15" s="362">
        <v>0</v>
      </c>
      <c r="G15" s="362">
        <v>260</v>
      </c>
      <c r="H15" s="362">
        <v>0</v>
      </c>
      <c r="I15" s="362">
        <v>110</v>
      </c>
      <c r="J15" s="362">
        <v>0</v>
      </c>
      <c r="K15" s="362">
        <v>0</v>
      </c>
      <c r="L15" s="362">
        <v>0</v>
      </c>
      <c r="M15" s="362">
        <v>0</v>
      </c>
      <c r="N15" s="362">
        <v>0</v>
      </c>
      <c r="O15" s="362">
        <v>0</v>
      </c>
      <c r="P15" s="11">
        <f t="shared" si="0"/>
        <v>55</v>
      </c>
      <c r="Q15" s="5" t="s">
        <v>141</v>
      </c>
      <c r="R15" s="52">
        <v>0.3</v>
      </c>
      <c r="S15" s="52">
        <v>0.3</v>
      </c>
      <c r="T15" s="52">
        <v>0.3</v>
      </c>
      <c r="U15" s="52">
        <v>0.3</v>
      </c>
      <c r="V15" s="52">
        <v>0.3</v>
      </c>
      <c r="W15" s="52">
        <v>0.3</v>
      </c>
      <c r="X15" s="52">
        <v>0.5</v>
      </c>
      <c r="Y15" s="52">
        <v>0.5</v>
      </c>
      <c r="Z15" s="52">
        <v>0.3</v>
      </c>
      <c r="AA15" s="52">
        <v>0.3</v>
      </c>
      <c r="AB15" s="52">
        <v>0.3</v>
      </c>
      <c r="AC15" s="52">
        <v>0.3</v>
      </c>
      <c r="AD15" s="52">
        <v>0.3</v>
      </c>
      <c r="AE15" s="52">
        <v>0.5</v>
      </c>
    </row>
    <row r="16" spans="2:43">
      <c r="B16" s="462" t="s">
        <v>146</v>
      </c>
      <c r="C16" s="362"/>
      <c r="D16" s="362">
        <v>228.69333333333336</v>
      </c>
      <c r="E16" s="362">
        <v>208</v>
      </c>
      <c r="F16" s="362">
        <v>0</v>
      </c>
      <c r="G16" s="362">
        <v>0</v>
      </c>
      <c r="H16" s="362">
        <v>95.676720720720738</v>
      </c>
      <c r="I16" s="362">
        <v>88</v>
      </c>
      <c r="J16" s="362">
        <v>101.99999999999999</v>
      </c>
      <c r="K16" s="362">
        <v>0</v>
      </c>
      <c r="L16" s="362">
        <v>0</v>
      </c>
      <c r="M16" s="362">
        <v>0</v>
      </c>
      <c r="N16" s="362">
        <v>0</v>
      </c>
      <c r="O16" s="362">
        <v>0</v>
      </c>
      <c r="P16" s="11">
        <f t="shared" si="0"/>
        <v>35.200000000000003</v>
      </c>
      <c r="Q16" s="5" t="s">
        <v>146</v>
      </c>
      <c r="R16" s="52">
        <v>0.4</v>
      </c>
      <c r="S16" s="52">
        <v>0.4</v>
      </c>
      <c r="T16" s="52">
        <v>0.4</v>
      </c>
      <c r="U16" s="52">
        <v>0.4</v>
      </c>
      <c r="V16" s="52">
        <v>0.4</v>
      </c>
      <c r="W16" s="52">
        <v>0.4</v>
      </c>
      <c r="X16" s="52">
        <v>0.6</v>
      </c>
      <c r="Y16" s="52">
        <v>0.6</v>
      </c>
      <c r="Z16" s="52">
        <v>0.4</v>
      </c>
      <c r="AA16" s="52">
        <v>0.4</v>
      </c>
      <c r="AB16" s="52">
        <v>0.4</v>
      </c>
      <c r="AC16" s="52">
        <v>0.4</v>
      </c>
      <c r="AD16" s="52">
        <v>0.4</v>
      </c>
      <c r="AE16" s="52">
        <v>0.6</v>
      </c>
    </row>
    <row r="17" spans="2:31" ht="15.75" thickBot="1">
      <c r="B17" s="463" t="s">
        <v>150</v>
      </c>
      <c r="C17" s="362">
        <v>301.00000000000006</v>
      </c>
      <c r="D17" s="362">
        <v>255</v>
      </c>
      <c r="E17" s="362">
        <v>221.66666666666669</v>
      </c>
      <c r="F17" s="362">
        <v>207.67999999999998</v>
      </c>
      <c r="G17" s="362">
        <v>231.66666666666669</v>
      </c>
      <c r="H17" s="362">
        <v>0</v>
      </c>
      <c r="I17" s="562">
        <v>101.00000000000001</v>
      </c>
      <c r="J17" s="362">
        <v>115</v>
      </c>
      <c r="K17" s="362">
        <v>195</v>
      </c>
      <c r="L17" s="362">
        <v>0</v>
      </c>
      <c r="M17" s="362"/>
      <c r="N17" s="362">
        <v>198.33333333333334</v>
      </c>
      <c r="O17" s="362">
        <v>0</v>
      </c>
      <c r="P17" s="11">
        <f t="shared" si="0"/>
        <v>40.400000000000006</v>
      </c>
      <c r="Q17" s="85" t="s">
        <v>150</v>
      </c>
      <c r="R17" s="52">
        <v>0.4</v>
      </c>
      <c r="S17" s="52">
        <v>0.4</v>
      </c>
      <c r="T17" s="52">
        <v>0.4</v>
      </c>
      <c r="U17" s="52">
        <v>0.4</v>
      </c>
      <c r="V17" s="52">
        <v>0.4</v>
      </c>
      <c r="W17" s="52">
        <v>0.4</v>
      </c>
      <c r="X17" s="52">
        <v>0.6</v>
      </c>
      <c r="Y17" s="52">
        <v>0.6</v>
      </c>
      <c r="Z17" s="52">
        <v>0.4</v>
      </c>
      <c r="AA17" s="52">
        <v>0.4</v>
      </c>
      <c r="AB17" s="52">
        <v>0.4</v>
      </c>
      <c r="AC17" s="52">
        <v>0.4</v>
      </c>
      <c r="AD17" s="52">
        <v>0.4</v>
      </c>
      <c r="AE17" s="52">
        <v>0.6</v>
      </c>
    </row>
    <row r="18" spans="2:31">
      <c r="B18" s="357"/>
      <c r="C18" s="357"/>
      <c r="D18" s="357"/>
      <c r="E18" s="357"/>
      <c r="F18" s="357"/>
      <c r="G18" s="357"/>
      <c r="H18" s="357"/>
      <c r="I18" s="357"/>
      <c r="J18" s="357"/>
      <c r="K18" s="464"/>
      <c r="L18" s="357"/>
      <c r="M18" s="357"/>
      <c r="N18" s="357"/>
      <c r="O18" s="357"/>
      <c r="P18" s="357"/>
      <c r="X18" s="240"/>
    </row>
    <row r="19" spans="2:31" ht="15.75" thickBot="1"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S19" s="7"/>
      <c r="T19" s="561"/>
      <c r="V19" s="63"/>
      <c r="X19" s="240"/>
    </row>
    <row r="20" spans="2:31" ht="15.75" thickBot="1">
      <c r="B20" s="465" t="s">
        <v>104</v>
      </c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S20" s="7"/>
      <c r="T20" s="561"/>
      <c r="V20" s="63"/>
      <c r="X20" s="561"/>
    </row>
    <row r="21" spans="2:31" ht="15.75" thickBot="1"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S21" s="7"/>
      <c r="T21" s="561"/>
      <c r="X21" s="563"/>
    </row>
    <row r="22" spans="2:31" ht="15.75" thickBot="1">
      <c r="B22" s="466" t="s">
        <v>457</v>
      </c>
      <c r="C22" s="466" t="s">
        <v>98</v>
      </c>
      <c r="D22" s="544" t="s">
        <v>105</v>
      </c>
      <c r="E22" s="544" t="s">
        <v>112</v>
      </c>
      <c r="F22" s="544" t="s">
        <v>120</v>
      </c>
      <c r="G22" s="544" t="s">
        <v>125</v>
      </c>
      <c r="H22" s="544" t="s">
        <v>131</v>
      </c>
      <c r="I22" s="544" t="s">
        <v>136</v>
      </c>
      <c r="J22" s="544" t="s">
        <v>140</v>
      </c>
      <c r="K22" s="544" t="s">
        <v>458</v>
      </c>
      <c r="L22" s="544" t="s">
        <v>149</v>
      </c>
      <c r="M22" s="545" t="s">
        <v>153</v>
      </c>
      <c r="N22" s="545" t="s">
        <v>156</v>
      </c>
      <c r="O22" s="546" t="s">
        <v>159</v>
      </c>
      <c r="P22" s="357"/>
      <c r="S22" s="7"/>
      <c r="T22" s="561"/>
      <c r="U22">
        <v>90</v>
      </c>
      <c r="X22" s="565">
        <f>I10*0.4</f>
        <v>32</v>
      </c>
    </row>
    <row r="23" spans="2:31">
      <c r="B23" s="461" t="s">
        <v>207</v>
      </c>
      <c r="C23" s="547">
        <v>147</v>
      </c>
      <c r="D23" s="547">
        <v>0</v>
      </c>
      <c r="E23" s="547">
        <v>0</v>
      </c>
      <c r="F23" s="547">
        <v>0</v>
      </c>
      <c r="G23" s="547">
        <v>0</v>
      </c>
      <c r="H23" s="547">
        <v>0</v>
      </c>
      <c r="I23" s="547">
        <v>31</v>
      </c>
      <c r="J23" s="547">
        <v>53</v>
      </c>
      <c r="K23" s="547">
        <v>0</v>
      </c>
      <c r="L23" s="547">
        <v>0</v>
      </c>
      <c r="M23" s="547">
        <v>0</v>
      </c>
      <c r="N23" s="547">
        <v>68</v>
      </c>
      <c r="O23" s="548">
        <v>29</v>
      </c>
      <c r="P23" s="357"/>
      <c r="Q23" s="7"/>
      <c r="R23" s="63"/>
      <c r="S23" s="7"/>
      <c r="T23" s="255">
        <v>2100000</v>
      </c>
      <c r="U23">
        <f>T23/U22</f>
        <v>23333.333333333332</v>
      </c>
      <c r="V23">
        <f>U23/1480</f>
        <v>15.765765765765765</v>
      </c>
      <c r="X23" s="63">
        <f>X22/0.7</f>
        <v>45.714285714285715</v>
      </c>
      <c r="Y23" s="63">
        <f>J8*(1-Y8)</f>
        <v>0</v>
      </c>
    </row>
    <row r="24" spans="2:31">
      <c r="B24" s="462" t="s">
        <v>106</v>
      </c>
      <c r="C24" s="549">
        <v>230</v>
      </c>
      <c r="D24" s="549">
        <v>0</v>
      </c>
      <c r="E24" s="549">
        <v>0</v>
      </c>
      <c r="F24" s="549">
        <v>0</v>
      </c>
      <c r="G24" s="549">
        <v>172</v>
      </c>
      <c r="H24" s="549">
        <v>0</v>
      </c>
      <c r="I24" s="549">
        <v>63</v>
      </c>
      <c r="J24" s="549">
        <v>75</v>
      </c>
      <c r="K24" s="549">
        <v>170</v>
      </c>
      <c r="L24" s="549">
        <v>0</v>
      </c>
      <c r="M24" s="549">
        <v>0</v>
      </c>
      <c r="N24" s="549">
        <v>106</v>
      </c>
      <c r="O24" s="550">
        <v>56</v>
      </c>
      <c r="P24" s="357"/>
      <c r="Q24" s="7"/>
      <c r="R24" s="63"/>
      <c r="S24" s="7"/>
      <c r="T24" s="561"/>
      <c r="V24">
        <f>V23*1.22</f>
        <v>19.234234234234233</v>
      </c>
      <c r="Y24" s="63">
        <f t="shared" ref="Y24:Y32" si="1">J9*(1-Y9)</f>
        <v>25</v>
      </c>
    </row>
    <row r="25" spans="2:31">
      <c r="B25" s="462" t="s">
        <v>113</v>
      </c>
      <c r="C25" s="549">
        <v>277</v>
      </c>
      <c r="D25" s="549">
        <v>0</v>
      </c>
      <c r="E25" s="549">
        <v>0</v>
      </c>
      <c r="F25" s="549">
        <v>0</v>
      </c>
      <c r="G25" s="549">
        <v>0</v>
      </c>
      <c r="H25" s="549">
        <v>0</v>
      </c>
      <c r="I25" s="549">
        <v>90</v>
      </c>
      <c r="J25" s="549">
        <v>76</v>
      </c>
      <c r="K25" s="549">
        <v>183</v>
      </c>
      <c r="L25" s="549">
        <v>0</v>
      </c>
      <c r="M25" s="549">
        <v>106</v>
      </c>
      <c r="N25" s="549">
        <v>0</v>
      </c>
      <c r="O25" s="550">
        <v>97</v>
      </c>
      <c r="P25" s="357"/>
      <c r="Q25" s="7"/>
      <c r="R25" s="63"/>
      <c r="S25" s="7"/>
      <c r="T25" s="561"/>
      <c r="V25">
        <f>V24/0.4</f>
        <v>48.085585585585576</v>
      </c>
      <c r="Y25" s="63">
        <f t="shared" si="1"/>
        <v>34</v>
      </c>
    </row>
    <row r="26" spans="2:31">
      <c r="B26" s="462" t="s">
        <v>220</v>
      </c>
      <c r="C26" s="549">
        <v>354</v>
      </c>
      <c r="D26" s="549">
        <v>0</v>
      </c>
      <c r="E26" s="549">
        <v>0</v>
      </c>
      <c r="F26" s="549">
        <v>0</v>
      </c>
      <c r="G26" s="549">
        <v>0</v>
      </c>
      <c r="H26" s="549">
        <v>0</v>
      </c>
      <c r="I26" s="549">
        <v>99</v>
      </c>
      <c r="J26" s="549">
        <v>0</v>
      </c>
      <c r="K26" s="549">
        <v>0</v>
      </c>
      <c r="L26" s="549">
        <v>0</v>
      </c>
      <c r="M26" s="549">
        <v>0</v>
      </c>
      <c r="N26" s="549">
        <v>0</v>
      </c>
      <c r="O26" s="550">
        <v>0</v>
      </c>
      <c r="P26" s="357"/>
      <c r="Q26" s="7"/>
      <c r="R26" s="63"/>
      <c r="S26" s="7"/>
      <c r="T26" s="561"/>
      <c r="Y26" s="63">
        <f t="shared" si="1"/>
        <v>37.406228670270274</v>
      </c>
    </row>
    <row r="27" spans="2:31">
      <c r="B27" s="462" t="s">
        <v>224</v>
      </c>
      <c r="C27" s="549">
        <v>528</v>
      </c>
      <c r="D27" s="549">
        <v>0</v>
      </c>
      <c r="E27" s="549">
        <v>0</v>
      </c>
      <c r="F27" s="549">
        <v>0</v>
      </c>
      <c r="G27" s="549">
        <v>0</v>
      </c>
      <c r="H27" s="549">
        <v>0</v>
      </c>
      <c r="I27" s="549">
        <v>135</v>
      </c>
      <c r="J27" s="549">
        <v>0</v>
      </c>
      <c r="K27" s="549">
        <v>0</v>
      </c>
      <c r="L27" s="549">
        <v>0</v>
      </c>
      <c r="M27" s="549">
        <v>0</v>
      </c>
      <c r="N27" s="549">
        <v>0</v>
      </c>
      <c r="O27" s="550">
        <v>0</v>
      </c>
      <c r="P27" s="357"/>
      <c r="Q27" s="7"/>
      <c r="R27" s="63"/>
      <c r="T27" s="561"/>
      <c r="Y27" s="63">
        <f t="shared" si="1"/>
        <v>0</v>
      </c>
    </row>
    <row r="28" spans="2:31">
      <c r="B28" s="462" t="s">
        <v>91</v>
      </c>
      <c r="C28" s="549">
        <v>290</v>
      </c>
      <c r="D28" s="549">
        <v>0</v>
      </c>
      <c r="E28" s="549">
        <v>0</v>
      </c>
      <c r="F28" s="549">
        <v>0</v>
      </c>
      <c r="G28" s="549">
        <v>0</v>
      </c>
      <c r="H28" s="549">
        <v>0</v>
      </c>
      <c r="I28" s="549">
        <v>149</v>
      </c>
      <c r="J28" s="549">
        <v>110</v>
      </c>
      <c r="K28" s="549">
        <v>191</v>
      </c>
      <c r="L28" s="549">
        <v>0</v>
      </c>
      <c r="M28" s="549">
        <v>0</v>
      </c>
      <c r="N28" s="549">
        <v>187</v>
      </c>
      <c r="O28" s="550">
        <v>103</v>
      </c>
      <c r="P28" s="357"/>
      <c r="Q28" s="7"/>
      <c r="R28" s="63"/>
      <c r="T28" s="561"/>
      <c r="U28">
        <f>50*0.4</f>
        <v>20</v>
      </c>
      <c r="Y28" s="63">
        <f t="shared" si="1"/>
        <v>0</v>
      </c>
    </row>
    <row r="29" spans="2:31">
      <c r="B29" s="462" t="s">
        <v>126</v>
      </c>
      <c r="C29" s="549">
        <v>370</v>
      </c>
      <c r="D29" s="549">
        <v>0</v>
      </c>
      <c r="E29" s="549">
        <v>0</v>
      </c>
      <c r="F29" s="549">
        <v>0</v>
      </c>
      <c r="G29" s="549">
        <v>0</v>
      </c>
      <c r="H29" s="549">
        <v>0</v>
      </c>
      <c r="I29" s="549">
        <v>118</v>
      </c>
      <c r="J29" s="549">
        <v>0</v>
      </c>
      <c r="K29" s="549">
        <v>235</v>
      </c>
      <c r="L29" s="549">
        <v>0</v>
      </c>
      <c r="M29" s="549">
        <v>0</v>
      </c>
      <c r="N29" s="549">
        <v>0</v>
      </c>
      <c r="O29" s="550">
        <v>0</v>
      </c>
      <c r="P29" s="357"/>
      <c r="Q29" s="7"/>
      <c r="T29" s="561"/>
      <c r="Y29" s="63">
        <f t="shared" si="1"/>
        <v>58</v>
      </c>
    </row>
    <row r="30" spans="2:31">
      <c r="B30" s="462" t="s">
        <v>231</v>
      </c>
      <c r="C30" s="549">
        <v>361</v>
      </c>
      <c r="D30" s="549">
        <v>0</v>
      </c>
      <c r="E30" s="549">
        <v>0</v>
      </c>
      <c r="F30" s="549">
        <v>0</v>
      </c>
      <c r="G30" s="549">
        <v>0</v>
      </c>
      <c r="H30" s="549">
        <v>0</v>
      </c>
      <c r="I30" s="549">
        <v>0</v>
      </c>
      <c r="J30" s="549">
        <v>0</v>
      </c>
      <c r="K30" s="549">
        <v>0</v>
      </c>
      <c r="L30" s="549">
        <v>0</v>
      </c>
      <c r="M30" s="549">
        <v>0</v>
      </c>
      <c r="N30" s="549">
        <v>0</v>
      </c>
      <c r="O30" s="550">
        <v>0</v>
      </c>
      <c r="P30" s="357"/>
      <c r="Q30" s="7"/>
      <c r="Y30" s="63">
        <f t="shared" si="1"/>
        <v>0</v>
      </c>
    </row>
    <row r="31" spans="2:31">
      <c r="B31" s="462" t="s">
        <v>137</v>
      </c>
      <c r="C31" s="549">
        <v>545</v>
      </c>
      <c r="D31" s="549">
        <v>0</v>
      </c>
      <c r="E31" s="549">
        <v>0</v>
      </c>
      <c r="F31" s="549">
        <v>0</v>
      </c>
      <c r="G31" s="549">
        <v>0</v>
      </c>
      <c r="H31" s="549">
        <v>0</v>
      </c>
      <c r="I31" s="549">
        <v>87</v>
      </c>
      <c r="J31" s="549">
        <v>82</v>
      </c>
      <c r="K31" s="549">
        <v>0</v>
      </c>
      <c r="L31" s="549">
        <v>0</v>
      </c>
      <c r="M31" s="549">
        <v>0</v>
      </c>
      <c r="N31" s="549">
        <v>0</v>
      </c>
      <c r="O31" s="550">
        <v>0</v>
      </c>
      <c r="P31" s="357"/>
      <c r="Q31" s="7"/>
      <c r="T31" s="7"/>
      <c r="Y31" s="63">
        <f t="shared" si="1"/>
        <v>40.799999999999997</v>
      </c>
    </row>
    <row r="32" spans="2:31">
      <c r="B32" s="551" t="s">
        <v>141</v>
      </c>
      <c r="C32" s="549">
        <v>0</v>
      </c>
      <c r="D32" s="549">
        <v>0</v>
      </c>
      <c r="E32" s="549">
        <v>0</v>
      </c>
      <c r="F32" s="549">
        <v>0</v>
      </c>
      <c r="G32" s="549">
        <v>0</v>
      </c>
      <c r="H32" s="549">
        <v>0</v>
      </c>
      <c r="I32" s="549">
        <v>0</v>
      </c>
      <c r="J32" s="549">
        <v>0</v>
      </c>
      <c r="K32" s="549">
        <v>385</v>
      </c>
      <c r="L32" s="549">
        <v>0</v>
      </c>
      <c r="M32" s="549">
        <v>0</v>
      </c>
      <c r="N32" s="549">
        <v>379</v>
      </c>
      <c r="O32" s="550">
        <v>127</v>
      </c>
      <c r="P32" s="357"/>
      <c r="Y32" s="63">
        <f t="shared" si="1"/>
        <v>46</v>
      </c>
    </row>
    <row r="33" spans="2:25">
      <c r="B33" s="551" t="s">
        <v>238</v>
      </c>
      <c r="C33" s="379">
        <v>0</v>
      </c>
      <c r="D33" s="379">
        <v>0</v>
      </c>
      <c r="E33" s="379">
        <v>0</v>
      </c>
      <c r="F33" s="379">
        <v>0</v>
      </c>
      <c r="G33" s="379">
        <v>0</v>
      </c>
      <c r="H33" s="379">
        <v>0</v>
      </c>
      <c r="I33" s="379">
        <v>82</v>
      </c>
      <c r="J33" s="379">
        <v>52</v>
      </c>
      <c r="K33" s="379">
        <v>0</v>
      </c>
      <c r="L33" s="379">
        <v>0</v>
      </c>
      <c r="M33" s="379">
        <v>0</v>
      </c>
      <c r="N33" s="379">
        <v>124</v>
      </c>
      <c r="O33" s="552">
        <v>36</v>
      </c>
      <c r="P33" s="357"/>
      <c r="Y33" s="63"/>
    </row>
    <row r="34" spans="2:25" ht="15.75" thickBot="1">
      <c r="B34" s="463" t="s">
        <v>241</v>
      </c>
      <c r="C34" s="553">
        <v>225</v>
      </c>
      <c r="D34" s="553">
        <v>0</v>
      </c>
      <c r="E34" s="553">
        <v>0</v>
      </c>
      <c r="F34" s="553">
        <v>0</v>
      </c>
      <c r="G34" s="553">
        <v>304</v>
      </c>
      <c r="H34" s="553">
        <v>0</v>
      </c>
      <c r="I34" s="553">
        <v>142</v>
      </c>
      <c r="J34" s="553">
        <v>79</v>
      </c>
      <c r="K34" s="553">
        <v>0</v>
      </c>
      <c r="L34" s="553">
        <v>0</v>
      </c>
      <c r="M34" s="553">
        <v>0</v>
      </c>
      <c r="N34" s="553">
        <v>0</v>
      </c>
      <c r="O34" s="554">
        <v>146</v>
      </c>
      <c r="P34" s="357"/>
      <c r="Y34" s="63"/>
    </row>
    <row r="35" spans="2:25"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</row>
    <row r="36" spans="2:25">
      <c r="B36" s="469" t="s">
        <v>111</v>
      </c>
      <c r="C36" s="470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357"/>
      <c r="O36" s="357"/>
      <c r="P36" s="357"/>
    </row>
    <row r="37" spans="2:25" ht="15.75" thickBot="1">
      <c r="B37" s="357"/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357"/>
      <c r="O37" s="357"/>
      <c r="P37" s="357"/>
    </row>
    <row r="38" spans="2:25" ht="15.75" thickBot="1">
      <c r="B38" s="471" t="s">
        <v>459</v>
      </c>
      <c r="C38" s="472" t="s">
        <v>98</v>
      </c>
      <c r="D38" s="473" t="s">
        <v>105</v>
      </c>
      <c r="E38" s="473" t="s">
        <v>112</v>
      </c>
      <c r="F38" s="473" t="s">
        <v>120</v>
      </c>
      <c r="G38" s="473" t="s">
        <v>125</v>
      </c>
      <c r="H38" s="473" t="s">
        <v>131</v>
      </c>
      <c r="I38" s="473" t="s">
        <v>136</v>
      </c>
      <c r="J38" s="473" t="s">
        <v>140</v>
      </c>
      <c r="K38" s="473" t="s">
        <v>145</v>
      </c>
      <c r="L38" s="473" t="s">
        <v>149</v>
      </c>
      <c r="M38" s="474" t="s">
        <v>153</v>
      </c>
      <c r="N38" s="474" t="s">
        <v>156</v>
      </c>
      <c r="O38" s="475" t="s">
        <v>159</v>
      </c>
      <c r="P38" s="357"/>
    </row>
    <row r="39" spans="2:25">
      <c r="B39" s="461" t="s">
        <v>99</v>
      </c>
      <c r="C39" s="363">
        <f>IFERROR(ROUND(Costs!C36/(1-R8),0)*INDEX(fx,MATCH($C$3,currency,0)),"")</f>
        <v>0</v>
      </c>
      <c r="D39" s="363">
        <f>IFERROR(ROUND(Costs!D36/(1-S8),0)*INDEX(fx,MATCH($C$3,currency,0)),"")</f>
        <v>0</v>
      </c>
      <c r="E39" s="363">
        <f>IFERROR(ROUND(Costs!E36/(1-T8),0)*INDEX(fx,MATCH($C$3,currency,0)),"")</f>
        <v>0</v>
      </c>
      <c r="F39" s="363">
        <f>IFERROR(ROUND(Costs!F36/(1-U8),0)*INDEX(fx,MATCH($C$3,currency,0)),"")</f>
        <v>0</v>
      </c>
      <c r="G39" s="363">
        <f>IFERROR(ROUND(Costs!G36/(1-V8),0)*INDEX(fx,MATCH($C$3,currency,0)),"")</f>
        <v>0</v>
      </c>
      <c r="H39" s="363">
        <f>IFERROR(ROUND(Costs!H36/(1-W8),0)*INDEX(fx,MATCH($C$3,currency,0)),"")</f>
        <v>0</v>
      </c>
      <c r="I39" s="363">
        <f>IFERROR(ROUND(Costs!I36/(1-X8),0)*INDEX(fx,MATCH($C$3,currency,0)),"")</f>
        <v>37</v>
      </c>
      <c r="J39" s="363">
        <f>IFERROR(ROUND(Costs!J36/(1-Y8),0)*INDEX(fx,MATCH($C$3,currency,0)),"")</f>
        <v>0</v>
      </c>
      <c r="K39" s="363">
        <f>IFERROR(ROUND(Costs!K36/(1-Z8),0)*INDEX(fx,MATCH($C$3,currency,0)),"")</f>
        <v>0</v>
      </c>
      <c r="L39" s="363">
        <f>IFERROR(ROUND(Costs!L36/(1-AA8),0)*INDEX(fx,MATCH($C$3,currency,0)),"")</f>
        <v>0</v>
      </c>
      <c r="M39" s="363">
        <f>IFERROR(ROUND(Costs!M36/(1-AB8),0)*INDEX(fx,MATCH($C$3,currency,0)),"")</f>
        <v>0</v>
      </c>
      <c r="N39" s="363">
        <f>IFERROR(ROUND(Costs!N36/(1-AC8),0)*INDEX(fx,MATCH($C$3,currency,0)),"")</f>
        <v>0</v>
      </c>
      <c r="O39" s="363">
        <f>IFERROR(ROUND(Costs!O36/(1-AD8),0)*INDEX(fx,MATCH($C$3,currency,0)),"")</f>
        <v>0</v>
      </c>
      <c r="P39" s="357"/>
    </row>
    <row r="40" spans="2:25">
      <c r="B40" s="462" t="s">
        <v>106</v>
      </c>
      <c r="C40" s="363">
        <f>IFERROR(ROUND(Costs!C37/(1-R9),0)*INDEX(fx,MATCH($C$3,currency,0)),"")</f>
        <v>0</v>
      </c>
      <c r="D40" s="363">
        <f>IFERROR(ROUND(Costs!D37/(1-S9),0)*INDEX(fx,MATCH($C$3,currency,0)),"")</f>
        <v>0</v>
      </c>
      <c r="E40" s="363">
        <f>IFERROR(ROUND(Costs!E37/(1-T9),0)*INDEX(fx,MATCH($C$3,currency,0)),"")</f>
        <v>0</v>
      </c>
      <c r="F40" s="363">
        <f>IFERROR(ROUND(Costs!F37/(1-U9),0)*INDEX(fx,MATCH($C$3,currency,0)),"")</f>
        <v>0</v>
      </c>
      <c r="G40" s="363">
        <f>IFERROR(ROUND(Costs!G37/(1-V9),0)*INDEX(fx,MATCH($C$3,currency,0)),"")</f>
        <v>0</v>
      </c>
      <c r="H40" s="363">
        <f>IFERROR(ROUND(Costs!H37/(1-W9),0)*INDEX(fx,MATCH($C$3,currency,0)),"")</f>
        <v>72</v>
      </c>
      <c r="I40" s="363">
        <f>IFERROR(ROUND(Costs!I37/(1-X9),0)*INDEX(fx,MATCH($C$3,currency,0)),"")</f>
        <v>51</v>
      </c>
      <c r="J40" s="363">
        <f>IFERROR(ROUND(Costs!J37/(1-Y9),0)*INDEX(fx,MATCH($C$3,currency,0)),"")</f>
        <v>0</v>
      </c>
      <c r="K40" s="363">
        <f>IFERROR(ROUND(Costs!K37/(1-Z9),0)*INDEX(fx,MATCH($C$3,currency,0)),"")</f>
        <v>0</v>
      </c>
      <c r="L40" s="363">
        <f>IFERROR(ROUND(Costs!L37/(1-AA9),0)*INDEX(fx,MATCH($C$3,currency,0)),"")</f>
        <v>0</v>
      </c>
      <c r="M40" s="363">
        <f>IFERROR(ROUND(Costs!M37/(1-AB9),0)*INDEX(fx,MATCH($C$3,currency,0)),"")</f>
        <v>0</v>
      </c>
      <c r="N40" s="363">
        <f>IFERROR(ROUND(Costs!N37/(1-AC9),0)*INDEX(fx,MATCH($C$3,currency,0)),"")</f>
        <v>0</v>
      </c>
      <c r="O40" s="363">
        <f>IFERROR(ROUND(Costs!O37/(1-AD9),0)*INDEX(fx,MATCH($C$3,currency,0)),"")</f>
        <v>0</v>
      </c>
      <c r="P40" s="357"/>
    </row>
    <row r="41" spans="2:25">
      <c r="B41" s="462" t="s">
        <v>113</v>
      </c>
      <c r="C41" s="363">
        <f>IFERROR(ROUND(Costs!C38/(1-R10),0)*INDEX(fx,MATCH($C$3,currency,0)),"")</f>
        <v>223</v>
      </c>
      <c r="D41" s="363">
        <f>IFERROR(ROUND(Costs!D38/(1-S10),0)*INDEX(fx,MATCH($C$3,currency,0)),"")</f>
        <v>0</v>
      </c>
      <c r="E41" s="363">
        <f>IFERROR(ROUND(Costs!E38/(1-T10),0)*INDEX(fx,MATCH($C$3,currency,0)),"")</f>
        <v>0</v>
      </c>
      <c r="F41" s="363">
        <f>IFERROR(ROUND(Costs!F38/(1-U10),0)*INDEX(fx,MATCH($C$3,currency,0)),"")</f>
        <v>0</v>
      </c>
      <c r="G41" s="363">
        <f>IFERROR(ROUND(Costs!G38/(1-V10),0)*INDEX(fx,MATCH($C$3,currency,0)),"")</f>
        <v>0</v>
      </c>
      <c r="H41" s="363">
        <f>IFERROR(ROUND(Costs!H38/(1-W10),0)*INDEX(fx,MATCH($C$3,currency,0)),"")</f>
        <v>84</v>
      </c>
      <c r="I41" s="363">
        <f>IFERROR(ROUND(Costs!I38/(1-X10),0)*INDEX(fx,MATCH($C$3,currency,0)),"")</f>
        <v>80</v>
      </c>
      <c r="J41" s="363">
        <f>IFERROR(ROUND(Costs!J38/(1-Y10),0)*INDEX(fx,MATCH($C$3,currency,0)),"")</f>
        <v>0</v>
      </c>
      <c r="K41" s="363">
        <f>IFERROR(ROUND(Costs!K38/(1-Z10),0)*INDEX(fx,MATCH($C$3,currency,0)),"")</f>
        <v>174</v>
      </c>
      <c r="L41" s="363">
        <f>IFERROR(ROUND(Costs!L38/(1-AA10),0)*INDEX(fx,MATCH($C$3,currency,0)),"")</f>
        <v>174</v>
      </c>
      <c r="M41" s="363">
        <f>IFERROR(ROUND(Costs!M38/(1-AB10),0)*INDEX(fx,MATCH($C$3,currency,0)),"")</f>
        <v>211</v>
      </c>
      <c r="N41" s="363">
        <f>IFERROR(ROUND(Costs!N38/(1-AC10),0)*INDEX(fx,MATCH($C$3,currency,0)),"")</f>
        <v>0</v>
      </c>
      <c r="O41" s="363">
        <f>IFERROR(ROUND(Costs!O38/(1-AD10),0)*INDEX(fx,MATCH($C$3,currency,0)),"")</f>
        <v>0</v>
      </c>
      <c r="P41" s="357"/>
    </row>
    <row r="42" spans="2:25">
      <c r="B42" s="462" t="s">
        <v>91</v>
      </c>
      <c r="C42" s="363">
        <f>IFERROR(ROUND(Costs!C39/(1-R11),0)*INDEX(fx,MATCH($C$3,currency,0)),"")</f>
        <v>280</v>
      </c>
      <c r="D42" s="363">
        <f>IFERROR(ROUND(Costs!D39/(1-S11),0)*INDEX(fx,MATCH($C$3,currency,0)),"")</f>
        <v>207</v>
      </c>
      <c r="E42" s="363">
        <f>IFERROR(ROUND(Costs!E39/(1-T11),0)*INDEX(fx,MATCH($C$3,currency,0)),"")</f>
        <v>214</v>
      </c>
      <c r="F42" s="363">
        <f>IFERROR(ROUND(Costs!F39/(1-U11),0)*INDEX(fx,MATCH($C$3,currency,0)),"")</f>
        <v>0</v>
      </c>
      <c r="G42" s="363">
        <f>IFERROR(ROUND(Costs!G39/(1-V11),0)*INDEX(fx,MATCH($C$3,currency,0)),"")</f>
        <v>238</v>
      </c>
      <c r="H42" s="363">
        <f>IFERROR(ROUND(Costs!H39/(1-W11),0)*INDEX(fx,MATCH($C$3,currency,0)),"")</f>
        <v>119</v>
      </c>
      <c r="I42" s="363">
        <f>IFERROR(ROUND(Costs!I39/(1-X11),0)*INDEX(fx,MATCH($C$3,currency,0)),"")</f>
        <v>0</v>
      </c>
      <c r="J42" s="363">
        <f>IFERROR(ROUND(Costs!J39/(1-Y11),0)*INDEX(fx,MATCH($C$3,currency,0)),"")</f>
        <v>0</v>
      </c>
      <c r="K42" s="363">
        <f>IFERROR(ROUND(Costs!K39/(1-Z11),0)*INDEX(fx,MATCH($C$3,currency,0)),"")</f>
        <v>0</v>
      </c>
      <c r="L42" s="363">
        <f>IFERROR(ROUND(Costs!L39/(1-AA11),0)*INDEX(fx,MATCH($C$3,currency,0)),"")</f>
        <v>0</v>
      </c>
      <c r="M42" s="363">
        <f>IFERROR(ROUND(Costs!M39/(1-AB11),0)*INDEX(fx,MATCH($C$3,currency,0)),"")</f>
        <v>270</v>
      </c>
      <c r="N42" s="363">
        <f>IFERROR(ROUND(Costs!N39/(1-AC11),0)*INDEX(fx,MATCH($C$3,currency,0)),"")</f>
        <v>0</v>
      </c>
      <c r="O42" s="363">
        <f>IFERROR(ROUND(Costs!O39/(1-AD11),0)*INDEX(fx,MATCH($C$3,currency,0)),"")</f>
        <v>0</v>
      </c>
      <c r="P42" s="357"/>
    </row>
    <row r="43" spans="2:25">
      <c r="B43" s="462" t="s">
        <v>126</v>
      </c>
      <c r="C43" s="363">
        <f>IFERROR(ROUND(Costs!C40/(1-R12),0)*INDEX(fx,MATCH($C$3,currency,0)),"")</f>
        <v>322</v>
      </c>
      <c r="D43" s="363">
        <f>IFERROR(ROUND(Costs!D40/(1-S12),0)*INDEX(fx,MATCH($C$3,currency,0)),"")</f>
        <v>0</v>
      </c>
      <c r="E43" s="363">
        <f>IFERROR(ROUND(Costs!E40/(1-T12),0)*INDEX(fx,MATCH($C$3,currency,0)),"")</f>
        <v>0</v>
      </c>
      <c r="F43" s="363">
        <f>IFERROR(ROUND(Costs!F40/(1-U12),0)*INDEX(fx,MATCH($C$3,currency,0)),"")</f>
        <v>0</v>
      </c>
      <c r="G43" s="363">
        <f>IFERROR(ROUND(Costs!G40/(1-V12),0)*INDEX(fx,MATCH($C$3,currency,0)),"")</f>
        <v>261</v>
      </c>
      <c r="H43" s="363">
        <f>IFERROR(ROUND(Costs!H40/(1-W12),0)*INDEX(fx,MATCH($C$3,currency,0)),"")</f>
        <v>0</v>
      </c>
      <c r="I43" s="363">
        <f>IFERROR(ROUND(Costs!I40/(1-X12),0)*INDEX(fx,MATCH($C$3,currency,0)),"")</f>
        <v>0</v>
      </c>
      <c r="J43" s="363">
        <f>IFERROR(ROUND(Costs!J40/(1-Y12),0)*INDEX(fx,MATCH($C$3,currency,0)),"")</f>
        <v>0</v>
      </c>
      <c r="K43" s="363">
        <f>IFERROR(ROUND(Costs!K40/(1-Z12),0)*INDEX(fx,MATCH($C$3,currency,0)),"")</f>
        <v>0</v>
      </c>
      <c r="L43" s="363">
        <f>IFERROR(ROUND(Costs!L40/(1-AA12),0)*INDEX(fx,MATCH($C$3,currency,0)),"")</f>
        <v>0</v>
      </c>
      <c r="M43" s="363">
        <f>IFERROR(ROUND(Costs!M40/(1-AB12),0)*INDEX(fx,MATCH($C$3,currency,0)),"")</f>
        <v>0</v>
      </c>
      <c r="N43" s="363">
        <f>IFERROR(ROUND(Costs!N40/(1-AC12),0)*INDEX(fx,MATCH($C$3,currency,0)),"")</f>
        <v>0</v>
      </c>
      <c r="O43" s="363">
        <f>IFERROR(ROUND(Costs!O40/(1-AD12),0)*INDEX(fx,MATCH($C$3,currency,0)),"")</f>
        <v>0</v>
      </c>
      <c r="P43" s="357"/>
    </row>
    <row r="44" spans="2:25">
      <c r="B44" s="462" t="s">
        <v>132</v>
      </c>
      <c r="C44" s="363">
        <f>IFERROR(ROUND(Costs!C41/(1-R13),0)*INDEX(fx,MATCH($C$3,currency,0)),"")</f>
        <v>0</v>
      </c>
      <c r="D44" s="363">
        <f>IFERROR(ROUND(Costs!D41/(1-S13),0)*INDEX(fx,MATCH($C$3,currency,0)),"")</f>
        <v>0</v>
      </c>
      <c r="E44" s="363">
        <f>IFERROR(ROUND(Costs!E41/(1-T13),0)*INDEX(fx,MATCH($C$3,currency,0)),"")</f>
        <v>0</v>
      </c>
      <c r="F44" s="363">
        <f>IFERROR(ROUND(Costs!F41/(1-U13),0)*INDEX(fx,MATCH($C$3,currency,0)),"")</f>
        <v>0</v>
      </c>
      <c r="G44" s="363">
        <f>IFERROR(ROUND(Costs!G41/(1-V13),0)*INDEX(fx,MATCH($C$3,currency,0)),"")</f>
        <v>0</v>
      </c>
      <c r="H44" s="363">
        <f>IFERROR(ROUND(Costs!H41/(1-W13),0)*INDEX(fx,MATCH($C$3,currency,0)),"")</f>
        <v>0</v>
      </c>
      <c r="I44" s="363">
        <f>IFERROR(ROUND(Costs!I41/(1-X13),0)*INDEX(fx,MATCH($C$3,currency,0)),"")</f>
        <v>0</v>
      </c>
      <c r="J44" s="363">
        <f>IFERROR(ROUND(Costs!J41/(1-Y13),0)*INDEX(fx,MATCH($C$3,currency,0)),"")</f>
        <v>0</v>
      </c>
      <c r="K44" s="363">
        <f>IFERROR(ROUND(Costs!K41/(1-Z13),0)*INDEX(fx,MATCH($C$3,currency,0)),"")</f>
        <v>0</v>
      </c>
      <c r="L44" s="363">
        <f>IFERROR(ROUND(Costs!L41/(1-AA13),0)*INDEX(fx,MATCH($C$3,currency,0)),"")</f>
        <v>0</v>
      </c>
      <c r="M44" s="363">
        <f>IFERROR(ROUND(Costs!M41/(1-AB13),0)*INDEX(fx,MATCH($C$3,currency,0)),"")</f>
        <v>0</v>
      </c>
      <c r="N44" s="363">
        <f>IFERROR(ROUND(Costs!N41/(1-AC13),0)*INDEX(fx,MATCH($C$3,currency,0)),"")</f>
        <v>0</v>
      </c>
      <c r="O44" s="363">
        <f>IFERROR(ROUND(Costs!O41/(1-AD13),0)*INDEX(fx,MATCH($C$3,currency,0)),"")</f>
        <v>0</v>
      </c>
      <c r="P44" s="357"/>
    </row>
    <row r="45" spans="2:25">
      <c r="B45" s="462" t="s">
        <v>137</v>
      </c>
      <c r="C45" s="363">
        <f>IFERROR(ROUND(Costs!C42/(1-R14),0)*INDEX(fx,MATCH($C$3,currency,0)),"")</f>
        <v>0</v>
      </c>
      <c r="D45" s="363">
        <f>IFERROR(ROUND(Costs!D42/(1-S14),0)*INDEX(fx,MATCH($C$3,currency,0)),"")</f>
        <v>144</v>
      </c>
      <c r="E45" s="363">
        <f>IFERROR(ROUND(Costs!E42/(1-T14),0)*INDEX(fx,MATCH($C$3,currency,0)),"")</f>
        <v>0</v>
      </c>
      <c r="F45" s="363">
        <f>IFERROR(ROUND(Costs!F42/(1-U14),0)*INDEX(fx,MATCH($C$3,currency,0)),"")</f>
        <v>0</v>
      </c>
      <c r="G45" s="363">
        <f>IFERROR(ROUND(Costs!G42/(1-V14),0)*INDEX(fx,MATCH($C$3,currency,0)),"")</f>
        <v>0</v>
      </c>
      <c r="H45" s="363">
        <f>IFERROR(ROUND(Costs!H42/(1-W14),0)*INDEX(fx,MATCH($C$3,currency,0)),"")</f>
        <v>0</v>
      </c>
      <c r="I45" s="363">
        <f>IFERROR(ROUND(Costs!I42/(1-X14),0)*INDEX(fx,MATCH($C$3,currency,0)),"")</f>
        <v>78</v>
      </c>
      <c r="J45" s="363">
        <f>IFERROR(ROUND(Costs!J42/(1-Y14),0)*INDEX(fx,MATCH($C$3,currency,0)),"")</f>
        <v>0</v>
      </c>
      <c r="K45" s="363">
        <f>IFERROR(ROUND(Costs!K42/(1-Z14),0)*INDEX(fx,MATCH($C$3,currency,0)),"")</f>
        <v>0</v>
      </c>
      <c r="L45" s="363">
        <f>IFERROR(ROUND(Costs!L42/(1-AA14),0)*INDEX(fx,MATCH($C$3,currency,0)),"")</f>
        <v>0</v>
      </c>
      <c r="M45" s="363">
        <f>IFERROR(ROUND(Costs!M42/(1-AB14),0)*INDEX(fx,MATCH($C$3,currency,0)),"")</f>
        <v>0</v>
      </c>
      <c r="N45" s="363">
        <f>IFERROR(ROUND(Costs!N42/(1-AC14),0)*INDEX(fx,MATCH($C$3,currency,0)),"")</f>
        <v>0</v>
      </c>
      <c r="O45" s="363">
        <f>IFERROR(ROUND(Costs!O42/(1-AD14),0)*INDEX(fx,MATCH($C$3,currency,0)),"")</f>
        <v>0</v>
      </c>
      <c r="P45" s="357"/>
    </row>
    <row r="46" spans="2:25">
      <c r="B46" s="462" t="s">
        <v>141</v>
      </c>
      <c r="C46" s="363">
        <f>IFERROR(ROUND(Costs!C43/(1-R15),0)*INDEX(fx,MATCH($C$3,currency,0)),"")</f>
        <v>545</v>
      </c>
      <c r="D46" s="363">
        <f>IFERROR(ROUND(Costs!D43/(1-S15),0)*INDEX(fx,MATCH($C$3,currency,0)),"")</f>
        <v>396</v>
      </c>
      <c r="E46" s="363">
        <f>IFERROR(ROUND(Costs!E43/(1-T15),0)*INDEX(fx,MATCH($C$3,currency,0)),"")</f>
        <v>0</v>
      </c>
      <c r="F46" s="363">
        <f>IFERROR(ROUND(Costs!F43/(1-U15),0)*INDEX(fx,MATCH($C$3,currency,0)),"")</f>
        <v>0</v>
      </c>
      <c r="G46" s="363">
        <f>IFERROR(ROUND(Costs!G43/(1-V15),0)*INDEX(fx,MATCH($C$3,currency,0)),"")</f>
        <v>0</v>
      </c>
      <c r="H46" s="363">
        <f>IFERROR(ROUND(Costs!H43/(1-W15),0)*INDEX(fx,MATCH($C$3,currency,0)),"")</f>
        <v>0</v>
      </c>
      <c r="I46" s="363">
        <f>IFERROR(ROUND(Costs!I43/(1-X15),0)*INDEX(fx,MATCH($C$3,currency,0)),"")</f>
        <v>0</v>
      </c>
      <c r="J46" s="363">
        <f>IFERROR(ROUND(Costs!J43/(1-Y15),0)*INDEX(fx,MATCH($C$3,currency,0)),"")</f>
        <v>0</v>
      </c>
      <c r="K46" s="363">
        <f>IFERROR(ROUND(Costs!K43/(1-Z15),0)*INDEX(fx,MATCH($C$3,currency,0)),"")</f>
        <v>0</v>
      </c>
      <c r="L46" s="363">
        <f>IFERROR(ROUND(Costs!L43/(1-AA15),0)*INDEX(fx,MATCH($C$3,currency,0)),"")</f>
        <v>0</v>
      </c>
      <c r="M46" s="363">
        <f>IFERROR(ROUND(Costs!M43/(1-AB15),0)*INDEX(fx,MATCH($C$3,currency,0)),"")</f>
        <v>0</v>
      </c>
      <c r="N46" s="363">
        <f>IFERROR(ROUND(Costs!N43/(1-AC15),0)*INDEX(fx,MATCH($C$3,currency,0)),"")</f>
        <v>0</v>
      </c>
      <c r="O46" s="363">
        <f>IFERROR(ROUND(Costs!O43/(1-AD15),0)*INDEX(fx,MATCH($C$3,currency,0)),"")</f>
        <v>0</v>
      </c>
      <c r="P46" s="357"/>
    </row>
    <row r="47" spans="2:25">
      <c r="B47" s="462" t="s">
        <v>146</v>
      </c>
      <c r="C47" s="363">
        <f>IFERROR(ROUND(Costs!C44/(1-R16),0)*INDEX(fx,MATCH($C$3,currency,0)),"")</f>
        <v>0</v>
      </c>
      <c r="D47" s="363">
        <f>IFERROR(ROUND(Costs!D44/(1-S16),0)*INDEX(fx,MATCH($C$3,currency,0)),"")</f>
        <v>0</v>
      </c>
      <c r="E47" s="363">
        <f>IFERROR(ROUND(Costs!E44/(1-T16),0)*INDEX(fx,MATCH($C$3,currency,0)),"")</f>
        <v>0</v>
      </c>
      <c r="F47" s="363">
        <f>IFERROR(ROUND(Costs!F44/(1-U16),0)*INDEX(fx,MATCH($C$3,currency,0)),"")</f>
        <v>0</v>
      </c>
      <c r="G47" s="363">
        <f>IFERROR(ROUND(Costs!G44/(1-V16),0)*INDEX(fx,MATCH($C$3,currency,0)),"")</f>
        <v>0</v>
      </c>
      <c r="H47" s="363">
        <f>IFERROR(ROUND(Costs!H44/(1-W16),0)*INDEX(fx,MATCH($C$3,currency,0)),"")</f>
        <v>0</v>
      </c>
      <c r="I47" s="363">
        <f>IFERROR(ROUND(Costs!I44/(1-X16),0)*INDEX(fx,MATCH($C$3,currency,0)),"")</f>
        <v>0</v>
      </c>
      <c r="J47" s="363">
        <f>IFERROR(ROUND(Costs!J44/(1-Y16),0)*INDEX(fx,MATCH($C$3,currency,0)),"")</f>
        <v>0</v>
      </c>
      <c r="K47" s="363">
        <f>IFERROR(ROUND(Costs!K44/(1-Z16),0)*INDEX(fx,MATCH($C$3,currency,0)),"")</f>
        <v>0</v>
      </c>
      <c r="L47" s="363">
        <f>IFERROR(ROUND(Costs!L44/(1-AA16),0)*INDEX(fx,MATCH($C$3,currency,0)),"")</f>
        <v>0</v>
      </c>
      <c r="M47" s="363">
        <f>IFERROR(ROUND(Costs!M44/(1-AB16),0)*INDEX(fx,MATCH($C$3,currency,0)),"")</f>
        <v>0</v>
      </c>
      <c r="N47" s="363">
        <f>IFERROR(ROUND(Costs!N44/(1-AC16),0)*INDEX(fx,MATCH($C$3,currency,0)),"")</f>
        <v>0</v>
      </c>
      <c r="O47" s="363">
        <f>IFERROR(ROUND(Costs!O44/(1-AD16),0)*INDEX(fx,MATCH($C$3,currency,0)),"")</f>
        <v>0</v>
      </c>
      <c r="P47" s="357"/>
    </row>
    <row r="48" spans="2:25" ht="15.75" thickBot="1">
      <c r="B48" s="463" t="s">
        <v>150</v>
      </c>
      <c r="C48" s="363">
        <f>IFERROR(ROUND(Costs!C45/(1-R17),0)*INDEX(fx,MATCH($C$3,currency,0)),"")</f>
        <v>0</v>
      </c>
      <c r="D48" s="363">
        <f>IFERROR(ROUND(Costs!D45/(1-S17),0)*INDEX(fx,MATCH($C$3,currency,0)),"")</f>
        <v>0</v>
      </c>
      <c r="E48" s="363">
        <f>IFERROR(ROUND(Costs!E45/(1-T17),0)*INDEX(fx,MATCH($C$3,currency,0)),"")</f>
        <v>0</v>
      </c>
      <c r="F48" s="363">
        <f>IFERROR(ROUND(Costs!F45/(1-U17),0)*INDEX(fx,MATCH($C$3,currency,0)),"")</f>
        <v>0</v>
      </c>
      <c r="G48" s="363">
        <f>IFERROR(ROUND(Costs!G45/(1-V17),0)*INDEX(fx,MATCH($C$3,currency,0)),"")</f>
        <v>0</v>
      </c>
      <c r="H48" s="363">
        <f>IFERROR(ROUND(Costs!H45/(1-W17),0)*INDEX(fx,MATCH($C$3,currency,0)),"")</f>
        <v>0</v>
      </c>
      <c r="I48" s="363">
        <f>IFERROR(ROUND(Costs!I45/(1-X17),0)*INDEX(fx,MATCH($C$3,currency,0)),"")</f>
        <v>0</v>
      </c>
      <c r="J48" s="363">
        <f>IFERROR(ROUND(Costs!J45/(1-Y17),0)*INDEX(fx,MATCH($C$3,currency,0)),"")</f>
        <v>0</v>
      </c>
      <c r="K48" s="363">
        <f>IFERROR(ROUND(Costs!K45/(1-Z17),0)*INDEX(fx,MATCH($C$3,currency,0)),"")</f>
        <v>0</v>
      </c>
      <c r="L48" s="363">
        <f>IFERROR(ROUND(Costs!L45/(1-AA17),0)*INDEX(fx,MATCH($C$3,currency,0)),"")</f>
        <v>0</v>
      </c>
      <c r="M48" s="363">
        <f>IFERROR(ROUND(Costs!M45/(1-AB17),0)*INDEX(fx,MATCH($C$3,currency,0)),"")</f>
        <v>0</v>
      </c>
      <c r="N48" s="363">
        <f>IFERROR(ROUND(Costs!N45/(1-AC17),0)*INDEX(fx,MATCH($C$3,currency,0)),"")</f>
        <v>0</v>
      </c>
      <c r="O48" s="363">
        <f>IFERROR(ROUND(Costs!O45/(1-AD17),0)*INDEX(fx,MATCH($C$3,currency,0)),"")</f>
        <v>0</v>
      </c>
      <c r="P48" s="357"/>
    </row>
    <row r="49" spans="2:16">
      <c r="B49" s="357"/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7"/>
    </row>
    <row r="50" spans="2:16" ht="15.75" thickBot="1">
      <c r="B50" s="357"/>
      <c r="C50" s="357"/>
      <c r="D50" s="357"/>
      <c r="E50" s="357"/>
      <c r="F50" s="357"/>
      <c r="G50" s="357"/>
      <c r="H50" s="357"/>
      <c r="I50" s="357"/>
      <c r="J50" s="357"/>
      <c r="K50" s="357"/>
      <c r="L50" s="357"/>
      <c r="M50" s="357"/>
      <c r="N50" s="357"/>
      <c r="O50" s="357"/>
      <c r="P50" s="357"/>
    </row>
    <row r="51" spans="2:16" ht="15.75" thickBot="1">
      <c r="B51" s="466" t="s">
        <v>130</v>
      </c>
      <c r="C51" s="467" t="s">
        <v>98</v>
      </c>
      <c r="D51" s="468" t="s">
        <v>105</v>
      </c>
      <c r="E51" s="468" t="s">
        <v>112</v>
      </c>
      <c r="F51" s="468" t="s">
        <v>120</v>
      </c>
      <c r="G51" s="468" t="s">
        <v>125</v>
      </c>
      <c r="H51" s="468" t="s">
        <v>131</v>
      </c>
      <c r="I51" s="468" t="s">
        <v>136</v>
      </c>
      <c r="J51" s="468" t="s">
        <v>140</v>
      </c>
      <c r="K51" s="468" t="s">
        <v>145</v>
      </c>
      <c r="L51" s="468" t="s">
        <v>149</v>
      </c>
      <c r="M51" s="468" t="s">
        <v>153</v>
      </c>
      <c r="N51" s="468" t="s">
        <v>156</v>
      </c>
      <c r="O51" s="476" t="s">
        <v>159</v>
      </c>
      <c r="P51" s="476" t="s">
        <v>161</v>
      </c>
    </row>
    <row r="52" spans="2:16">
      <c r="B52" s="477" t="s">
        <v>209</v>
      </c>
      <c r="C52" s="486">
        <f>IFERROR(ROUND(Costs!C80/(1-40%),0)*INDEX(fx,MATCH($C$3,currency,0)),"")</f>
        <v>0</v>
      </c>
      <c r="D52" s="487">
        <f>IFERROR(ROUND(Costs!D80/(1-40%),0)*INDEX(fx,MATCH($C$3,currency,0)),"")</f>
        <v>0</v>
      </c>
      <c r="E52" s="487">
        <f>IFERROR(ROUND(Costs!E80/(1-40%),0)*INDEX(fx,MATCH($C$3,currency,0)),"")</f>
        <v>0</v>
      </c>
      <c r="F52" s="487">
        <f>IFERROR(ROUND(Costs!F80/(1-40%),0)*INDEX(fx,MATCH($C$3,currency,0)),"")</f>
        <v>0</v>
      </c>
      <c r="G52" s="487">
        <f>IFERROR(ROUND(Costs!G80/(1-40%),0)*INDEX(fx,MATCH($C$3,currency,0)),"")</f>
        <v>0</v>
      </c>
      <c r="H52" s="487">
        <f>IFERROR(ROUND(Costs!H80/(1-40%),0)*INDEX(fx,MATCH($C$3,currency,0)),"")</f>
        <v>0</v>
      </c>
      <c r="I52" s="487">
        <f>IFERROR(ROUND(Costs!I80/(1-40%),0)*INDEX(fx,MATCH($C$3,currency,0)),"")</f>
        <v>0</v>
      </c>
      <c r="J52" s="487">
        <f>IFERROR(ROUND(Costs!J80/(1-40%),0)*INDEX(fx,MATCH($C$3,currency,0)),"")</f>
        <v>0</v>
      </c>
      <c r="K52" s="487">
        <f>IFERROR(ROUND(Costs!K80/(1-40%),0)*INDEX(fx,MATCH($C$3,currency,0)),"")</f>
        <v>0</v>
      </c>
      <c r="L52" s="487">
        <f>IFERROR(ROUND(Costs!L80/(1-40%),0)*INDEX(fx,MATCH($C$3,currency,0)),"")</f>
        <v>0</v>
      </c>
      <c r="M52" s="487">
        <f>IFERROR(ROUND(Costs!M80/(1-40%),0)*INDEX(fx,MATCH($C$3,currency,0)),"")</f>
        <v>0</v>
      </c>
      <c r="N52" s="487">
        <f>IFERROR(ROUND(Costs!N80/(1-40%),0)*INDEX(fx,MATCH($C$3,currency,0)),"")</f>
        <v>0</v>
      </c>
      <c r="O52" s="487">
        <f>IFERROR(ROUND(Costs!O80/(1-40%),0)*INDEX(fx,MATCH($C$3,currency,0)),"")</f>
        <v>0</v>
      </c>
      <c r="P52" s="488">
        <f>IFERROR(ROUND(Costs!P80/(1-40%),0)*INDEX(fx,MATCH($C$3,currency,0)),"")</f>
        <v>0</v>
      </c>
    </row>
    <row r="53" spans="2:16">
      <c r="B53" s="478" t="s">
        <v>213</v>
      </c>
      <c r="C53" s="489">
        <f>IFERROR(ROUND(Costs!C81/(1-40%),0)*INDEX(fx,MATCH($C$3,currency,0)),"")</f>
        <v>187</v>
      </c>
      <c r="D53" s="362">
        <f>IFERROR(ROUND(Costs!D81/(1-40%),0)*INDEX(fx,MATCH($C$3,currency,0)),"")</f>
        <v>0</v>
      </c>
      <c r="E53" s="362">
        <f>IFERROR(ROUND(Costs!E81/(1-40%),0)*INDEX(fx,MATCH($C$3,currency,0)),"")</f>
        <v>0</v>
      </c>
      <c r="F53" s="362">
        <f>IFERROR(ROUND(Costs!F81/(1-40%),0)*INDEX(fx,MATCH($C$3,currency,0)),"")</f>
        <v>0</v>
      </c>
      <c r="G53" s="362">
        <f>IFERROR(ROUND(Costs!G81/(1-40%),0)*INDEX(fx,MATCH($C$3,currency,0)),"")</f>
        <v>0</v>
      </c>
      <c r="H53" s="362">
        <f>IFERROR(ROUND(Costs!H81/(1-40%),0)*INDEX(fx,MATCH($C$3,currency,0)),"")</f>
        <v>0</v>
      </c>
      <c r="I53" s="362">
        <f>IFERROR(ROUND(Costs!I81/(1-40%),0)*INDEX(fx,MATCH($C$3,currency,0)),"")</f>
        <v>40</v>
      </c>
      <c r="J53" s="362">
        <f>IFERROR(ROUND(Costs!J81/(1-40%),0)*INDEX(fx,MATCH($C$3,currency,0)),"")</f>
        <v>0</v>
      </c>
      <c r="K53" s="362">
        <f>IFERROR(ROUND(Costs!K81/(1-40%),0)*INDEX(fx,MATCH($C$3,currency,0)),"")</f>
        <v>0</v>
      </c>
      <c r="L53" s="362">
        <f>IFERROR(ROUND(Costs!L81/(1-40%),0)*INDEX(fx,MATCH($C$3,currency,0)),"")</f>
        <v>0</v>
      </c>
      <c r="M53" s="362">
        <f>IFERROR(ROUND(Costs!M81/(1-40%),0)*INDEX(fx,MATCH($C$3,currency,0)),"")</f>
        <v>0</v>
      </c>
      <c r="N53" s="362">
        <f>IFERROR(ROUND(Costs!N81/(1-40%),0)*INDEX(fx,MATCH($C$3,currency,0)),"")</f>
        <v>0</v>
      </c>
      <c r="O53" s="362">
        <f>IFERROR(ROUND(Costs!O81/(1-40%),0)*INDEX(fx,MATCH($C$3,currency,0)),"")</f>
        <v>0</v>
      </c>
      <c r="P53" s="490">
        <f>IFERROR(ROUND(Costs!P81/(1-40%),0)*INDEX(fx,MATCH($C$3,currency,0)),"")</f>
        <v>0</v>
      </c>
    </row>
    <row r="54" spans="2:16">
      <c r="B54" s="478" t="s">
        <v>217</v>
      </c>
      <c r="C54" s="489">
        <f>IFERROR(ROUND(Costs!C82/(1-40%),0)*INDEX(fx,MATCH($C$3,currency,0)),"")</f>
        <v>225</v>
      </c>
      <c r="D54" s="362">
        <f>IFERROR(ROUND(Costs!D82/(1-40%),0)*INDEX(fx,MATCH($C$3,currency,0)),"")</f>
        <v>148</v>
      </c>
      <c r="E54" s="362">
        <f>IFERROR(ROUND(Costs!E82/(1-40%),0)*INDEX(fx,MATCH($C$3,currency,0)),"")</f>
        <v>0</v>
      </c>
      <c r="F54" s="362">
        <f>IFERROR(ROUND(Costs!F82/(1-40%),0)*INDEX(fx,MATCH($C$3,currency,0)),"")</f>
        <v>0</v>
      </c>
      <c r="G54" s="362">
        <f>IFERROR(ROUND(Costs!G82/(1-40%),0)*INDEX(fx,MATCH($C$3,currency,0)),"")</f>
        <v>0</v>
      </c>
      <c r="H54" s="362">
        <f>IFERROR(ROUND(Costs!H82/(1-40%),0)*INDEX(fx,MATCH($C$3,currency,0)),"")</f>
        <v>0</v>
      </c>
      <c r="I54" s="362">
        <f>IFERROR(ROUND(Costs!I82/(1-40%),0)*INDEX(fx,MATCH($C$3,currency,0)),"")</f>
        <v>48</v>
      </c>
      <c r="J54" s="362">
        <f>IFERROR(ROUND(Costs!J82/(1-40%),0)*INDEX(fx,MATCH($C$3,currency,0)),"")</f>
        <v>0</v>
      </c>
      <c r="K54" s="362">
        <f>IFERROR(ROUND(Costs!K82/(1-40%),0)*INDEX(fx,MATCH($C$3,currency,0)),"")</f>
        <v>0</v>
      </c>
      <c r="L54" s="362">
        <f>IFERROR(ROUND(Costs!L82/(1-40%),0)*INDEX(fx,MATCH($C$3,currency,0)),"")</f>
        <v>0</v>
      </c>
      <c r="M54" s="362">
        <f>IFERROR(ROUND(Costs!M82/(1-40%),0)*INDEX(fx,MATCH($C$3,currency,0)),"")</f>
        <v>0</v>
      </c>
      <c r="N54" s="362">
        <f>IFERROR(ROUND(Costs!N82/(1-40%),0)*INDEX(fx,MATCH($C$3,currency,0)),"")</f>
        <v>0</v>
      </c>
      <c r="O54" s="362">
        <f>IFERROR(ROUND(Costs!O82/(1-40%),0)*INDEX(fx,MATCH($C$3,currency,0)),"")</f>
        <v>0</v>
      </c>
      <c r="P54" s="490">
        <f>IFERROR(ROUND(Costs!P82/(1-40%),0)*INDEX(fx,MATCH($C$3,currency,0)),"")</f>
        <v>0</v>
      </c>
    </row>
    <row r="55" spans="2:16">
      <c r="B55" s="478" t="s">
        <v>221</v>
      </c>
      <c r="C55" s="489">
        <f>IFERROR(ROUND(Costs!C83/(1-40%),0)*INDEX(fx,MATCH($C$3,currency,0)),"")</f>
        <v>250</v>
      </c>
      <c r="D55" s="362">
        <f>IFERROR(ROUND(Costs!D83/(1-40%),0)*INDEX(fx,MATCH($C$3,currency,0)),"")</f>
        <v>195</v>
      </c>
      <c r="E55" s="362">
        <f>IFERROR(ROUND(Costs!E83/(1-40%),0)*INDEX(fx,MATCH($C$3,currency,0)),"")</f>
        <v>178</v>
      </c>
      <c r="F55" s="362">
        <f>IFERROR(ROUND(Costs!F83/(1-40%),0)*INDEX(fx,MATCH($C$3,currency,0)),"")</f>
        <v>0</v>
      </c>
      <c r="G55" s="362">
        <f>IFERROR(ROUND(Costs!G83/(1-40%),0)*INDEX(fx,MATCH($C$3,currency,0)),"")</f>
        <v>0</v>
      </c>
      <c r="H55" s="362">
        <f>IFERROR(ROUND(Costs!H83/(1-40%),0)*INDEX(fx,MATCH($C$3,currency,0)),"")</f>
        <v>0</v>
      </c>
      <c r="I55" s="362">
        <f>IFERROR(ROUND(Costs!I83/(1-40%),0)*INDEX(fx,MATCH($C$3,currency,0)),"")</f>
        <v>0</v>
      </c>
      <c r="J55" s="362">
        <f>IFERROR(ROUND(Costs!J83/(1-40%),0)*INDEX(fx,MATCH($C$3,currency,0)),"")</f>
        <v>0</v>
      </c>
      <c r="K55" s="362">
        <f>IFERROR(ROUND(Costs!K83/(1-40%),0)*INDEX(fx,MATCH($C$3,currency,0)),"")</f>
        <v>0</v>
      </c>
      <c r="L55" s="362">
        <f>IFERROR(ROUND(Costs!L83/(1-40%),0)*INDEX(fx,MATCH($C$3,currency,0)),"")</f>
        <v>0</v>
      </c>
      <c r="M55" s="362">
        <f>IFERROR(ROUND(Costs!M83/(1-40%),0)*INDEX(fx,MATCH($C$3,currency,0)),"")</f>
        <v>0</v>
      </c>
      <c r="N55" s="362">
        <f>IFERROR(ROUND(Costs!N83/(1-40%),0)*INDEX(fx,MATCH($C$3,currency,0)),"")</f>
        <v>0</v>
      </c>
      <c r="O55" s="362">
        <f>IFERROR(ROUND(Costs!O83/(1-40%),0)*INDEX(fx,MATCH($C$3,currency,0)),"")</f>
        <v>0</v>
      </c>
      <c r="P55" s="490">
        <f>IFERROR(ROUND(Costs!P83/(1-40%),0)*INDEX(fx,MATCH($C$3,currency,0)),"")</f>
        <v>0</v>
      </c>
    </row>
    <row r="56" spans="2:16">
      <c r="B56" s="478" t="s">
        <v>127</v>
      </c>
      <c r="C56" s="489">
        <f>IFERROR(ROUND(Costs!C84/(1-40%),0)*INDEX(fx,MATCH($C$3,currency,0)),"")</f>
        <v>0</v>
      </c>
      <c r="D56" s="362">
        <f>IFERROR(ROUND(Costs!D84/(1-40%),0)*INDEX(fx,MATCH($C$3,currency,0)),"")</f>
        <v>287</v>
      </c>
      <c r="E56" s="362">
        <f>IFERROR(ROUND(Costs!E84/(1-40%),0)*INDEX(fx,MATCH($C$3,currency,0)),"")</f>
        <v>0</v>
      </c>
      <c r="F56" s="362">
        <f>IFERROR(ROUND(Costs!F84/(1-40%),0)*INDEX(fx,MATCH($C$3,currency,0)),"")</f>
        <v>0</v>
      </c>
      <c r="G56" s="362">
        <f>IFERROR(ROUND(Costs!G84/(1-40%),0)*INDEX(fx,MATCH($C$3,currency,0)),"")</f>
        <v>0</v>
      </c>
      <c r="H56" s="362">
        <f>IFERROR(ROUND(Costs!H84/(1-40%),0)*INDEX(fx,MATCH($C$3,currency,0)),"")</f>
        <v>0</v>
      </c>
      <c r="I56" s="362">
        <f>IFERROR(ROUND(Costs!I84/(1-40%),0)*INDEX(fx,MATCH($C$3,currency,0)),"")</f>
        <v>0</v>
      </c>
      <c r="J56" s="362">
        <f>IFERROR(ROUND(Costs!J84/(1-40%),0)*INDEX(fx,MATCH($C$3,currency,0)),"")</f>
        <v>0</v>
      </c>
      <c r="K56" s="362">
        <f>IFERROR(ROUND(Costs!K84/(1-40%),0)*INDEX(fx,MATCH($C$3,currency,0)),"")</f>
        <v>0</v>
      </c>
      <c r="L56" s="362">
        <f>IFERROR(ROUND(Costs!L84/(1-40%),0)*INDEX(fx,MATCH($C$3,currency,0)),"")</f>
        <v>0</v>
      </c>
      <c r="M56" s="362">
        <f>IFERROR(ROUND(Costs!M84/(1-40%),0)*INDEX(fx,MATCH($C$3,currency,0)),"")</f>
        <v>0</v>
      </c>
      <c r="N56" s="362">
        <f>IFERROR(ROUND(Costs!N84/(1-40%),0)*INDEX(fx,MATCH($C$3,currency,0)),"")</f>
        <v>0</v>
      </c>
      <c r="O56" s="362">
        <f>IFERROR(ROUND(Costs!O84/(1-40%),0)*INDEX(fx,MATCH($C$3,currency,0)),"")</f>
        <v>0</v>
      </c>
      <c r="P56" s="490">
        <f>IFERROR(ROUND(Costs!P84/(1-40%),0)*INDEX(fx,MATCH($C$3,currency,0)),"")</f>
        <v>0</v>
      </c>
    </row>
    <row r="57" spans="2:16">
      <c r="B57" s="478" t="s">
        <v>117</v>
      </c>
      <c r="C57" s="489">
        <f>IFERROR(ROUND(Costs!C85/(1-40%),0)*INDEX(fx,MATCH($C$3,currency,0)),"")</f>
        <v>0</v>
      </c>
      <c r="D57" s="362">
        <f>IFERROR(ROUND(Costs!D85/(1-40%),0)*INDEX(fx,MATCH($C$3,currency,0)),"")</f>
        <v>148</v>
      </c>
      <c r="E57" s="362">
        <f>IFERROR(ROUND(Costs!E85/(1-40%),0)*INDEX(fx,MATCH($C$3,currency,0)),"")</f>
        <v>0</v>
      </c>
      <c r="F57" s="362">
        <f>IFERROR(ROUND(Costs!F85/(1-40%),0)*INDEX(fx,MATCH($C$3,currency,0)),"")</f>
        <v>0</v>
      </c>
      <c r="G57" s="362">
        <f>IFERROR(ROUND(Costs!G85/(1-40%),0)*INDEX(fx,MATCH($C$3,currency,0)),"")</f>
        <v>0</v>
      </c>
      <c r="H57" s="362">
        <f>IFERROR(ROUND(Costs!H85/(1-40%),0)*INDEX(fx,MATCH($C$3,currency,0)),"")</f>
        <v>0</v>
      </c>
      <c r="I57" s="362">
        <f>IFERROR(ROUND(Costs!I85/(1-40%),0)*INDEX(fx,MATCH($C$3,currency,0)),"")</f>
        <v>0</v>
      </c>
      <c r="J57" s="362">
        <f>IFERROR(ROUND(Costs!J85/(1-40%),0)*INDEX(fx,MATCH($C$3,currency,0)),"")</f>
        <v>0</v>
      </c>
      <c r="K57" s="362">
        <f>IFERROR(ROUND(Costs!K85/(1-40%),0)*INDEX(fx,MATCH($C$3,currency,0)),"")</f>
        <v>0</v>
      </c>
      <c r="L57" s="362">
        <f>IFERROR(ROUND(Costs!L85/(1-40%),0)*INDEX(fx,MATCH($C$3,currency,0)),"")</f>
        <v>0</v>
      </c>
      <c r="M57" s="362">
        <f>IFERROR(ROUND(Costs!M85/(1-40%),0)*INDEX(fx,MATCH($C$3,currency,0)),"")</f>
        <v>0</v>
      </c>
      <c r="N57" s="362">
        <f>IFERROR(ROUND(Costs!N85/(1-40%),0)*INDEX(fx,MATCH($C$3,currency,0)),"")</f>
        <v>0</v>
      </c>
      <c r="O57" s="362">
        <f>IFERROR(ROUND(Costs!O85/(1-40%),0)*INDEX(fx,MATCH($C$3,currency,0)),"")</f>
        <v>0</v>
      </c>
      <c r="P57" s="490">
        <f>IFERROR(ROUND(Costs!P85/(1-40%),0)*INDEX(fx,MATCH($C$3,currency,0)),"")</f>
        <v>0</v>
      </c>
    </row>
    <row r="58" spans="2:16">
      <c r="B58" s="478" t="s">
        <v>189</v>
      </c>
      <c r="C58" s="489">
        <f>IFERROR(ROUND(Costs!C86/(1-40%),0)*INDEX(fx,MATCH($C$3,currency,0)),"")</f>
        <v>0</v>
      </c>
      <c r="D58" s="362">
        <f>IFERROR(ROUND(Costs!D86/(1-40%),0)*INDEX(fx,MATCH($C$3,currency,0)),"")</f>
        <v>215</v>
      </c>
      <c r="E58" s="362">
        <f>IFERROR(ROUND(Costs!E86/(1-40%),0)*INDEX(fx,MATCH($C$3,currency,0)),"")</f>
        <v>0</v>
      </c>
      <c r="F58" s="362">
        <f>IFERROR(ROUND(Costs!F86/(1-40%),0)*INDEX(fx,MATCH($C$3,currency,0)),"")</f>
        <v>0</v>
      </c>
      <c r="G58" s="362">
        <f>IFERROR(ROUND(Costs!G86/(1-40%),0)*INDEX(fx,MATCH($C$3,currency,0)),"")</f>
        <v>0</v>
      </c>
      <c r="H58" s="362">
        <f>IFERROR(ROUND(Costs!H86/(1-40%),0)*INDEX(fx,MATCH($C$3,currency,0)),"")</f>
        <v>0</v>
      </c>
      <c r="I58" s="362">
        <f>IFERROR(ROUND(Costs!I86/(1-40%),0)*INDEX(fx,MATCH($C$3,currency,0)),"")</f>
        <v>0</v>
      </c>
      <c r="J58" s="362">
        <f>IFERROR(ROUND(Costs!J86/(1-40%),0)*INDEX(fx,MATCH($C$3,currency,0)),"")</f>
        <v>0</v>
      </c>
      <c r="K58" s="362">
        <f>IFERROR(ROUND(Costs!K86/(1-40%),0)*INDEX(fx,MATCH($C$3,currency,0)),"")</f>
        <v>0</v>
      </c>
      <c r="L58" s="362">
        <f>IFERROR(ROUND(Costs!L86/(1-40%),0)*INDEX(fx,MATCH($C$3,currency,0)),"")</f>
        <v>0</v>
      </c>
      <c r="M58" s="362">
        <f>IFERROR(ROUND(Costs!M86/(1-40%),0)*INDEX(fx,MATCH($C$3,currency,0)),"")</f>
        <v>0</v>
      </c>
      <c r="N58" s="362">
        <f>IFERROR(ROUND(Costs!N86/(1-40%),0)*INDEX(fx,MATCH($C$3,currency,0)),"")</f>
        <v>0</v>
      </c>
      <c r="O58" s="362">
        <f>IFERROR(ROUND(Costs!O86/(1-40%),0)*INDEX(fx,MATCH($C$3,currency,0)),"")</f>
        <v>0</v>
      </c>
      <c r="P58" s="490">
        <f>IFERROR(ROUND(Costs!P86/(1-40%),0)*INDEX(fx,MATCH($C$3,currency,0)),"")</f>
        <v>0</v>
      </c>
    </row>
    <row r="59" spans="2:16">
      <c r="B59" s="478" t="s">
        <v>148</v>
      </c>
      <c r="C59" s="489">
        <f>IFERROR(ROUND(Costs!C87/(1-40%),0)*INDEX(fx,MATCH($C$3,currency,0)),"")</f>
        <v>0</v>
      </c>
      <c r="D59" s="362">
        <f>IFERROR(ROUND(Costs!D87/(1-40%),0)*INDEX(fx,MATCH($C$3,currency,0)),"")</f>
        <v>0</v>
      </c>
      <c r="E59" s="362">
        <f>IFERROR(ROUND(Costs!E87/(1-40%),0)*INDEX(fx,MATCH($C$3,currency,0)),"")</f>
        <v>0</v>
      </c>
      <c r="F59" s="362">
        <f>IFERROR(ROUND(Costs!F87/(1-40%),0)*INDEX(fx,MATCH($C$3,currency,0)),"")</f>
        <v>0</v>
      </c>
      <c r="G59" s="362">
        <f>IFERROR(ROUND(Costs!G87/(1-40%),0)*INDEX(fx,MATCH($C$3,currency,0)),"")</f>
        <v>0</v>
      </c>
      <c r="H59" s="362">
        <f>IFERROR(ROUND(Costs!H87/(1-40%),0)*INDEX(fx,MATCH($C$3,currency,0)),"")</f>
        <v>0</v>
      </c>
      <c r="I59" s="362">
        <f>IFERROR(ROUND(Costs!I87/(1-40%),0)*INDEX(fx,MATCH($C$3,currency,0)),"")</f>
        <v>0</v>
      </c>
      <c r="J59" s="362">
        <f>IFERROR(ROUND(Costs!J87/(1-40%),0)*INDEX(fx,MATCH($C$3,currency,0)),"")</f>
        <v>0</v>
      </c>
      <c r="K59" s="362">
        <f>IFERROR(ROUND(Costs!K87/(1-40%),0)*INDEX(fx,MATCH($C$3,currency,0)),"")</f>
        <v>0</v>
      </c>
      <c r="L59" s="362">
        <f>IFERROR(ROUND(Costs!L87/(1-40%),0)*INDEX(fx,MATCH($C$3,currency,0)),"")</f>
        <v>0</v>
      </c>
      <c r="M59" s="362">
        <f>IFERROR(ROUND(Costs!M87/(1-40%),0)*INDEX(fx,MATCH($C$3,currency,0)),"")</f>
        <v>0</v>
      </c>
      <c r="N59" s="362">
        <f>IFERROR(ROUND(Costs!N87/(1-40%),0)*INDEX(fx,MATCH($C$3,currency,0)),"")</f>
        <v>0</v>
      </c>
      <c r="O59" s="362">
        <f>IFERROR(ROUND(Costs!O87/(1-40%),0)*INDEX(fx,MATCH($C$3,currency,0)),"")</f>
        <v>0</v>
      </c>
      <c r="P59" s="490">
        <f>IFERROR(ROUND(Costs!P87/(1-40%),0)*INDEX(fx,MATCH($C$3,currency,0)),"")</f>
        <v>0</v>
      </c>
    </row>
    <row r="60" spans="2:16">
      <c r="B60" s="478" t="s">
        <v>181</v>
      </c>
      <c r="C60" s="489">
        <f>IFERROR(ROUND(Costs!C88/(1-40%),0)*INDEX(fx,MATCH($C$3,currency,0)),"")</f>
        <v>0</v>
      </c>
      <c r="D60" s="362">
        <f>IFERROR(ROUND(Costs!D88/(1-40%),0)*INDEX(fx,MATCH($C$3,currency,0)),"")</f>
        <v>63</v>
      </c>
      <c r="E60" s="362">
        <f>IFERROR(ROUND(Costs!E88/(1-40%),0)*INDEX(fx,MATCH($C$3,currency,0)),"")</f>
        <v>0</v>
      </c>
      <c r="F60" s="362">
        <f>IFERROR(ROUND(Costs!F88/(1-40%),0)*INDEX(fx,MATCH($C$3,currency,0)),"")</f>
        <v>0</v>
      </c>
      <c r="G60" s="362">
        <f>IFERROR(ROUND(Costs!G88/(1-40%),0)*INDEX(fx,MATCH($C$3,currency,0)),"")</f>
        <v>0</v>
      </c>
      <c r="H60" s="362">
        <f>IFERROR(ROUND(Costs!H88/(1-40%),0)*INDEX(fx,MATCH($C$3,currency,0)),"")</f>
        <v>0</v>
      </c>
      <c r="I60" s="362">
        <f>IFERROR(ROUND(Costs!I88/(1-40%),0)*INDEX(fx,MATCH($C$3,currency,0)),"")</f>
        <v>17</v>
      </c>
      <c r="J60" s="362">
        <f>IFERROR(ROUND(Costs!J88/(1-40%),0)*INDEX(fx,MATCH($C$3,currency,0)),"")</f>
        <v>0</v>
      </c>
      <c r="K60" s="362">
        <f>IFERROR(ROUND(Costs!K88/(1-40%),0)*INDEX(fx,MATCH($C$3,currency,0)),"")</f>
        <v>0</v>
      </c>
      <c r="L60" s="362">
        <f>IFERROR(ROUND(Costs!L88/(1-40%),0)*INDEX(fx,MATCH($C$3,currency,0)),"")</f>
        <v>0</v>
      </c>
      <c r="M60" s="362">
        <f>IFERROR(ROUND(Costs!M88/(1-40%),0)*INDEX(fx,MATCH($C$3,currency,0)),"")</f>
        <v>0</v>
      </c>
      <c r="N60" s="362">
        <f>IFERROR(ROUND(Costs!N88/(1-40%),0)*INDEX(fx,MATCH($C$3,currency,0)),"")</f>
        <v>0</v>
      </c>
      <c r="O60" s="362">
        <f>IFERROR(ROUND(Costs!O88/(1-40%),0)*INDEX(fx,MATCH($C$3,currency,0)),"")</f>
        <v>0</v>
      </c>
      <c r="P60" s="490">
        <f>IFERROR(ROUND(Costs!P88/(1-40%),0)*INDEX(fx,MATCH($C$3,currency,0)),"")</f>
        <v>0</v>
      </c>
    </row>
    <row r="61" spans="2:16">
      <c r="B61" s="478" t="s">
        <v>183</v>
      </c>
      <c r="C61" s="489">
        <f>IFERROR(ROUND(Costs!C89/(1-40%),0)*INDEX(fx,MATCH($C$3,currency,0)),"")</f>
        <v>0</v>
      </c>
      <c r="D61" s="362">
        <f>IFERROR(ROUND(Costs!D89/(1-40%),0)*INDEX(fx,MATCH($C$3,currency,0)),"")</f>
        <v>133</v>
      </c>
      <c r="E61" s="362">
        <f>IFERROR(ROUND(Costs!E89/(1-40%),0)*INDEX(fx,MATCH($C$3,currency,0)),"")</f>
        <v>0</v>
      </c>
      <c r="F61" s="362">
        <f>IFERROR(ROUND(Costs!F89/(1-40%),0)*INDEX(fx,MATCH($C$3,currency,0)),"")</f>
        <v>0</v>
      </c>
      <c r="G61" s="362">
        <f>IFERROR(ROUND(Costs!G89/(1-40%),0)*INDEX(fx,MATCH($C$3,currency,0)),"")</f>
        <v>0</v>
      </c>
      <c r="H61" s="362">
        <f>IFERROR(ROUND(Costs!H89/(1-40%),0)*INDEX(fx,MATCH($C$3,currency,0)),"")</f>
        <v>0</v>
      </c>
      <c r="I61" s="362">
        <f>IFERROR(ROUND(Costs!I89/(1-40%),0)*INDEX(fx,MATCH($C$3,currency,0)),"")</f>
        <v>40</v>
      </c>
      <c r="J61" s="362">
        <f>IFERROR(ROUND(Costs!J89/(1-40%),0)*INDEX(fx,MATCH($C$3,currency,0)),"")</f>
        <v>0</v>
      </c>
      <c r="K61" s="362">
        <f>IFERROR(ROUND(Costs!K89/(1-40%),0)*INDEX(fx,MATCH($C$3,currency,0)),"")</f>
        <v>0</v>
      </c>
      <c r="L61" s="362">
        <f>IFERROR(ROUND(Costs!L89/(1-40%),0)*INDEX(fx,MATCH($C$3,currency,0)),"")</f>
        <v>0</v>
      </c>
      <c r="M61" s="362">
        <f>IFERROR(ROUND(Costs!M89/(1-40%),0)*INDEX(fx,MATCH($C$3,currency,0)),"")</f>
        <v>0</v>
      </c>
      <c r="N61" s="362">
        <f>IFERROR(ROUND(Costs!N89/(1-40%),0)*INDEX(fx,MATCH($C$3,currency,0)),"")</f>
        <v>0</v>
      </c>
      <c r="O61" s="362">
        <f>IFERROR(ROUND(Costs!O89/(1-40%),0)*INDEX(fx,MATCH($C$3,currency,0)),"")</f>
        <v>0</v>
      </c>
      <c r="P61" s="490">
        <f>IFERROR(ROUND(Costs!P89/(1-40%),0)*INDEX(fx,MATCH($C$3,currency,0)),"")</f>
        <v>0</v>
      </c>
    </row>
    <row r="62" spans="2:16">
      <c r="B62" s="479" t="s">
        <v>239</v>
      </c>
      <c r="C62" s="489">
        <f>IFERROR(ROUND(Costs!C90/(1-40%),0)*INDEX(fx,MATCH($C$3,currency,0)),"")</f>
        <v>0</v>
      </c>
      <c r="D62" s="362">
        <f>IFERROR(ROUND(Costs!D90/(1-40%),0)*INDEX(fx,MATCH($C$3,currency,0)),"")</f>
        <v>160</v>
      </c>
      <c r="E62" s="362">
        <f>IFERROR(ROUND(Costs!E90/(1-40%),0)*INDEX(fx,MATCH($C$3,currency,0)),"")</f>
        <v>0</v>
      </c>
      <c r="F62" s="362">
        <f>IFERROR(ROUND(Costs!F90/(1-40%),0)*INDEX(fx,MATCH($C$3,currency,0)),"")</f>
        <v>0</v>
      </c>
      <c r="G62" s="362">
        <f>IFERROR(ROUND(Costs!G90/(1-40%),0)*INDEX(fx,MATCH($C$3,currency,0)),"")</f>
        <v>0</v>
      </c>
      <c r="H62" s="362">
        <f>IFERROR(ROUND(Costs!H90/(1-40%),0)*INDEX(fx,MATCH($C$3,currency,0)),"")</f>
        <v>0</v>
      </c>
      <c r="I62" s="362">
        <f>IFERROR(ROUND(Costs!I90/(1-40%),0)*INDEX(fx,MATCH($C$3,currency,0)),"")</f>
        <v>0</v>
      </c>
      <c r="J62" s="362">
        <f>IFERROR(ROUND(Costs!J90/(1-40%),0)*INDEX(fx,MATCH($C$3,currency,0)),"")</f>
        <v>0</v>
      </c>
      <c r="K62" s="362">
        <f>IFERROR(ROUND(Costs!K90/(1-40%),0)*INDEX(fx,MATCH($C$3,currency,0)),"")</f>
        <v>0</v>
      </c>
      <c r="L62" s="362">
        <f>IFERROR(ROUND(Costs!L90/(1-40%),0)*INDEX(fx,MATCH($C$3,currency,0)),"")</f>
        <v>0</v>
      </c>
      <c r="M62" s="362">
        <f>IFERROR(ROUND(Costs!M90/(1-40%),0)*INDEX(fx,MATCH($C$3,currency,0)),"")</f>
        <v>0</v>
      </c>
      <c r="N62" s="362">
        <f>IFERROR(ROUND(Costs!N90/(1-40%),0)*INDEX(fx,MATCH($C$3,currency,0)),"")</f>
        <v>0</v>
      </c>
      <c r="O62" s="362">
        <f>IFERROR(ROUND(Costs!O90/(1-40%),0)*INDEX(fx,MATCH($C$3,currency,0)),"")</f>
        <v>0</v>
      </c>
      <c r="P62" s="490">
        <f>IFERROR(ROUND(Costs!P90/(1-40%),0)*INDEX(fx,MATCH($C$3,currency,0)),"")</f>
        <v>0</v>
      </c>
    </row>
    <row r="63" spans="2:16" ht="15.75" thickBot="1">
      <c r="B63" s="480" t="s">
        <v>180</v>
      </c>
      <c r="C63" s="491">
        <f>IFERROR(ROUND(Costs!C91/(1-40%),0)*INDEX(fx,MATCH($C$3,currency,0)),"")</f>
        <v>0</v>
      </c>
      <c r="D63" s="492">
        <f>IFERROR(ROUND(Costs!D91/(1-40%),0)*INDEX(fx,MATCH($C$3,currency,0)),"")</f>
        <v>202</v>
      </c>
      <c r="E63" s="492">
        <f>IFERROR(ROUND(Costs!E91/(1-40%),0)*INDEX(fx,MATCH($C$3,currency,0)),"")</f>
        <v>0</v>
      </c>
      <c r="F63" s="492">
        <f>IFERROR(ROUND(Costs!F91/(1-40%),0)*INDEX(fx,MATCH($C$3,currency,0)),"")</f>
        <v>0</v>
      </c>
      <c r="G63" s="492">
        <f>IFERROR(ROUND(Costs!G91/(1-40%),0)*INDEX(fx,MATCH($C$3,currency,0)),"")</f>
        <v>0</v>
      </c>
      <c r="H63" s="492">
        <f>IFERROR(ROUND(Costs!H91/(1-40%),0)*INDEX(fx,MATCH($C$3,currency,0)),"")</f>
        <v>0</v>
      </c>
      <c r="I63" s="492">
        <f>IFERROR(ROUND(Costs!I91/(1-40%),0)*INDEX(fx,MATCH($C$3,currency,0)),"")</f>
        <v>0</v>
      </c>
      <c r="J63" s="492">
        <f>IFERROR(ROUND(Costs!J91/(1-40%),0)*INDEX(fx,MATCH($C$3,currency,0)),"")</f>
        <v>0</v>
      </c>
      <c r="K63" s="492">
        <f>IFERROR(ROUND(Costs!K91/(1-40%),0)*INDEX(fx,MATCH($C$3,currency,0)),"")</f>
        <v>0</v>
      </c>
      <c r="L63" s="492">
        <f>IFERROR(ROUND(Costs!L91/(1-40%),0)*INDEX(fx,MATCH($C$3,currency,0)),"")</f>
        <v>0</v>
      </c>
      <c r="M63" s="492">
        <f>IFERROR(ROUND(Costs!M91/(1-40%),0)*INDEX(fx,MATCH($C$3,currency,0)),"")</f>
        <v>0</v>
      </c>
      <c r="N63" s="492">
        <f>IFERROR(ROUND(Costs!N91/(1-40%),0)*INDEX(fx,MATCH($C$3,currency,0)),"")</f>
        <v>0</v>
      </c>
      <c r="O63" s="492">
        <f>IFERROR(ROUND(Costs!O91/(1-40%),0)*INDEX(fx,MATCH($C$3,currency,0)),"")</f>
        <v>0</v>
      </c>
      <c r="P63" s="493">
        <f>IFERROR(ROUND(Costs!P91/(1-40%),0)*INDEX(fx,MATCH($C$3,currency,0)),"")</f>
        <v>0</v>
      </c>
    </row>
    <row r="64" spans="2:16"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</row>
    <row r="65" spans="2:16">
      <c r="B65" s="357"/>
      <c r="C65" s="357"/>
      <c r="D65" s="357"/>
      <c r="E65" s="357"/>
      <c r="F65" s="357"/>
      <c r="G65" s="357"/>
      <c r="H65" s="357"/>
      <c r="I65" s="357"/>
      <c r="J65" s="357"/>
      <c r="K65" s="357"/>
      <c r="L65" s="357"/>
      <c r="M65" s="357"/>
      <c r="N65" s="357"/>
      <c r="O65" s="357"/>
      <c r="P65" s="357"/>
    </row>
    <row r="66" spans="2:16">
      <c r="B66" s="357"/>
      <c r="C66" s="357"/>
      <c r="D66" s="357"/>
      <c r="E66" s="357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</row>
    <row r="67" spans="2:16" ht="15.75" thickBot="1"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7"/>
    </row>
    <row r="68" spans="2:16" ht="15.75" thickBot="1">
      <c r="B68" s="457" t="s">
        <v>460</v>
      </c>
      <c r="C68" s="458" t="s">
        <v>98</v>
      </c>
      <c r="D68" s="459" t="s">
        <v>105</v>
      </c>
      <c r="E68" s="459" t="s">
        <v>112</v>
      </c>
      <c r="F68" s="459" t="s">
        <v>120</v>
      </c>
      <c r="G68" s="459" t="s">
        <v>125</v>
      </c>
      <c r="H68" s="459" t="s">
        <v>131</v>
      </c>
      <c r="I68" s="459" t="s">
        <v>136</v>
      </c>
      <c r="J68" s="459" t="s">
        <v>140</v>
      </c>
      <c r="K68" s="459" t="s">
        <v>145</v>
      </c>
      <c r="L68" s="459" t="s">
        <v>149</v>
      </c>
      <c r="M68" s="459" t="s">
        <v>153</v>
      </c>
      <c r="N68" s="459" t="s">
        <v>156</v>
      </c>
      <c r="O68" s="459" t="s">
        <v>159</v>
      </c>
      <c r="P68" s="481" t="s">
        <v>161</v>
      </c>
    </row>
    <row r="69" spans="2:16">
      <c r="B69" s="477" t="s">
        <v>209</v>
      </c>
      <c r="C69" s="486">
        <f>IFERROR(ROUND(Costs!C97/(1-40%),0)*INDEX(fx,MATCH($C$3,currency,0)),"")</f>
        <v>0</v>
      </c>
      <c r="D69" s="487">
        <f>IFERROR(ROUND(Costs!D97/(1-40%),0)*INDEX(fx,MATCH($C$3,currency,0)),"")</f>
        <v>0</v>
      </c>
      <c r="E69" s="487">
        <f>IFERROR(ROUND(Costs!E97/(1-40%),0)*INDEX(fx,MATCH($C$3,currency,0)),"")</f>
        <v>0</v>
      </c>
      <c r="F69" s="487">
        <f>IFERROR(ROUND(Costs!F97/(1-40%),0)*INDEX(fx,MATCH($C$3,currency,0)),"")</f>
        <v>0</v>
      </c>
      <c r="G69" s="487">
        <f>IFERROR(ROUND(Costs!G97/(1-40%),0)*INDEX(fx,MATCH($C$3,currency,0)),"")</f>
        <v>0</v>
      </c>
      <c r="H69" s="487">
        <f>IFERROR(ROUND(Costs!H97/(1-40%),0)*INDEX(fx,MATCH($C$3,currency,0)),"")</f>
        <v>0</v>
      </c>
      <c r="I69" s="487">
        <f>IFERROR(ROUND(Costs!I97/(1-40%),0)*INDEX(fx,MATCH($C$3,currency,0)),"")</f>
        <v>0</v>
      </c>
      <c r="J69" s="487">
        <f>IFERROR(ROUND(Costs!J97/(1-40%),0)*INDEX(fx,MATCH($C$3,currency,0)),"")</f>
        <v>0</v>
      </c>
      <c r="K69" s="487">
        <f>IFERROR(ROUND(Costs!K97/(1-40%),0)*INDEX(fx,MATCH($C$3,currency,0)),"")</f>
        <v>0</v>
      </c>
      <c r="L69" s="487">
        <f>IFERROR(ROUND(Costs!L97/(1-40%),0)*INDEX(fx,MATCH($C$3,currency,0)),"")</f>
        <v>0</v>
      </c>
      <c r="M69" s="487">
        <f>IFERROR(ROUND(Costs!M97/(1-40%),0)*INDEX(fx,MATCH($C$3,currency,0)),"")</f>
        <v>0</v>
      </c>
      <c r="N69" s="487">
        <f>IFERROR(ROUND(Costs!N97/(1-40%),0)*INDEX(fx,MATCH($C$3,currency,0)),"")</f>
        <v>0</v>
      </c>
      <c r="O69" s="487">
        <f>IFERROR(ROUND(Costs!O97/(1-40%),0)*INDEX(fx,MATCH($C$3,currency,0)),"")</f>
        <v>0</v>
      </c>
      <c r="P69" s="488">
        <f>IFERROR(ROUND(Costs!P97/(1-40%),0)*INDEX(fx,MATCH($C$3,currency,0)),"")</f>
        <v>0</v>
      </c>
    </row>
    <row r="70" spans="2:16">
      <c r="B70" s="478" t="s">
        <v>213</v>
      </c>
      <c r="C70" s="489">
        <f>IFERROR(ROUND(Costs!C98/(1-40%),0)*INDEX(fx,MATCH($C$3,currency,0)),"")</f>
        <v>0</v>
      </c>
      <c r="D70" s="362">
        <f>IFERROR(ROUND(Costs!D98/(1-40%),0)*INDEX(fx,MATCH($C$3,currency,0)),"")</f>
        <v>0</v>
      </c>
      <c r="E70" s="362">
        <f>IFERROR(ROUND(Costs!E98/(1-40%),0)*INDEX(fx,MATCH($C$3,currency,0)),"")</f>
        <v>0</v>
      </c>
      <c r="F70" s="362">
        <f>IFERROR(ROUND(Costs!F98/(1-40%),0)*INDEX(fx,MATCH($C$3,currency,0)),"")</f>
        <v>0</v>
      </c>
      <c r="G70" s="362">
        <f>IFERROR(ROUND(Costs!G98/(1-40%),0)*INDEX(fx,MATCH($C$3,currency,0)),"")</f>
        <v>0</v>
      </c>
      <c r="H70" s="362">
        <f>IFERROR(ROUND(Costs!H98/(1-40%),0)*INDEX(fx,MATCH($C$3,currency,0)),"")</f>
        <v>0</v>
      </c>
      <c r="I70" s="362">
        <f>IFERROR(ROUND(Costs!I98/(1-40%),0)*INDEX(fx,MATCH($C$3,currency,0)),"")</f>
        <v>42</v>
      </c>
      <c r="J70" s="362">
        <f>IFERROR(ROUND(Costs!J98/(1-40%),0)*INDEX(fx,MATCH($C$3,currency,0)),"")</f>
        <v>0</v>
      </c>
      <c r="K70" s="362">
        <f>IFERROR(ROUND(Costs!K98/(1-40%),0)*INDEX(fx,MATCH($C$3,currency,0)),"")</f>
        <v>0</v>
      </c>
      <c r="L70" s="362">
        <f>IFERROR(ROUND(Costs!L98/(1-40%),0)*INDEX(fx,MATCH($C$3,currency,0)),"")</f>
        <v>0</v>
      </c>
      <c r="M70" s="362">
        <f>IFERROR(ROUND(Costs!M98/(1-40%),0)*INDEX(fx,MATCH($C$3,currency,0)),"")</f>
        <v>125</v>
      </c>
      <c r="N70" s="362">
        <f>IFERROR(ROUND(Costs!N98/(1-40%),0)*INDEX(fx,MATCH($C$3,currency,0)),"")</f>
        <v>0</v>
      </c>
      <c r="O70" s="362">
        <f>IFERROR(ROUND(Costs!O98/(1-40%),0)*INDEX(fx,MATCH($C$3,currency,0)),"")</f>
        <v>0</v>
      </c>
      <c r="P70" s="490">
        <f>IFERROR(ROUND(Costs!P98/(1-40%),0)*INDEX(fx,MATCH($C$3,currency,0)),"")</f>
        <v>0</v>
      </c>
    </row>
    <row r="71" spans="2:16">
      <c r="B71" s="478" t="s">
        <v>217</v>
      </c>
      <c r="C71" s="489">
        <f>IFERROR(ROUND(Costs!C99/(1-40%),0)*INDEX(fx,MATCH($C$3,currency,0)),"")</f>
        <v>148</v>
      </c>
      <c r="D71" s="362">
        <f>IFERROR(ROUND(Costs!D99/(1-40%),0)*INDEX(fx,MATCH($C$3,currency,0)),"")</f>
        <v>0</v>
      </c>
      <c r="E71" s="362">
        <f>IFERROR(ROUND(Costs!E99/(1-40%),0)*INDEX(fx,MATCH($C$3,currency,0)),"")</f>
        <v>0</v>
      </c>
      <c r="F71" s="362">
        <f>IFERROR(ROUND(Costs!F99/(1-40%),0)*INDEX(fx,MATCH($C$3,currency,0)),"")</f>
        <v>0</v>
      </c>
      <c r="G71" s="362">
        <f>IFERROR(ROUND(Costs!G99/(1-40%),0)*INDEX(fx,MATCH($C$3,currency,0)),"")</f>
        <v>0</v>
      </c>
      <c r="H71" s="362">
        <f>IFERROR(ROUND(Costs!H99/(1-40%),0)*INDEX(fx,MATCH($C$3,currency,0)),"")</f>
        <v>0</v>
      </c>
      <c r="I71" s="362">
        <f>IFERROR(ROUND(Costs!I99/(1-40%),0)*INDEX(fx,MATCH($C$3,currency,0)),"")</f>
        <v>72</v>
      </c>
      <c r="J71" s="362">
        <f>IFERROR(ROUND(Costs!J99/(1-40%),0)*INDEX(fx,MATCH($C$3,currency,0)),"")</f>
        <v>0</v>
      </c>
      <c r="K71" s="362">
        <f>IFERROR(ROUND(Costs!K99/(1-40%),0)*INDEX(fx,MATCH($C$3,currency,0)),"")</f>
        <v>0</v>
      </c>
      <c r="L71" s="362">
        <f>IFERROR(ROUND(Costs!L99/(1-40%),0)*INDEX(fx,MATCH($C$3,currency,0)),"")</f>
        <v>0</v>
      </c>
      <c r="M71" s="362">
        <f>IFERROR(ROUND(Costs!M99/(1-40%),0)*INDEX(fx,MATCH($C$3,currency,0)),"")</f>
        <v>0</v>
      </c>
      <c r="N71" s="362">
        <f>IFERROR(ROUND(Costs!N99/(1-40%),0)*INDEX(fx,MATCH($C$3,currency,0)),"")</f>
        <v>0</v>
      </c>
      <c r="O71" s="362">
        <f>IFERROR(ROUND(Costs!O99/(1-40%),0)*INDEX(fx,MATCH($C$3,currency,0)),"")</f>
        <v>0</v>
      </c>
      <c r="P71" s="490">
        <f>IFERROR(ROUND(Costs!P99/(1-40%),0)*INDEX(fx,MATCH($C$3,currency,0)),"")</f>
        <v>0</v>
      </c>
    </row>
    <row r="72" spans="2:16">
      <c r="B72" s="478" t="s">
        <v>221</v>
      </c>
      <c r="C72" s="489">
        <f>IFERROR(ROUND(Costs!C100/(1-40%),0)*INDEX(fx,MATCH($C$3,currency,0)),"")</f>
        <v>0</v>
      </c>
      <c r="D72" s="362">
        <f>IFERROR(ROUND(Costs!D100/(1-40%),0)*INDEX(fx,MATCH($C$3,currency,0)),"")</f>
        <v>0</v>
      </c>
      <c r="E72" s="362">
        <f>IFERROR(ROUND(Costs!E100/(1-40%),0)*INDEX(fx,MATCH($C$3,currency,0)),"")</f>
        <v>0</v>
      </c>
      <c r="F72" s="362">
        <f>IFERROR(ROUND(Costs!F100/(1-40%),0)*INDEX(fx,MATCH($C$3,currency,0)),"")</f>
        <v>0</v>
      </c>
      <c r="G72" s="362">
        <f>IFERROR(ROUND(Costs!G100/(1-40%),0)*INDEX(fx,MATCH($C$3,currency,0)),"")</f>
        <v>0</v>
      </c>
      <c r="H72" s="362">
        <f>IFERROR(ROUND(Costs!H100/(1-40%),0)*INDEX(fx,MATCH($C$3,currency,0)),"")</f>
        <v>0</v>
      </c>
      <c r="I72" s="362">
        <f>IFERROR(ROUND(Costs!I100/(1-40%),0)*INDEX(fx,MATCH($C$3,currency,0)),"")</f>
        <v>0</v>
      </c>
      <c r="J72" s="362">
        <f>IFERROR(ROUND(Costs!J100/(1-40%),0)*INDEX(fx,MATCH($C$3,currency,0)),"")</f>
        <v>0</v>
      </c>
      <c r="K72" s="362">
        <f>IFERROR(ROUND(Costs!K100/(1-40%),0)*INDEX(fx,MATCH($C$3,currency,0)),"")</f>
        <v>0</v>
      </c>
      <c r="L72" s="362">
        <f>IFERROR(ROUND(Costs!L100/(1-40%),0)*INDEX(fx,MATCH($C$3,currency,0)),"")</f>
        <v>0</v>
      </c>
      <c r="M72" s="362">
        <f>IFERROR(ROUND(Costs!M100/(1-40%),0)*INDEX(fx,MATCH($C$3,currency,0)),"")</f>
        <v>188</v>
      </c>
      <c r="N72" s="362">
        <f>IFERROR(ROUND(Costs!N100/(1-40%),0)*INDEX(fx,MATCH($C$3,currency,0)),"")</f>
        <v>0</v>
      </c>
      <c r="O72" s="362">
        <f>IFERROR(ROUND(Costs!O100/(1-40%),0)*INDEX(fx,MATCH($C$3,currency,0)),"")</f>
        <v>0</v>
      </c>
      <c r="P72" s="490">
        <f>IFERROR(ROUND(Costs!P100/(1-40%),0)*INDEX(fx,MATCH($C$3,currency,0)),"")</f>
        <v>0</v>
      </c>
    </row>
    <row r="73" spans="2:16">
      <c r="B73" s="478" t="s">
        <v>127</v>
      </c>
      <c r="C73" s="489">
        <f>IFERROR(ROUND(Costs!C101/(1-40%),0)*INDEX(fx,MATCH($C$3,currency,0)),"")</f>
        <v>0</v>
      </c>
      <c r="D73" s="362">
        <f>IFERROR(ROUND(Costs!D101/(1-40%),0)*INDEX(fx,MATCH($C$3,currency,0)),"")</f>
        <v>0</v>
      </c>
      <c r="E73" s="362">
        <f>IFERROR(ROUND(Costs!E101/(1-40%),0)*INDEX(fx,MATCH($C$3,currency,0)),"")</f>
        <v>0</v>
      </c>
      <c r="F73" s="362">
        <f>IFERROR(ROUND(Costs!F101/(1-40%),0)*INDEX(fx,MATCH($C$3,currency,0)),"")</f>
        <v>0</v>
      </c>
      <c r="G73" s="362">
        <f>IFERROR(ROUND(Costs!G101/(1-40%),0)*INDEX(fx,MATCH($C$3,currency,0)),"")</f>
        <v>0</v>
      </c>
      <c r="H73" s="362">
        <f>IFERROR(ROUND(Costs!H101/(1-40%),0)*INDEX(fx,MATCH($C$3,currency,0)),"")</f>
        <v>0</v>
      </c>
      <c r="I73" s="362">
        <f>IFERROR(ROUND(Costs!I101/(1-40%),0)*INDEX(fx,MATCH($C$3,currency,0)),"")</f>
        <v>78</v>
      </c>
      <c r="J73" s="362">
        <f>IFERROR(ROUND(Costs!J101/(1-40%),0)*INDEX(fx,MATCH($C$3,currency,0)),"")</f>
        <v>0</v>
      </c>
      <c r="K73" s="362">
        <f>IFERROR(ROUND(Costs!K101/(1-40%),0)*INDEX(fx,MATCH($C$3,currency,0)),"")</f>
        <v>0</v>
      </c>
      <c r="L73" s="362">
        <f>IFERROR(ROUND(Costs!L101/(1-40%),0)*INDEX(fx,MATCH($C$3,currency,0)),"")</f>
        <v>0</v>
      </c>
      <c r="M73" s="362">
        <f>IFERROR(ROUND(Costs!M101/(1-40%),0)*INDEX(fx,MATCH($C$3,currency,0)),"")</f>
        <v>350</v>
      </c>
      <c r="N73" s="362">
        <f>IFERROR(ROUND(Costs!N101/(1-40%),0)*INDEX(fx,MATCH($C$3,currency,0)),"")</f>
        <v>0</v>
      </c>
      <c r="O73" s="362">
        <f>IFERROR(ROUND(Costs!O101/(1-40%),0)*INDEX(fx,MATCH($C$3,currency,0)),"")</f>
        <v>0</v>
      </c>
      <c r="P73" s="490">
        <f>IFERROR(ROUND(Costs!P101/(1-40%),0)*INDEX(fx,MATCH($C$3,currency,0)),"")</f>
        <v>0</v>
      </c>
    </row>
    <row r="74" spans="2:16">
      <c r="B74" s="478" t="s">
        <v>117</v>
      </c>
      <c r="C74" s="489">
        <f>IFERROR(ROUND(Costs!C102/(1-40%),0)*INDEX(fx,MATCH($C$3,currency,0)),"")</f>
        <v>0</v>
      </c>
      <c r="D74" s="362">
        <f>IFERROR(ROUND(Costs!D102/(1-40%),0)*INDEX(fx,MATCH($C$3,currency,0)),"")</f>
        <v>0</v>
      </c>
      <c r="E74" s="362">
        <f>IFERROR(ROUND(Costs!E102/(1-40%),0)*INDEX(fx,MATCH($C$3,currency,0)),"")</f>
        <v>0</v>
      </c>
      <c r="F74" s="362">
        <f>IFERROR(ROUND(Costs!F102/(1-40%),0)*INDEX(fx,MATCH($C$3,currency,0)),"")</f>
        <v>0</v>
      </c>
      <c r="G74" s="362">
        <f>IFERROR(ROUND(Costs!G102/(1-40%),0)*INDEX(fx,MATCH($C$3,currency,0)),"")</f>
        <v>0</v>
      </c>
      <c r="H74" s="362">
        <f>IFERROR(ROUND(Costs!H102/(1-40%),0)*INDEX(fx,MATCH($C$3,currency,0)),"")</f>
        <v>0</v>
      </c>
      <c r="I74" s="362">
        <f>IFERROR(ROUND(Costs!I102/(1-40%),0)*INDEX(fx,MATCH($C$3,currency,0)),"")</f>
        <v>0</v>
      </c>
      <c r="J74" s="362">
        <f>IFERROR(ROUND(Costs!J102/(1-40%),0)*INDEX(fx,MATCH($C$3,currency,0)),"")</f>
        <v>0</v>
      </c>
      <c r="K74" s="362">
        <f>IFERROR(ROUND(Costs!K102/(1-40%),0)*INDEX(fx,MATCH($C$3,currency,0)),"")</f>
        <v>0</v>
      </c>
      <c r="L74" s="362">
        <f>IFERROR(ROUND(Costs!L102/(1-40%),0)*INDEX(fx,MATCH($C$3,currency,0)),"")</f>
        <v>0</v>
      </c>
      <c r="M74" s="362">
        <f>IFERROR(ROUND(Costs!M102/(1-40%),0)*INDEX(fx,MATCH($C$3,currency,0)),"")</f>
        <v>0</v>
      </c>
      <c r="N74" s="362">
        <f>IFERROR(ROUND(Costs!N102/(1-40%),0)*INDEX(fx,MATCH($C$3,currency,0)),"")</f>
        <v>0</v>
      </c>
      <c r="O74" s="362">
        <f>IFERROR(ROUND(Costs!O102/(1-40%),0)*INDEX(fx,MATCH($C$3,currency,0)),"")</f>
        <v>0</v>
      </c>
      <c r="P74" s="490">
        <f>IFERROR(ROUND(Costs!P102/(1-40%),0)*INDEX(fx,MATCH($C$3,currency,0)),"")</f>
        <v>0</v>
      </c>
    </row>
    <row r="75" spans="2:16">
      <c r="B75" s="478" t="s">
        <v>189</v>
      </c>
      <c r="C75" s="489">
        <f>IFERROR(ROUND(Costs!C103/(1-40%),0)*INDEX(fx,MATCH($C$3,currency,0)),"")</f>
        <v>0</v>
      </c>
      <c r="D75" s="362">
        <f>IFERROR(ROUND(Costs!D103/(1-40%),0)*INDEX(fx,MATCH($C$3,currency,0)),"")</f>
        <v>0</v>
      </c>
      <c r="E75" s="362">
        <f>IFERROR(ROUND(Costs!E103/(1-40%),0)*INDEX(fx,MATCH($C$3,currency,0)),"")</f>
        <v>0</v>
      </c>
      <c r="F75" s="362">
        <f>IFERROR(ROUND(Costs!F103/(1-40%),0)*INDEX(fx,MATCH($C$3,currency,0)),"")</f>
        <v>0</v>
      </c>
      <c r="G75" s="362">
        <f>IFERROR(ROUND(Costs!G103/(1-40%),0)*INDEX(fx,MATCH($C$3,currency,0)),"")</f>
        <v>0</v>
      </c>
      <c r="H75" s="362">
        <f>IFERROR(ROUND(Costs!H103/(1-40%),0)*INDEX(fx,MATCH($C$3,currency,0)),"")</f>
        <v>0</v>
      </c>
      <c r="I75" s="362">
        <f>IFERROR(ROUND(Costs!I103/(1-40%),0)*INDEX(fx,MATCH($C$3,currency,0)),"")</f>
        <v>0</v>
      </c>
      <c r="J75" s="362">
        <f>IFERROR(ROUND(Costs!J103/(1-40%),0)*INDEX(fx,MATCH($C$3,currency,0)),"")</f>
        <v>0</v>
      </c>
      <c r="K75" s="362">
        <f>IFERROR(ROUND(Costs!K103/(1-40%),0)*INDEX(fx,MATCH($C$3,currency,0)),"")</f>
        <v>0</v>
      </c>
      <c r="L75" s="362">
        <f>IFERROR(ROUND(Costs!L103/(1-40%),0)*INDEX(fx,MATCH($C$3,currency,0)),"")</f>
        <v>0</v>
      </c>
      <c r="M75" s="362">
        <f>IFERROR(ROUND(Costs!M103/(1-40%),0)*INDEX(fx,MATCH($C$3,currency,0)),"")</f>
        <v>0</v>
      </c>
      <c r="N75" s="362">
        <f>IFERROR(ROUND(Costs!N103/(1-40%),0)*INDEX(fx,MATCH($C$3,currency,0)),"")</f>
        <v>0</v>
      </c>
      <c r="O75" s="362">
        <f>IFERROR(ROUND(Costs!O103/(1-40%),0)*INDEX(fx,MATCH($C$3,currency,0)),"")</f>
        <v>0</v>
      </c>
      <c r="P75" s="490">
        <f>IFERROR(ROUND(Costs!P103/(1-40%),0)*INDEX(fx,MATCH($C$3,currency,0)),"")</f>
        <v>0</v>
      </c>
    </row>
    <row r="76" spans="2:16">
      <c r="B76" s="478" t="s">
        <v>148</v>
      </c>
      <c r="C76" s="489">
        <f>IFERROR(ROUND(Costs!C104/(1-40%),0)*INDEX(fx,MATCH($C$3,currency,0)),"")</f>
        <v>0</v>
      </c>
      <c r="D76" s="362">
        <f>IFERROR(ROUND(Costs!D104/(1-40%),0)*INDEX(fx,MATCH($C$3,currency,0)),"")</f>
        <v>0</v>
      </c>
      <c r="E76" s="362">
        <f>IFERROR(ROUND(Costs!E104/(1-40%),0)*INDEX(fx,MATCH($C$3,currency,0)),"")</f>
        <v>0</v>
      </c>
      <c r="F76" s="362">
        <f>IFERROR(ROUND(Costs!F104/(1-40%),0)*INDEX(fx,MATCH($C$3,currency,0)),"")</f>
        <v>0</v>
      </c>
      <c r="G76" s="362">
        <f>IFERROR(ROUND(Costs!G104/(1-40%),0)*INDEX(fx,MATCH($C$3,currency,0)),"")</f>
        <v>0</v>
      </c>
      <c r="H76" s="362">
        <f>IFERROR(ROUND(Costs!H104/(1-40%),0)*INDEX(fx,MATCH($C$3,currency,0)),"")</f>
        <v>0</v>
      </c>
      <c r="I76" s="362">
        <f>IFERROR(ROUND(Costs!I104/(1-40%),0)*INDEX(fx,MATCH($C$3,currency,0)),"")</f>
        <v>0</v>
      </c>
      <c r="J76" s="362">
        <f>IFERROR(ROUND(Costs!J104/(1-40%),0)*INDEX(fx,MATCH($C$3,currency,0)),"")</f>
        <v>0</v>
      </c>
      <c r="K76" s="362">
        <f>IFERROR(ROUND(Costs!K104/(1-40%),0)*INDEX(fx,MATCH($C$3,currency,0)),"")</f>
        <v>0</v>
      </c>
      <c r="L76" s="362">
        <f>IFERROR(ROUND(Costs!L104/(1-40%),0)*INDEX(fx,MATCH($C$3,currency,0)),"")</f>
        <v>0</v>
      </c>
      <c r="M76" s="362">
        <f>IFERROR(ROUND(Costs!M104/(1-40%),0)*INDEX(fx,MATCH($C$3,currency,0)),"")</f>
        <v>0</v>
      </c>
      <c r="N76" s="362">
        <f>IFERROR(ROUND(Costs!N104/(1-40%),0)*INDEX(fx,MATCH($C$3,currency,0)),"")</f>
        <v>0</v>
      </c>
      <c r="O76" s="362">
        <f>IFERROR(ROUND(Costs!O104/(1-40%),0)*INDEX(fx,MATCH($C$3,currency,0)),"")</f>
        <v>0</v>
      </c>
      <c r="P76" s="490">
        <f>IFERROR(ROUND(Costs!P104/(1-40%),0)*INDEX(fx,MATCH($C$3,currency,0)),"")</f>
        <v>0</v>
      </c>
    </row>
    <row r="77" spans="2:16">
      <c r="B77" s="478" t="s">
        <v>181</v>
      </c>
      <c r="C77" s="489">
        <f>IFERROR(ROUND(Costs!C105/(1-40%),0)*INDEX(fx,MATCH($C$3,currency,0)),"")</f>
        <v>0</v>
      </c>
      <c r="D77" s="362">
        <f>IFERROR(ROUND(Costs!D105/(1-40%),0)*INDEX(fx,MATCH($C$3,currency,0)),"")</f>
        <v>0</v>
      </c>
      <c r="E77" s="362">
        <f>IFERROR(ROUND(Costs!E105/(1-40%),0)*INDEX(fx,MATCH($C$3,currency,0)),"")</f>
        <v>0</v>
      </c>
      <c r="F77" s="362">
        <f>IFERROR(ROUND(Costs!F105/(1-40%),0)*INDEX(fx,MATCH($C$3,currency,0)),"")</f>
        <v>0</v>
      </c>
      <c r="G77" s="362">
        <f>IFERROR(ROUND(Costs!G105/(1-40%),0)*INDEX(fx,MATCH($C$3,currency,0)),"")</f>
        <v>0</v>
      </c>
      <c r="H77" s="362">
        <f>IFERROR(ROUND(Costs!H105/(1-40%),0)*INDEX(fx,MATCH($C$3,currency,0)),"")</f>
        <v>0</v>
      </c>
      <c r="I77" s="362">
        <f>IFERROR(ROUND(Costs!I105/(1-40%),0)*INDEX(fx,MATCH($C$3,currency,0)),"")</f>
        <v>0</v>
      </c>
      <c r="J77" s="362">
        <f>IFERROR(ROUND(Costs!J105/(1-40%),0)*INDEX(fx,MATCH($C$3,currency,0)),"")</f>
        <v>0</v>
      </c>
      <c r="K77" s="362">
        <f>IFERROR(ROUND(Costs!K105/(1-40%),0)*INDEX(fx,MATCH($C$3,currency,0)),"")</f>
        <v>0</v>
      </c>
      <c r="L77" s="362">
        <f>IFERROR(ROUND(Costs!L105/(1-40%),0)*INDEX(fx,MATCH($C$3,currency,0)),"")</f>
        <v>0</v>
      </c>
      <c r="M77" s="362">
        <f>IFERROR(ROUND(Costs!M105/(1-40%),0)*INDEX(fx,MATCH($C$3,currency,0)),"")</f>
        <v>0</v>
      </c>
      <c r="N77" s="362">
        <f>IFERROR(ROUND(Costs!N105/(1-40%),0)*INDEX(fx,MATCH($C$3,currency,0)),"")</f>
        <v>0</v>
      </c>
      <c r="O77" s="362">
        <f>IFERROR(ROUND(Costs!O105/(1-40%),0)*INDEX(fx,MATCH($C$3,currency,0)),"")</f>
        <v>0</v>
      </c>
      <c r="P77" s="490">
        <f>IFERROR(ROUND(Costs!P105/(1-40%),0)*INDEX(fx,MATCH($C$3,currency,0)),"")</f>
        <v>85</v>
      </c>
    </row>
    <row r="78" spans="2:16">
      <c r="B78" s="478" t="s">
        <v>183</v>
      </c>
      <c r="C78" s="489">
        <f>IFERROR(ROUND(Costs!C106/(1-40%),0)*INDEX(fx,MATCH($C$3,currency,0)),"")</f>
        <v>0</v>
      </c>
      <c r="D78" s="362">
        <f>IFERROR(ROUND(Costs!D106/(1-40%),0)*INDEX(fx,MATCH($C$3,currency,0)),"")</f>
        <v>0</v>
      </c>
      <c r="E78" s="362">
        <f>IFERROR(ROUND(Costs!E106/(1-40%),0)*INDEX(fx,MATCH($C$3,currency,0)),"")</f>
        <v>0</v>
      </c>
      <c r="F78" s="362">
        <f>IFERROR(ROUND(Costs!F106/(1-40%),0)*INDEX(fx,MATCH($C$3,currency,0)),"")</f>
        <v>0</v>
      </c>
      <c r="G78" s="362">
        <f>IFERROR(ROUND(Costs!G106/(1-40%),0)*INDEX(fx,MATCH($C$3,currency,0)),"")</f>
        <v>0</v>
      </c>
      <c r="H78" s="362">
        <f>IFERROR(ROUND(Costs!H106/(1-40%),0)*INDEX(fx,MATCH($C$3,currency,0)),"")</f>
        <v>0</v>
      </c>
      <c r="I78" s="362">
        <f>IFERROR(ROUND(Costs!I106/(1-40%),0)*INDEX(fx,MATCH($C$3,currency,0)),"")</f>
        <v>0</v>
      </c>
      <c r="J78" s="362">
        <f>IFERROR(ROUND(Costs!J106/(1-40%),0)*INDEX(fx,MATCH($C$3,currency,0)),"")</f>
        <v>0</v>
      </c>
      <c r="K78" s="362">
        <f>IFERROR(ROUND(Costs!K106/(1-40%),0)*INDEX(fx,MATCH($C$3,currency,0)),"")</f>
        <v>0</v>
      </c>
      <c r="L78" s="362">
        <f>IFERROR(ROUND(Costs!L106/(1-40%),0)*INDEX(fx,MATCH($C$3,currency,0)),"")</f>
        <v>0</v>
      </c>
      <c r="M78" s="362">
        <f>IFERROR(ROUND(Costs!M106/(1-40%),0)*INDEX(fx,MATCH($C$3,currency,0)),"")</f>
        <v>0</v>
      </c>
      <c r="N78" s="362">
        <f>IFERROR(ROUND(Costs!N106/(1-40%),0)*INDEX(fx,MATCH($C$3,currency,0)),"")</f>
        <v>0</v>
      </c>
      <c r="O78" s="362">
        <f>IFERROR(ROUND(Costs!O106/(1-40%),0)*INDEX(fx,MATCH($C$3,currency,0)),"")</f>
        <v>0</v>
      </c>
      <c r="P78" s="490">
        <f>IFERROR(ROUND(Costs!P106/(1-40%),0)*INDEX(fx,MATCH($C$3,currency,0)),"")</f>
        <v>0</v>
      </c>
    </row>
    <row r="79" spans="2:16">
      <c r="B79" s="479" t="s">
        <v>239</v>
      </c>
      <c r="C79" s="489">
        <f>IFERROR(ROUND(Costs!C107/(1-40%),0)*INDEX(fx,MATCH($C$3,currency,0)),"")</f>
        <v>0</v>
      </c>
      <c r="D79" s="362">
        <f>IFERROR(ROUND(Costs!D107/(1-40%),0)*INDEX(fx,MATCH($C$3,currency,0)),"")</f>
        <v>0</v>
      </c>
      <c r="E79" s="362">
        <f>IFERROR(ROUND(Costs!E107/(1-40%),0)*INDEX(fx,MATCH($C$3,currency,0)),"")</f>
        <v>0</v>
      </c>
      <c r="F79" s="362">
        <f>IFERROR(ROUND(Costs!F107/(1-40%),0)*INDEX(fx,MATCH($C$3,currency,0)),"")</f>
        <v>0</v>
      </c>
      <c r="G79" s="362">
        <f>IFERROR(ROUND(Costs!G107/(1-40%),0)*INDEX(fx,MATCH($C$3,currency,0)),"")</f>
        <v>0</v>
      </c>
      <c r="H79" s="362">
        <f>IFERROR(ROUND(Costs!H107/(1-40%),0)*INDEX(fx,MATCH($C$3,currency,0)),"")</f>
        <v>0</v>
      </c>
      <c r="I79" s="362">
        <f>IFERROR(ROUND(Costs!I107/(1-40%),0)*INDEX(fx,MATCH($C$3,currency,0)),"")</f>
        <v>0</v>
      </c>
      <c r="J79" s="362">
        <f>IFERROR(ROUND(Costs!J107/(1-40%),0)*INDEX(fx,MATCH($C$3,currency,0)),"")</f>
        <v>0</v>
      </c>
      <c r="K79" s="362">
        <f>IFERROR(ROUND(Costs!K107/(1-40%),0)*INDEX(fx,MATCH($C$3,currency,0)),"")</f>
        <v>0</v>
      </c>
      <c r="L79" s="362">
        <f>IFERROR(ROUND(Costs!L107/(1-40%),0)*INDEX(fx,MATCH($C$3,currency,0)),"")</f>
        <v>0</v>
      </c>
      <c r="M79" s="362">
        <f>IFERROR(ROUND(Costs!M107/(1-40%),0)*INDEX(fx,MATCH($C$3,currency,0)),"")</f>
        <v>180</v>
      </c>
      <c r="N79" s="362">
        <f>IFERROR(ROUND(Costs!N107/(1-40%),0)*INDEX(fx,MATCH($C$3,currency,0)),"")</f>
        <v>0</v>
      </c>
      <c r="O79" s="362">
        <f>IFERROR(ROUND(Costs!O107/(1-40%),0)*INDEX(fx,MATCH($C$3,currency,0)),"")</f>
        <v>0</v>
      </c>
      <c r="P79" s="490">
        <f>IFERROR(ROUND(Costs!P107/(1-40%),0)*INDEX(fx,MATCH($C$3,currency,0)),"")</f>
        <v>162</v>
      </c>
    </row>
    <row r="80" spans="2:16" ht="15.75" thickBot="1">
      <c r="B80" s="480" t="s">
        <v>180</v>
      </c>
      <c r="C80" s="491">
        <f>IFERROR(ROUND(Costs!C108/(1-40%),0)*INDEX(fx,MATCH($C$3,currency,0)),"")</f>
        <v>0</v>
      </c>
      <c r="D80" s="492">
        <f>IFERROR(ROUND(Costs!D108/(1-40%),0)*INDEX(fx,MATCH($C$3,currency,0)),"")</f>
        <v>0</v>
      </c>
      <c r="E80" s="492">
        <f>IFERROR(ROUND(Costs!E108/(1-40%),0)*INDEX(fx,MATCH($C$3,currency,0)),"")</f>
        <v>0</v>
      </c>
      <c r="F80" s="492">
        <f>IFERROR(ROUND(Costs!F108/(1-40%),0)*INDEX(fx,MATCH($C$3,currency,0)),"")</f>
        <v>0</v>
      </c>
      <c r="G80" s="492">
        <f>IFERROR(ROUND(Costs!G108/(1-40%),0)*INDEX(fx,MATCH($C$3,currency,0)),"")</f>
        <v>0</v>
      </c>
      <c r="H80" s="492">
        <f>IFERROR(ROUND(Costs!H108/(1-40%),0)*INDEX(fx,MATCH($C$3,currency,0)),"")</f>
        <v>0</v>
      </c>
      <c r="I80" s="492">
        <f>IFERROR(ROUND(Costs!I108/(1-40%),0)*INDEX(fx,MATCH($C$3,currency,0)),"")</f>
        <v>0</v>
      </c>
      <c r="J80" s="492">
        <f>IFERROR(ROUND(Costs!J108/(1-40%),0)*INDEX(fx,MATCH($C$3,currency,0)),"")</f>
        <v>0</v>
      </c>
      <c r="K80" s="492">
        <f>IFERROR(ROUND(Costs!K108/(1-40%),0)*INDEX(fx,MATCH($C$3,currency,0)),"")</f>
        <v>0</v>
      </c>
      <c r="L80" s="492">
        <f>IFERROR(ROUND(Costs!L108/(1-40%),0)*INDEX(fx,MATCH($C$3,currency,0)),"")</f>
        <v>0</v>
      </c>
      <c r="M80" s="492">
        <f>IFERROR(ROUND(Costs!M108/(1-40%),0)*INDEX(fx,MATCH($C$3,currency,0)),"")</f>
        <v>0</v>
      </c>
      <c r="N80" s="492">
        <f>IFERROR(ROUND(Costs!N108/(1-40%),0)*INDEX(fx,MATCH($C$3,currency,0)),"")</f>
        <v>0</v>
      </c>
      <c r="O80" s="492">
        <f>IFERROR(ROUND(Costs!O108/(1-40%),0)*INDEX(fx,MATCH($C$3,currency,0)),"")</f>
        <v>0</v>
      </c>
      <c r="P80" s="493">
        <f>IFERROR(ROUND(Costs!P108/(1-40%),0)*INDEX(fx,MATCH($C$3,currency,0)),"")</f>
        <v>320</v>
      </c>
    </row>
    <row r="81" spans="2:16"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</row>
    <row r="82" spans="2:16">
      <c r="B82" s="357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</row>
    <row r="83" spans="2:16">
      <c r="B83" s="357"/>
      <c r="C83" s="357"/>
      <c r="D83" s="357"/>
      <c r="E83" s="357"/>
      <c r="F83" s="357"/>
      <c r="G83" s="357"/>
      <c r="H83" s="357"/>
      <c r="I83" s="357"/>
      <c r="J83" s="357"/>
      <c r="K83" s="357"/>
      <c r="L83" s="357"/>
      <c r="M83" s="357"/>
      <c r="N83" s="357"/>
      <c r="O83" s="357"/>
      <c r="P83" s="357"/>
    </row>
    <row r="84" spans="2:16" ht="15.75" thickBot="1">
      <c r="B84" s="357"/>
      <c r="C84" s="357"/>
      <c r="D84" s="357"/>
      <c r="E84" s="357"/>
      <c r="F84" s="357"/>
      <c r="G84" s="357"/>
      <c r="H84" s="357"/>
      <c r="I84" s="357"/>
      <c r="J84" s="357"/>
      <c r="K84" s="357"/>
      <c r="L84" s="357"/>
      <c r="M84" s="357"/>
      <c r="N84" s="357"/>
      <c r="O84" s="357"/>
      <c r="P84" s="357"/>
    </row>
    <row r="85" spans="2:16" ht="15.75" thickBot="1">
      <c r="B85" s="471" t="s">
        <v>461</v>
      </c>
      <c r="C85" s="472" t="s">
        <v>98</v>
      </c>
      <c r="D85" s="473" t="s">
        <v>105</v>
      </c>
      <c r="E85" s="473" t="s">
        <v>112</v>
      </c>
      <c r="F85" s="473" t="s">
        <v>120</v>
      </c>
      <c r="G85" s="473" t="s">
        <v>125</v>
      </c>
      <c r="H85" s="473" t="s">
        <v>131</v>
      </c>
      <c r="I85" s="473" t="s">
        <v>136</v>
      </c>
      <c r="J85" s="473" t="s">
        <v>140</v>
      </c>
      <c r="K85" s="473" t="s">
        <v>145</v>
      </c>
      <c r="L85" s="473" t="s">
        <v>149</v>
      </c>
      <c r="M85" s="473" t="s">
        <v>153</v>
      </c>
      <c r="N85" s="473" t="s">
        <v>156</v>
      </c>
      <c r="O85" s="482" t="s">
        <v>159</v>
      </c>
      <c r="P85" s="482" t="s">
        <v>161</v>
      </c>
    </row>
    <row r="86" spans="2:16">
      <c r="B86" s="477" t="s">
        <v>209</v>
      </c>
      <c r="C86" s="494">
        <f>IFERROR(ROUND(Costs!C114/(1-40%),0)*INDEX(fx,MATCH($C$3,currency,0)),"")</f>
        <v>0</v>
      </c>
      <c r="D86" s="495">
        <f>IFERROR(ROUND(Costs!D114/(1-40%),0)*INDEX(fx,MATCH($C$3,currency,0)),"")</f>
        <v>0</v>
      </c>
      <c r="E86" s="495">
        <f>IFERROR(ROUND(Costs!E114/(1-40%),0)*INDEX(fx,MATCH($C$3,currency,0)),"")</f>
        <v>0</v>
      </c>
      <c r="F86" s="495">
        <f>IFERROR(ROUND(Costs!F114/(1-40%),0)*INDEX(fx,MATCH($C$3,currency,0)),"")</f>
        <v>0</v>
      </c>
      <c r="G86" s="495">
        <f>IFERROR(ROUND(Costs!G114/(1-40%),0)*INDEX(fx,MATCH($C$3,currency,0)),"")</f>
        <v>0</v>
      </c>
      <c r="H86" s="495">
        <f>IFERROR(ROUND(Costs!H114/(1-40%),0)*INDEX(fx,MATCH($C$3,currency,0)),"")</f>
        <v>0</v>
      </c>
      <c r="I86" s="495">
        <f>IFERROR(ROUND(Costs!I114/(1-40%),0)*INDEX(fx,MATCH($C$3,currency,0)),"")</f>
        <v>0</v>
      </c>
      <c r="J86" s="495">
        <f>IFERROR(ROUND(Costs!J114/(1-40%),0)*INDEX(fx,MATCH($C$3,currency,0)),"")</f>
        <v>0</v>
      </c>
      <c r="K86" s="495">
        <f>IFERROR(ROUND(Costs!K114/(1-40%),0)*INDEX(fx,MATCH($C$3,currency,0)),"")</f>
        <v>0</v>
      </c>
      <c r="L86" s="495">
        <f>IFERROR(ROUND(Costs!L114/(1-40%),0)*INDEX(fx,MATCH($C$3,currency,0)),"")</f>
        <v>0</v>
      </c>
      <c r="M86" s="495">
        <f>IFERROR(ROUND(Costs!M114/(1-40%),0)*INDEX(fx,MATCH($C$3,currency,0)),"")</f>
        <v>0</v>
      </c>
      <c r="N86" s="495">
        <f>IFERROR(ROUND(Costs!N114/(1-40%),0)*INDEX(fx,MATCH($C$3,currency,0)),"")</f>
        <v>0</v>
      </c>
      <c r="O86" s="495">
        <f>IFERROR(ROUND(Costs!O114/(1-40%),0)*INDEX(fx,MATCH($C$3,currency,0)),"")</f>
        <v>0</v>
      </c>
      <c r="P86" s="496">
        <f>IFERROR(ROUND(Costs!P114/(1-40%),0)*INDEX(fx,MATCH($C$3,currency,0)),"")</f>
        <v>0</v>
      </c>
    </row>
    <row r="87" spans="2:16">
      <c r="B87" s="478" t="s">
        <v>213</v>
      </c>
      <c r="C87" s="497">
        <f>IFERROR(ROUND(Costs!C115/(1-40%),0)*INDEX(fx,MATCH($C$3,currency,0)),"")</f>
        <v>0</v>
      </c>
      <c r="D87" s="363">
        <f>IFERROR(ROUND(Costs!D115/(1-40%),0)*INDEX(fx,MATCH($C$3,currency,0)),"")</f>
        <v>0</v>
      </c>
      <c r="E87" s="363">
        <f>IFERROR(ROUND(Costs!E115/(1-40%),0)*INDEX(fx,MATCH($C$3,currency,0)),"")</f>
        <v>0</v>
      </c>
      <c r="F87" s="363">
        <f>IFERROR(ROUND(Costs!F115/(1-40%),0)*INDEX(fx,MATCH($C$3,currency,0)),"")</f>
        <v>0</v>
      </c>
      <c r="G87" s="363">
        <f>IFERROR(ROUND(Costs!G115/(1-40%),0)*INDEX(fx,MATCH($C$3,currency,0)),"")</f>
        <v>0</v>
      </c>
      <c r="H87" s="363">
        <f>IFERROR(ROUND(Costs!H115/(1-40%),0)*INDEX(fx,MATCH($C$3,currency,0)),"")</f>
        <v>0</v>
      </c>
      <c r="I87" s="363">
        <f>IFERROR(ROUND(Costs!I115/(1-40%),0)*INDEX(fx,MATCH($C$3,currency,0)),"")</f>
        <v>0</v>
      </c>
      <c r="J87" s="363">
        <f>IFERROR(ROUND(Costs!J115/(1-40%),0)*INDEX(fx,MATCH($C$3,currency,0)),"")</f>
        <v>0</v>
      </c>
      <c r="K87" s="363">
        <f>IFERROR(ROUND(Costs!K115/(1-40%),0)*INDEX(fx,MATCH($C$3,currency,0)),"")</f>
        <v>0</v>
      </c>
      <c r="L87" s="363">
        <f>IFERROR(ROUND(Costs!L115/(1-40%),0)*INDEX(fx,MATCH($C$3,currency,0)),"")</f>
        <v>0</v>
      </c>
      <c r="M87" s="363">
        <f>IFERROR(ROUND(Costs!M115/(1-40%),0)*INDEX(fx,MATCH($C$3,currency,0)),"")</f>
        <v>0</v>
      </c>
      <c r="N87" s="363">
        <f>IFERROR(ROUND(Costs!N115/(1-40%),0)*INDEX(fx,MATCH($C$3,currency,0)),"")</f>
        <v>0</v>
      </c>
      <c r="O87" s="363">
        <f>IFERROR(ROUND(Costs!O115/(1-40%),0)*INDEX(fx,MATCH($C$3,currency,0)),"")</f>
        <v>0</v>
      </c>
      <c r="P87" s="498">
        <f>IFERROR(ROUND(Costs!P115/(1-40%),0)*INDEX(fx,MATCH($C$3,currency,0)),"")</f>
        <v>0</v>
      </c>
    </row>
    <row r="88" spans="2:16">
      <c r="B88" s="478" t="s">
        <v>217</v>
      </c>
      <c r="C88" s="497">
        <f>IFERROR(ROUND(Costs!C116/(1-40%),0)*INDEX(fx,MATCH($C$3,currency,0)),"")</f>
        <v>0</v>
      </c>
      <c r="D88" s="363">
        <f>IFERROR(ROUND(Costs!D116/(1-40%),0)*INDEX(fx,MATCH($C$3,currency,0)),"")</f>
        <v>0</v>
      </c>
      <c r="E88" s="363">
        <f>IFERROR(ROUND(Costs!E116/(1-40%),0)*INDEX(fx,MATCH($C$3,currency,0)),"")</f>
        <v>0</v>
      </c>
      <c r="F88" s="363">
        <f>IFERROR(ROUND(Costs!F116/(1-40%),0)*INDEX(fx,MATCH($C$3,currency,0)),"")</f>
        <v>0</v>
      </c>
      <c r="G88" s="363">
        <f>IFERROR(ROUND(Costs!G116/(1-40%),0)*INDEX(fx,MATCH($C$3,currency,0)),"")</f>
        <v>0</v>
      </c>
      <c r="H88" s="363">
        <f>IFERROR(ROUND(Costs!H116/(1-40%),0)*INDEX(fx,MATCH($C$3,currency,0)),"")</f>
        <v>0</v>
      </c>
      <c r="I88" s="363">
        <f>IFERROR(ROUND(Costs!I116/(1-40%),0)*INDEX(fx,MATCH($C$3,currency,0)),"")</f>
        <v>0</v>
      </c>
      <c r="J88" s="363">
        <f>IFERROR(ROUND(Costs!J116/(1-40%),0)*INDEX(fx,MATCH($C$3,currency,0)),"")</f>
        <v>0</v>
      </c>
      <c r="K88" s="363">
        <f>IFERROR(ROUND(Costs!K116/(1-40%),0)*INDEX(fx,MATCH($C$3,currency,0)),"")</f>
        <v>0</v>
      </c>
      <c r="L88" s="363">
        <f>IFERROR(ROUND(Costs!L116/(1-40%),0)*INDEX(fx,MATCH($C$3,currency,0)),"")</f>
        <v>0</v>
      </c>
      <c r="M88" s="363">
        <f>IFERROR(ROUND(Costs!M116/(1-40%),0)*INDEX(fx,MATCH($C$3,currency,0)),"")</f>
        <v>0</v>
      </c>
      <c r="N88" s="363">
        <f>IFERROR(ROUND(Costs!N116/(1-40%),0)*INDEX(fx,MATCH($C$3,currency,0)),"")</f>
        <v>0</v>
      </c>
      <c r="O88" s="363">
        <f>IFERROR(ROUND(Costs!O116/(1-40%),0)*INDEX(fx,MATCH($C$3,currency,0)),"")</f>
        <v>0</v>
      </c>
      <c r="P88" s="498">
        <f>IFERROR(ROUND(Costs!P116/(1-40%),0)*INDEX(fx,MATCH($C$3,currency,0)),"")</f>
        <v>0</v>
      </c>
    </row>
    <row r="89" spans="2:16">
      <c r="B89" s="478" t="s">
        <v>221</v>
      </c>
      <c r="C89" s="497">
        <f>IFERROR(ROUND(Costs!C117/(1-40%),0)*INDEX(fx,MATCH($C$3,currency,0)),"")</f>
        <v>0</v>
      </c>
      <c r="D89" s="363">
        <f>IFERROR(ROUND(Costs!D117/(1-40%),0)*INDEX(fx,MATCH($C$3,currency,0)),"")</f>
        <v>0</v>
      </c>
      <c r="E89" s="363">
        <f>IFERROR(ROUND(Costs!E117/(1-40%),0)*INDEX(fx,MATCH($C$3,currency,0)),"")</f>
        <v>0</v>
      </c>
      <c r="F89" s="363">
        <f>IFERROR(ROUND(Costs!F117/(1-40%),0)*INDEX(fx,MATCH($C$3,currency,0)),"")</f>
        <v>0</v>
      </c>
      <c r="G89" s="363">
        <f>IFERROR(ROUND(Costs!G117/(1-40%),0)*INDEX(fx,MATCH($C$3,currency,0)),"")</f>
        <v>0</v>
      </c>
      <c r="H89" s="363">
        <f>IFERROR(ROUND(Costs!H117/(1-40%),0)*INDEX(fx,MATCH($C$3,currency,0)),"")</f>
        <v>0</v>
      </c>
      <c r="I89" s="363">
        <f>IFERROR(ROUND(Costs!I117/(1-40%),0)*INDEX(fx,MATCH($C$3,currency,0)),"")</f>
        <v>0</v>
      </c>
      <c r="J89" s="363">
        <f>IFERROR(ROUND(Costs!J117/(1-40%),0)*INDEX(fx,MATCH($C$3,currency,0)),"")</f>
        <v>0</v>
      </c>
      <c r="K89" s="363">
        <f>IFERROR(ROUND(Costs!K117/(1-40%),0)*INDEX(fx,MATCH($C$3,currency,0)),"")</f>
        <v>0</v>
      </c>
      <c r="L89" s="363">
        <f>IFERROR(ROUND(Costs!L117/(1-40%),0)*INDEX(fx,MATCH($C$3,currency,0)),"")</f>
        <v>0</v>
      </c>
      <c r="M89" s="363">
        <f>IFERROR(ROUND(Costs!M117/(1-40%),0)*INDEX(fx,MATCH($C$3,currency,0)),"")</f>
        <v>0</v>
      </c>
      <c r="N89" s="363">
        <f>IFERROR(ROUND(Costs!N117/(1-40%),0)*INDEX(fx,MATCH($C$3,currency,0)),"")</f>
        <v>0</v>
      </c>
      <c r="O89" s="363">
        <f>IFERROR(ROUND(Costs!O117/(1-40%),0)*INDEX(fx,MATCH($C$3,currency,0)),"")</f>
        <v>0</v>
      </c>
      <c r="P89" s="498">
        <f>IFERROR(ROUND(Costs!P117/(1-40%),0)*INDEX(fx,MATCH($C$3,currency,0)),"")</f>
        <v>0</v>
      </c>
    </row>
    <row r="90" spans="2:16">
      <c r="B90" s="478" t="s">
        <v>127</v>
      </c>
      <c r="C90" s="497">
        <f>IFERROR(ROUND(Costs!C118/(1-40%),0)*INDEX(fx,MATCH($C$3,currency,0)),"")</f>
        <v>0</v>
      </c>
      <c r="D90" s="363">
        <f>IFERROR(ROUND(Costs!D118/(1-40%),0)*INDEX(fx,MATCH($C$3,currency,0)),"")</f>
        <v>0</v>
      </c>
      <c r="E90" s="363">
        <f>IFERROR(ROUND(Costs!E118/(1-40%),0)*INDEX(fx,MATCH($C$3,currency,0)),"")</f>
        <v>0</v>
      </c>
      <c r="F90" s="363">
        <f>IFERROR(ROUND(Costs!F118/(1-40%),0)*INDEX(fx,MATCH($C$3,currency,0)),"")</f>
        <v>0</v>
      </c>
      <c r="G90" s="363">
        <f>IFERROR(ROUND(Costs!G118/(1-40%),0)*INDEX(fx,MATCH($C$3,currency,0)),"")</f>
        <v>0</v>
      </c>
      <c r="H90" s="363">
        <f>IFERROR(ROUND(Costs!H118/(1-40%),0)*INDEX(fx,MATCH($C$3,currency,0)),"")</f>
        <v>158</v>
      </c>
      <c r="I90" s="363">
        <f>IFERROR(ROUND(Costs!I118/(1-40%),0)*INDEX(fx,MATCH($C$3,currency,0)),"")</f>
        <v>0</v>
      </c>
      <c r="J90" s="363">
        <f>IFERROR(ROUND(Costs!J118/(1-40%),0)*INDEX(fx,MATCH($C$3,currency,0)),"")</f>
        <v>0</v>
      </c>
      <c r="K90" s="363">
        <f>IFERROR(ROUND(Costs!K118/(1-40%),0)*INDEX(fx,MATCH($C$3,currency,0)),"")</f>
        <v>0</v>
      </c>
      <c r="L90" s="363">
        <f>IFERROR(ROUND(Costs!L118/(1-40%),0)*INDEX(fx,MATCH($C$3,currency,0)),"")</f>
        <v>0</v>
      </c>
      <c r="M90" s="363">
        <f>IFERROR(ROUND(Costs!M118/(1-40%),0)*INDEX(fx,MATCH($C$3,currency,0)),"")</f>
        <v>0</v>
      </c>
      <c r="N90" s="363">
        <f>IFERROR(ROUND(Costs!N118/(1-40%),0)*INDEX(fx,MATCH($C$3,currency,0)),"")</f>
        <v>0</v>
      </c>
      <c r="O90" s="363">
        <f>IFERROR(ROUND(Costs!O118/(1-40%),0)*INDEX(fx,MATCH($C$3,currency,0)),"")</f>
        <v>0</v>
      </c>
      <c r="P90" s="498">
        <f>IFERROR(ROUND(Costs!P118/(1-40%),0)*INDEX(fx,MATCH($C$3,currency,0)),"")</f>
        <v>0</v>
      </c>
    </row>
    <row r="91" spans="2:16">
      <c r="B91" s="478" t="s">
        <v>117</v>
      </c>
      <c r="C91" s="497">
        <f>IFERROR(ROUND(Costs!C119/(1-40%),0)*INDEX(fx,MATCH($C$3,currency,0)),"")</f>
        <v>147</v>
      </c>
      <c r="D91" s="363">
        <f>IFERROR(ROUND(Costs!D119/(1-40%),0)*INDEX(fx,MATCH($C$3,currency,0)),"")</f>
        <v>0</v>
      </c>
      <c r="E91" s="363">
        <f>IFERROR(ROUND(Costs!E119/(1-40%),0)*INDEX(fx,MATCH($C$3,currency,0)),"")</f>
        <v>0</v>
      </c>
      <c r="F91" s="363">
        <f>IFERROR(ROUND(Costs!F119/(1-40%),0)*INDEX(fx,MATCH($C$3,currency,0)),"")</f>
        <v>0</v>
      </c>
      <c r="G91" s="363">
        <f>IFERROR(ROUND(Costs!G119/(1-40%),0)*INDEX(fx,MATCH($C$3,currency,0)),"")</f>
        <v>0</v>
      </c>
      <c r="H91" s="363">
        <f>IFERROR(ROUND(Costs!H119/(1-40%),0)*INDEX(fx,MATCH($C$3,currency,0)),"")</f>
        <v>0</v>
      </c>
      <c r="I91" s="363">
        <f>IFERROR(ROUND(Costs!I119/(1-40%),0)*INDEX(fx,MATCH($C$3,currency,0)),"")</f>
        <v>30</v>
      </c>
      <c r="J91" s="363">
        <f>IFERROR(ROUND(Costs!J119/(1-40%),0)*INDEX(fx,MATCH($C$3,currency,0)),"")</f>
        <v>0</v>
      </c>
      <c r="K91" s="363">
        <f>IFERROR(ROUND(Costs!K119/(1-40%),0)*INDEX(fx,MATCH($C$3,currency,0)),"")</f>
        <v>0</v>
      </c>
      <c r="L91" s="363">
        <f>IFERROR(ROUND(Costs!L119/(1-40%),0)*INDEX(fx,MATCH($C$3,currency,0)),"")</f>
        <v>0</v>
      </c>
      <c r="M91" s="363">
        <f>IFERROR(ROUND(Costs!M119/(1-40%),0)*INDEX(fx,MATCH($C$3,currency,0)),"")</f>
        <v>0</v>
      </c>
      <c r="N91" s="363">
        <f>IFERROR(ROUND(Costs!N119/(1-40%),0)*INDEX(fx,MATCH($C$3,currency,0)),"")</f>
        <v>0</v>
      </c>
      <c r="O91" s="363">
        <f>IFERROR(ROUND(Costs!O119/(1-40%),0)*INDEX(fx,MATCH($C$3,currency,0)),"")</f>
        <v>0</v>
      </c>
      <c r="P91" s="498">
        <f>IFERROR(ROUND(Costs!P119/(1-40%),0)*INDEX(fx,MATCH($C$3,currency,0)),"")</f>
        <v>0</v>
      </c>
    </row>
    <row r="92" spans="2:16">
      <c r="B92" s="478" t="s">
        <v>189</v>
      </c>
      <c r="C92" s="497">
        <f>IFERROR(ROUND(Costs!C120/(1-40%),0)*INDEX(fx,MATCH($C$3,currency,0)),"")</f>
        <v>227</v>
      </c>
      <c r="D92" s="363">
        <f>IFERROR(ROUND(Costs!D120/(1-40%),0)*INDEX(fx,MATCH($C$3,currency,0)),"")</f>
        <v>0</v>
      </c>
      <c r="E92" s="363">
        <f>IFERROR(ROUND(Costs!E120/(1-40%),0)*INDEX(fx,MATCH($C$3,currency,0)),"")</f>
        <v>0</v>
      </c>
      <c r="F92" s="363">
        <f>IFERROR(ROUND(Costs!F120/(1-40%),0)*INDEX(fx,MATCH($C$3,currency,0)),"")</f>
        <v>0</v>
      </c>
      <c r="G92" s="363">
        <f>IFERROR(ROUND(Costs!G120/(1-40%),0)*INDEX(fx,MATCH($C$3,currency,0)),"")</f>
        <v>0</v>
      </c>
      <c r="H92" s="363">
        <f>IFERROR(ROUND(Costs!H120/(1-40%),0)*INDEX(fx,MATCH($C$3,currency,0)),"")</f>
        <v>0</v>
      </c>
      <c r="I92" s="363">
        <f>IFERROR(ROUND(Costs!I120/(1-40%),0)*INDEX(fx,MATCH($C$3,currency,0)),"")</f>
        <v>57</v>
      </c>
      <c r="J92" s="363">
        <f>IFERROR(ROUND(Costs!J120/(1-40%),0)*INDEX(fx,MATCH($C$3,currency,0)),"")</f>
        <v>0</v>
      </c>
      <c r="K92" s="363">
        <f>IFERROR(ROUND(Costs!K120/(1-40%),0)*INDEX(fx,MATCH($C$3,currency,0)),"")</f>
        <v>0</v>
      </c>
      <c r="L92" s="363">
        <f>IFERROR(ROUND(Costs!L120/(1-40%),0)*INDEX(fx,MATCH($C$3,currency,0)),"")</f>
        <v>0</v>
      </c>
      <c r="M92" s="363">
        <f>IFERROR(ROUND(Costs!M120/(1-40%),0)*INDEX(fx,MATCH($C$3,currency,0)),"")</f>
        <v>0</v>
      </c>
      <c r="N92" s="363">
        <f>IFERROR(ROUND(Costs!N120/(1-40%),0)*INDEX(fx,MATCH($C$3,currency,0)),"")</f>
        <v>0</v>
      </c>
      <c r="O92" s="363">
        <f>IFERROR(ROUND(Costs!O120/(1-40%),0)*INDEX(fx,MATCH($C$3,currency,0)),"")</f>
        <v>0</v>
      </c>
      <c r="P92" s="498">
        <f>IFERROR(ROUND(Costs!P120/(1-40%),0)*INDEX(fx,MATCH($C$3,currency,0)),"")</f>
        <v>0</v>
      </c>
    </row>
    <row r="93" spans="2:16">
      <c r="B93" s="478" t="s">
        <v>148</v>
      </c>
      <c r="C93" s="497">
        <f>IFERROR(ROUND(Costs!C121/(1-40%),0)*INDEX(fx,MATCH($C$3,currency,0)),"")</f>
        <v>135</v>
      </c>
      <c r="D93" s="363">
        <f>IFERROR(ROUND(Costs!D121/(1-40%),0)*INDEX(fx,MATCH($C$3,currency,0)),"")</f>
        <v>0</v>
      </c>
      <c r="E93" s="363">
        <f>IFERROR(ROUND(Costs!E121/(1-40%),0)*INDEX(fx,MATCH($C$3,currency,0)),"")</f>
        <v>0</v>
      </c>
      <c r="F93" s="363">
        <f>IFERROR(ROUND(Costs!F121/(1-40%),0)*INDEX(fx,MATCH($C$3,currency,0)),"")</f>
        <v>0</v>
      </c>
      <c r="G93" s="363">
        <f>IFERROR(ROUND(Costs!G121/(1-40%),0)*INDEX(fx,MATCH($C$3,currency,0)),"")</f>
        <v>0</v>
      </c>
      <c r="H93" s="363">
        <f>IFERROR(ROUND(Costs!H121/(1-40%),0)*INDEX(fx,MATCH($C$3,currency,0)),"")</f>
        <v>0</v>
      </c>
      <c r="I93" s="363">
        <f>IFERROR(ROUND(Costs!I121/(1-40%),0)*INDEX(fx,MATCH($C$3,currency,0)),"")</f>
        <v>0</v>
      </c>
      <c r="J93" s="363">
        <f>IFERROR(ROUND(Costs!J121/(1-40%),0)*INDEX(fx,MATCH($C$3,currency,0)),"")</f>
        <v>0</v>
      </c>
      <c r="K93" s="363">
        <f>IFERROR(ROUND(Costs!K121/(1-40%),0)*INDEX(fx,MATCH($C$3,currency,0)),"")</f>
        <v>0</v>
      </c>
      <c r="L93" s="363">
        <f>IFERROR(ROUND(Costs!L121/(1-40%),0)*INDEX(fx,MATCH($C$3,currency,0)),"")</f>
        <v>0</v>
      </c>
      <c r="M93" s="363">
        <f>IFERROR(ROUND(Costs!M121/(1-40%),0)*INDEX(fx,MATCH($C$3,currency,0)),"")</f>
        <v>0</v>
      </c>
      <c r="N93" s="363">
        <f>IFERROR(ROUND(Costs!N121/(1-40%),0)*INDEX(fx,MATCH($C$3,currency,0)),"")</f>
        <v>0</v>
      </c>
      <c r="O93" s="363">
        <f>IFERROR(ROUND(Costs!O121/(1-40%),0)*INDEX(fx,MATCH($C$3,currency,0)),"")</f>
        <v>0</v>
      </c>
      <c r="P93" s="498">
        <f>IFERROR(ROUND(Costs!P121/(1-40%),0)*INDEX(fx,MATCH($C$3,currency,0)),"")</f>
        <v>0</v>
      </c>
    </row>
    <row r="94" spans="2:16">
      <c r="B94" s="478" t="s">
        <v>181</v>
      </c>
      <c r="C94" s="497">
        <f>IFERROR(ROUND(Costs!C122/(1-40%),0)*INDEX(fx,MATCH($C$3,currency,0)),"")</f>
        <v>0</v>
      </c>
      <c r="D94" s="363">
        <f>IFERROR(ROUND(Costs!D122/(1-40%),0)*INDEX(fx,MATCH($C$3,currency,0)),"")</f>
        <v>0</v>
      </c>
      <c r="E94" s="363">
        <f>IFERROR(ROUND(Costs!E122/(1-40%),0)*INDEX(fx,MATCH($C$3,currency,0)),"")</f>
        <v>0</v>
      </c>
      <c r="F94" s="363">
        <f>IFERROR(ROUND(Costs!F122/(1-40%),0)*INDEX(fx,MATCH($C$3,currency,0)),"")</f>
        <v>0</v>
      </c>
      <c r="G94" s="363">
        <f>IFERROR(ROUND(Costs!G122/(1-40%),0)*INDEX(fx,MATCH($C$3,currency,0)),"")</f>
        <v>0</v>
      </c>
      <c r="H94" s="363">
        <f>IFERROR(ROUND(Costs!H122/(1-40%),0)*INDEX(fx,MATCH($C$3,currency,0)),"")</f>
        <v>0</v>
      </c>
      <c r="I94" s="363">
        <f>IFERROR(ROUND(Costs!I122/(1-40%),0)*INDEX(fx,MATCH($C$3,currency,0)),"")</f>
        <v>0</v>
      </c>
      <c r="J94" s="363">
        <f>IFERROR(ROUND(Costs!J122/(1-40%),0)*INDEX(fx,MATCH($C$3,currency,0)),"")</f>
        <v>0</v>
      </c>
      <c r="K94" s="363">
        <f>IFERROR(ROUND(Costs!K122/(1-40%),0)*INDEX(fx,MATCH($C$3,currency,0)),"")</f>
        <v>0</v>
      </c>
      <c r="L94" s="363">
        <f>IFERROR(ROUND(Costs!L122/(1-40%),0)*INDEX(fx,MATCH($C$3,currency,0)),"")</f>
        <v>0</v>
      </c>
      <c r="M94" s="363">
        <f>IFERROR(ROUND(Costs!M122/(1-40%),0)*INDEX(fx,MATCH($C$3,currency,0)),"")</f>
        <v>0</v>
      </c>
      <c r="N94" s="363">
        <f>IFERROR(ROUND(Costs!N122/(1-40%),0)*INDEX(fx,MATCH($C$3,currency,0)),"")</f>
        <v>0</v>
      </c>
      <c r="O94" s="363">
        <f>IFERROR(ROUND(Costs!O122/(1-40%),0)*INDEX(fx,MATCH($C$3,currency,0)),"")</f>
        <v>0</v>
      </c>
      <c r="P94" s="498">
        <f>IFERROR(ROUND(Costs!P122/(1-40%),0)*INDEX(fx,MATCH($C$3,currency,0)),"")</f>
        <v>0</v>
      </c>
    </row>
    <row r="95" spans="2:16">
      <c r="B95" s="478" t="s">
        <v>183</v>
      </c>
      <c r="C95" s="497">
        <f>IFERROR(ROUND(Costs!C123/(1-40%),0)*INDEX(fx,MATCH($C$3,currency,0)),"")</f>
        <v>0</v>
      </c>
      <c r="D95" s="363">
        <f>IFERROR(ROUND(Costs!D123/(1-40%),0)*INDEX(fx,MATCH($C$3,currency,0)),"")</f>
        <v>0</v>
      </c>
      <c r="E95" s="363">
        <f>IFERROR(ROUND(Costs!E123/(1-40%),0)*INDEX(fx,MATCH($C$3,currency,0)),"")</f>
        <v>0</v>
      </c>
      <c r="F95" s="363">
        <f>IFERROR(ROUND(Costs!F123/(1-40%),0)*INDEX(fx,MATCH($C$3,currency,0)),"")</f>
        <v>0</v>
      </c>
      <c r="G95" s="363">
        <f>IFERROR(ROUND(Costs!G123/(1-40%),0)*INDEX(fx,MATCH($C$3,currency,0)),"")</f>
        <v>0</v>
      </c>
      <c r="H95" s="363">
        <f>IFERROR(ROUND(Costs!H123/(1-40%),0)*INDEX(fx,MATCH($C$3,currency,0)),"")</f>
        <v>0</v>
      </c>
      <c r="I95" s="363">
        <f>IFERROR(ROUND(Costs!I123/(1-40%),0)*INDEX(fx,MATCH($C$3,currency,0)),"")</f>
        <v>0</v>
      </c>
      <c r="J95" s="363">
        <f>IFERROR(ROUND(Costs!J123/(1-40%),0)*INDEX(fx,MATCH($C$3,currency,0)),"")</f>
        <v>0</v>
      </c>
      <c r="K95" s="363">
        <f>IFERROR(ROUND(Costs!K123/(1-40%),0)*INDEX(fx,MATCH($C$3,currency,0)),"")</f>
        <v>0</v>
      </c>
      <c r="L95" s="363">
        <f>IFERROR(ROUND(Costs!L123/(1-40%),0)*INDEX(fx,MATCH($C$3,currency,0)),"")</f>
        <v>0</v>
      </c>
      <c r="M95" s="363">
        <f>IFERROR(ROUND(Costs!M123/(1-40%),0)*INDEX(fx,MATCH($C$3,currency,0)),"")</f>
        <v>0</v>
      </c>
      <c r="N95" s="363">
        <f>IFERROR(ROUND(Costs!N123/(1-40%),0)*INDEX(fx,MATCH($C$3,currency,0)),"")</f>
        <v>0</v>
      </c>
      <c r="O95" s="363">
        <f>IFERROR(ROUND(Costs!O123/(1-40%),0)*INDEX(fx,MATCH($C$3,currency,0)),"")</f>
        <v>0</v>
      </c>
      <c r="P95" s="498">
        <f>IFERROR(ROUND(Costs!P123/(1-40%),0)*INDEX(fx,MATCH($C$3,currency,0)),"")</f>
        <v>0</v>
      </c>
    </row>
    <row r="96" spans="2:16">
      <c r="B96" s="479" t="s">
        <v>239</v>
      </c>
      <c r="C96" s="497">
        <f>IFERROR(ROUND(Costs!C124/(1-40%),0)*INDEX(fx,MATCH($C$3,currency,0)),"")</f>
        <v>0</v>
      </c>
      <c r="D96" s="363">
        <f>IFERROR(ROUND(Costs!D124/(1-40%),0)*INDEX(fx,MATCH($C$3,currency,0)),"")</f>
        <v>0</v>
      </c>
      <c r="E96" s="363">
        <f>IFERROR(ROUND(Costs!E124/(1-40%),0)*INDEX(fx,MATCH($C$3,currency,0)),"")</f>
        <v>0</v>
      </c>
      <c r="F96" s="363">
        <f>IFERROR(ROUND(Costs!F124/(1-40%),0)*INDEX(fx,MATCH($C$3,currency,0)),"")</f>
        <v>0</v>
      </c>
      <c r="G96" s="363">
        <f>IFERROR(ROUND(Costs!G124/(1-40%),0)*INDEX(fx,MATCH($C$3,currency,0)),"")</f>
        <v>0</v>
      </c>
      <c r="H96" s="363">
        <f>IFERROR(ROUND(Costs!H124/(1-40%),0)*INDEX(fx,MATCH($C$3,currency,0)),"")</f>
        <v>0</v>
      </c>
      <c r="I96" s="363">
        <f>IFERROR(ROUND(Costs!I124/(1-40%),0)*INDEX(fx,MATCH($C$3,currency,0)),"")</f>
        <v>0</v>
      </c>
      <c r="J96" s="363">
        <f>IFERROR(ROUND(Costs!J124/(1-40%),0)*INDEX(fx,MATCH($C$3,currency,0)),"")</f>
        <v>0</v>
      </c>
      <c r="K96" s="363">
        <f>IFERROR(ROUND(Costs!K124/(1-40%),0)*INDEX(fx,MATCH($C$3,currency,0)),"")</f>
        <v>0</v>
      </c>
      <c r="L96" s="363">
        <f>IFERROR(ROUND(Costs!L124/(1-40%),0)*INDEX(fx,MATCH($C$3,currency,0)),"")</f>
        <v>0</v>
      </c>
      <c r="M96" s="363">
        <f>IFERROR(ROUND(Costs!M124/(1-40%),0)*INDEX(fx,MATCH($C$3,currency,0)),"")</f>
        <v>0</v>
      </c>
      <c r="N96" s="363">
        <f>IFERROR(ROUND(Costs!N124/(1-40%),0)*INDEX(fx,MATCH($C$3,currency,0)),"")</f>
        <v>0</v>
      </c>
      <c r="O96" s="363">
        <f>IFERROR(ROUND(Costs!O124/(1-40%),0)*INDEX(fx,MATCH($C$3,currency,0)),"")</f>
        <v>0</v>
      </c>
      <c r="P96" s="498">
        <f>IFERROR(ROUND(Costs!P124/(1-40%),0)*INDEX(fx,MATCH($C$3,currency,0)),"")</f>
        <v>0</v>
      </c>
    </row>
    <row r="97" spans="2:16" ht="15.75" thickBot="1">
      <c r="B97" s="480" t="s">
        <v>180</v>
      </c>
      <c r="C97" s="499">
        <f>IFERROR(ROUND(Costs!C125/(1-40%),0)*INDEX(fx,MATCH($C$3,currency,0)),"")</f>
        <v>235</v>
      </c>
      <c r="D97" s="500">
        <f>IFERROR(ROUND(Costs!D125/(1-40%),0)*INDEX(fx,MATCH($C$3,currency,0)),"")</f>
        <v>0</v>
      </c>
      <c r="E97" s="500">
        <f>IFERROR(ROUND(Costs!E125/(1-40%),0)*INDEX(fx,MATCH($C$3,currency,0)),"")</f>
        <v>0</v>
      </c>
      <c r="F97" s="500">
        <f>IFERROR(ROUND(Costs!F125/(1-40%),0)*INDEX(fx,MATCH($C$3,currency,0)),"")</f>
        <v>0</v>
      </c>
      <c r="G97" s="500">
        <f>IFERROR(ROUND(Costs!G125/(1-40%),0)*INDEX(fx,MATCH($C$3,currency,0)),"")</f>
        <v>0</v>
      </c>
      <c r="H97" s="500">
        <f>IFERROR(ROUND(Costs!H125/(1-40%),0)*INDEX(fx,MATCH($C$3,currency,0)),"")</f>
        <v>0</v>
      </c>
      <c r="I97" s="500">
        <f>IFERROR(ROUND(Costs!I125/(1-40%),0)*INDEX(fx,MATCH($C$3,currency,0)),"")</f>
        <v>0</v>
      </c>
      <c r="J97" s="500">
        <f>IFERROR(ROUND(Costs!J125/(1-40%),0)*INDEX(fx,MATCH($C$3,currency,0)),"")</f>
        <v>0</v>
      </c>
      <c r="K97" s="500">
        <f>IFERROR(ROUND(Costs!K125/(1-40%),0)*INDEX(fx,MATCH($C$3,currency,0)),"")</f>
        <v>0</v>
      </c>
      <c r="L97" s="500">
        <f>IFERROR(ROUND(Costs!L125/(1-40%),0)*INDEX(fx,MATCH($C$3,currency,0)),"")</f>
        <v>0</v>
      </c>
      <c r="M97" s="500">
        <f>IFERROR(ROUND(Costs!M125/(1-40%),0)*INDEX(fx,MATCH($C$3,currency,0)),"")</f>
        <v>0</v>
      </c>
      <c r="N97" s="500">
        <f>IFERROR(ROUND(Costs!N125/(1-40%),0)*INDEX(fx,MATCH($C$3,currency,0)),"")</f>
        <v>0</v>
      </c>
      <c r="O97" s="500">
        <f>IFERROR(ROUND(Costs!O125/(1-40%),0)*INDEX(fx,MATCH($C$3,currency,0)),"")</f>
        <v>0</v>
      </c>
      <c r="P97" s="501">
        <f>IFERROR(ROUND(Costs!P125/(1-40%),0)*INDEX(fx,MATCH($C$3,currency,0)),"")</f>
        <v>0</v>
      </c>
    </row>
    <row r="98" spans="2:16">
      <c r="B98" s="357"/>
      <c r="C98" s="357"/>
      <c r="D98" s="357"/>
      <c r="E98" s="357"/>
      <c r="F98" s="357"/>
      <c r="G98" s="357"/>
      <c r="H98" s="357"/>
      <c r="I98" s="357"/>
      <c r="J98" s="357"/>
      <c r="K98" s="357"/>
      <c r="L98" s="357"/>
      <c r="M98" s="357"/>
      <c r="N98" s="357"/>
      <c r="O98" s="357"/>
      <c r="P98" s="357"/>
    </row>
    <row r="99" spans="2:16">
      <c r="B99" s="357"/>
      <c r="C99" s="357"/>
      <c r="D99" s="357"/>
      <c r="E99" s="357"/>
      <c r="F99" s="357"/>
      <c r="G99" s="357"/>
      <c r="H99" s="357"/>
      <c r="I99" s="357"/>
      <c r="J99" s="357"/>
      <c r="K99" s="357"/>
      <c r="L99" s="357"/>
      <c r="M99" s="357"/>
      <c r="N99" s="357"/>
      <c r="O99" s="357"/>
      <c r="P99" s="357"/>
    </row>
    <row r="100" spans="2:16" ht="15.75" thickBot="1">
      <c r="B100" s="357"/>
      <c r="C100" s="357"/>
      <c r="D100" s="357"/>
      <c r="E100" s="357"/>
      <c r="F100" s="357"/>
      <c r="G100" s="357"/>
      <c r="H100" s="357"/>
      <c r="I100" s="357"/>
      <c r="J100" s="357"/>
      <c r="K100" s="357"/>
      <c r="L100" s="357"/>
      <c r="M100" s="357"/>
      <c r="N100" s="357"/>
      <c r="O100" s="357"/>
      <c r="P100" s="357"/>
    </row>
    <row r="101" spans="2:16" ht="15.75" thickBot="1">
      <c r="B101" s="471" t="s">
        <v>462</v>
      </c>
      <c r="C101" s="471" t="s">
        <v>98</v>
      </c>
      <c r="D101" s="483" t="s">
        <v>105</v>
      </c>
      <c r="E101" s="483" t="s">
        <v>112</v>
      </c>
      <c r="F101" s="483" t="s">
        <v>120</v>
      </c>
      <c r="G101" s="483" t="s">
        <v>125</v>
      </c>
      <c r="H101" s="483" t="s">
        <v>131</v>
      </c>
      <c r="I101" s="483" t="s">
        <v>136</v>
      </c>
      <c r="J101" s="483" t="s">
        <v>140</v>
      </c>
      <c r="K101" s="483" t="s">
        <v>145</v>
      </c>
      <c r="L101" s="483" t="s">
        <v>149</v>
      </c>
      <c r="M101" s="483" t="s">
        <v>153</v>
      </c>
      <c r="N101" s="483" t="s">
        <v>156</v>
      </c>
      <c r="O101" s="484" t="s">
        <v>159</v>
      </c>
      <c r="P101" s="484" t="s">
        <v>161</v>
      </c>
    </row>
    <row r="102" spans="2:16">
      <c r="B102" s="477" t="s">
        <v>210</v>
      </c>
      <c r="C102" s="494">
        <f>IFERROR(ROUND(Costs!C129/(1-40%),0)*INDEX(fx,MATCH($C$3,currency,0)),"")</f>
        <v>197</v>
      </c>
      <c r="D102" s="495">
        <f>IFERROR(ROUND(Costs!D129/(1-40%),0)*INDEX(fx,MATCH($C$3,currency,0)),"")</f>
        <v>0</v>
      </c>
      <c r="E102" s="495">
        <f>IFERROR(ROUND(Costs!E129/(1-40%),0)*INDEX(fx,MATCH($C$3,currency,0)),"")</f>
        <v>0</v>
      </c>
      <c r="F102" s="495">
        <f>IFERROR(ROUND(Costs!F129/(1-40%),0)*INDEX(fx,MATCH($C$3,currency,0)),"")</f>
        <v>0</v>
      </c>
      <c r="G102" s="495">
        <f>IFERROR(ROUND(Costs!G129/(1-40%),0)*INDEX(fx,MATCH($C$3,currency,0)),"")</f>
        <v>0</v>
      </c>
      <c r="H102" s="495">
        <f>IFERROR(ROUND(Costs!H129/(1-40%),0)*INDEX(fx,MATCH($C$3,currency,0)),"")</f>
        <v>0</v>
      </c>
      <c r="I102" s="495">
        <f>IFERROR(ROUND(Costs!I129/(1-40%),0)*INDEX(fx,MATCH($C$3,currency,0)),"")</f>
        <v>0</v>
      </c>
      <c r="J102" s="495">
        <f>IFERROR(ROUND(Costs!J129/(1-40%),0)*INDEX(fx,MATCH($C$3,currency,0)),"")</f>
        <v>0</v>
      </c>
      <c r="K102" s="495">
        <f>IFERROR(ROUND(Costs!K129/(1-40%),0)*INDEX(fx,MATCH($C$3,currency,0)),"")</f>
        <v>0</v>
      </c>
      <c r="L102" s="495">
        <f>IFERROR(ROUND(Costs!L129/(1-40%),0)*INDEX(fx,MATCH($C$3,currency,0)),"")</f>
        <v>0</v>
      </c>
      <c r="M102" s="495">
        <f>IFERROR(ROUND(Costs!M129/(1-40%),0)*INDEX(fx,MATCH($C$3,currency,0)),"")</f>
        <v>0</v>
      </c>
      <c r="N102" s="495">
        <f>IFERROR(ROUND(Costs!N129/(1-40%),0)*INDEX(fx,MATCH($C$3,currency,0)),"")</f>
        <v>0</v>
      </c>
      <c r="O102" s="495">
        <f>IFERROR(ROUND(Costs!O129/(1-40%),0)*INDEX(fx,MATCH($C$3,currency,0)),"")</f>
        <v>0</v>
      </c>
      <c r="P102" s="496">
        <f>IFERROR(ROUND(Costs!P129/(1-40%),0)*INDEX(fx,MATCH($C$3,currency,0)),"")</f>
        <v>0</v>
      </c>
    </row>
    <row r="103" spans="2:16">
      <c r="B103" s="478" t="s">
        <v>214</v>
      </c>
      <c r="C103" s="497">
        <f>IFERROR(ROUND(Costs!C130/(1-40%),0)*INDEX(fx,MATCH($C$3,currency,0)),"")</f>
        <v>225</v>
      </c>
      <c r="D103" s="363">
        <f>IFERROR(ROUND(Costs!D130/(1-40%),0)*INDEX(fx,MATCH($C$3,currency,0)),"")</f>
        <v>0</v>
      </c>
      <c r="E103" s="363">
        <f>IFERROR(ROUND(Costs!E130/(1-40%),0)*INDEX(fx,MATCH($C$3,currency,0)),"")</f>
        <v>0</v>
      </c>
      <c r="F103" s="363">
        <f>IFERROR(ROUND(Costs!F130/(1-40%),0)*INDEX(fx,MATCH($C$3,currency,0)),"")</f>
        <v>0</v>
      </c>
      <c r="G103" s="363">
        <f>IFERROR(ROUND(Costs!G130/(1-40%),0)*INDEX(fx,MATCH($C$3,currency,0)),"")</f>
        <v>0</v>
      </c>
      <c r="H103" s="363">
        <f>IFERROR(ROUND(Costs!H130/(1-40%),0)*INDEX(fx,MATCH($C$3,currency,0)),"")</f>
        <v>0</v>
      </c>
      <c r="I103" s="363">
        <f>IFERROR(ROUND(Costs!I130/(1-40%),0)*INDEX(fx,MATCH($C$3,currency,0)),"")</f>
        <v>0</v>
      </c>
      <c r="J103" s="363">
        <f>IFERROR(ROUND(Costs!J130/(1-40%),0)*INDEX(fx,MATCH($C$3,currency,0)),"")</f>
        <v>0</v>
      </c>
      <c r="K103" s="363">
        <f>IFERROR(ROUND(Costs!K130/(1-40%),0)*INDEX(fx,MATCH($C$3,currency,0)),"")</f>
        <v>0</v>
      </c>
      <c r="L103" s="363">
        <f>IFERROR(ROUND(Costs!L130/(1-40%),0)*INDEX(fx,MATCH($C$3,currency,0)),"")</f>
        <v>0</v>
      </c>
      <c r="M103" s="363">
        <f>IFERROR(ROUND(Costs!M130/(1-40%),0)*INDEX(fx,MATCH($C$3,currency,0)),"")</f>
        <v>0</v>
      </c>
      <c r="N103" s="363">
        <f>IFERROR(ROUND(Costs!N130/(1-40%),0)*INDEX(fx,MATCH($C$3,currency,0)),"")</f>
        <v>0</v>
      </c>
      <c r="O103" s="363">
        <f>IFERROR(ROUND(Costs!O130/(1-40%),0)*INDEX(fx,MATCH($C$3,currency,0)),"")</f>
        <v>0</v>
      </c>
      <c r="P103" s="498">
        <f>IFERROR(ROUND(Costs!P130/(1-40%),0)*INDEX(fx,MATCH($C$3,currency,0)),"")</f>
        <v>0</v>
      </c>
    </row>
    <row r="104" spans="2:16">
      <c r="B104" s="478" t="s">
        <v>218</v>
      </c>
      <c r="C104" s="497">
        <f>IFERROR(ROUND(Costs!C131/(1-40%),0)*INDEX(fx,MATCH($C$3,currency,0)),"")</f>
        <v>198</v>
      </c>
      <c r="D104" s="363">
        <f>IFERROR(ROUND(Costs!D131/(1-40%),0)*INDEX(fx,MATCH($C$3,currency,0)),"")</f>
        <v>0</v>
      </c>
      <c r="E104" s="363">
        <f>IFERROR(ROUND(Costs!E131/(1-40%),0)*INDEX(fx,MATCH($C$3,currency,0)),"")</f>
        <v>0</v>
      </c>
      <c r="F104" s="363">
        <f>IFERROR(ROUND(Costs!F131/(1-40%),0)*INDEX(fx,MATCH($C$3,currency,0)),"")</f>
        <v>0</v>
      </c>
      <c r="G104" s="363">
        <f>IFERROR(ROUND(Costs!G131/(1-40%),0)*INDEX(fx,MATCH($C$3,currency,0)),"")</f>
        <v>0</v>
      </c>
      <c r="H104" s="363">
        <f>IFERROR(ROUND(Costs!H131/(1-40%),0)*INDEX(fx,MATCH($C$3,currency,0)),"")</f>
        <v>0</v>
      </c>
      <c r="I104" s="363">
        <f>IFERROR(ROUND(Costs!I131/(1-40%),0)*INDEX(fx,MATCH($C$3,currency,0)),"")</f>
        <v>0</v>
      </c>
      <c r="J104" s="363">
        <f>IFERROR(ROUND(Costs!J131/(1-40%),0)*INDEX(fx,MATCH($C$3,currency,0)),"")</f>
        <v>0</v>
      </c>
      <c r="K104" s="363">
        <f>IFERROR(ROUND(Costs!K131/(1-40%),0)*INDEX(fx,MATCH($C$3,currency,0)),"")</f>
        <v>0</v>
      </c>
      <c r="L104" s="363">
        <f>IFERROR(ROUND(Costs!L131/(1-40%),0)*INDEX(fx,MATCH($C$3,currency,0)),"")</f>
        <v>0</v>
      </c>
      <c r="M104" s="363">
        <f>IFERROR(ROUND(Costs!M131/(1-40%),0)*INDEX(fx,MATCH($C$3,currency,0)),"")</f>
        <v>0</v>
      </c>
      <c r="N104" s="363">
        <f>IFERROR(ROUND(Costs!N131/(1-40%),0)*INDEX(fx,MATCH($C$3,currency,0)),"")</f>
        <v>0</v>
      </c>
      <c r="O104" s="363">
        <f>IFERROR(ROUND(Costs!O131/(1-40%),0)*INDEX(fx,MATCH($C$3,currency,0)),"")</f>
        <v>0</v>
      </c>
      <c r="P104" s="498">
        <f>IFERROR(ROUND(Costs!P131/(1-40%),0)*INDEX(fx,MATCH($C$3,currency,0)),"")</f>
        <v>0</v>
      </c>
    </row>
    <row r="105" spans="2:16">
      <c r="B105" s="478" t="s">
        <v>222</v>
      </c>
      <c r="C105" s="497">
        <f>IFERROR(ROUND(Costs!C132/(1-40%),0)*INDEX(fx,MATCH($C$3,currency,0)),"")</f>
        <v>252</v>
      </c>
      <c r="D105" s="363">
        <f>IFERROR(ROUND(Costs!D132/(1-40%),0)*INDEX(fx,MATCH($C$3,currency,0)),"")</f>
        <v>0</v>
      </c>
      <c r="E105" s="363">
        <f>IFERROR(ROUND(Costs!E132/(1-40%),0)*INDEX(fx,MATCH($C$3,currency,0)),"")</f>
        <v>0</v>
      </c>
      <c r="F105" s="363">
        <f>IFERROR(ROUND(Costs!F132/(1-40%),0)*INDEX(fx,MATCH($C$3,currency,0)),"")</f>
        <v>0</v>
      </c>
      <c r="G105" s="363">
        <f>IFERROR(ROUND(Costs!G132/(1-40%),0)*INDEX(fx,MATCH($C$3,currency,0)),"")</f>
        <v>0</v>
      </c>
      <c r="H105" s="363">
        <f>IFERROR(ROUND(Costs!H132/(1-40%),0)*INDEX(fx,MATCH($C$3,currency,0)),"")</f>
        <v>0</v>
      </c>
      <c r="I105" s="363">
        <f>IFERROR(ROUND(Costs!I132/(1-40%),0)*INDEX(fx,MATCH($C$3,currency,0)),"")</f>
        <v>0</v>
      </c>
      <c r="J105" s="363">
        <f>IFERROR(ROUND(Costs!J132/(1-40%),0)*INDEX(fx,MATCH($C$3,currency,0)),"")</f>
        <v>0</v>
      </c>
      <c r="K105" s="363">
        <f>IFERROR(ROUND(Costs!K132/(1-40%),0)*INDEX(fx,MATCH($C$3,currency,0)),"")</f>
        <v>0</v>
      </c>
      <c r="L105" s="363">
        <f>IFERROR(ROUND(Costs!L132/(1-40%),0)*INDEX(fx,MATCH($C$3,currency,0)),"")</f>
        <v>0</v>
      </c>
      <c r="M105" s="363">
        <f>IFERROR(ROUND(Costs!M132/(1-40%),0)*INDEX(fx,MATCH($C$3,currency,0)),"")</f>
        <v>0</v>
      </c>
      <c r="N105" s="363">
        <f>IFERROR(ROUND(Costs!N132/(1-40%),0)*INDEX(fx,MATCH($C$3,currency,0)),"")</f>
        <v>0</v>
      </c>
      <c r="O105" s="363">
        <f>IFERROR(ROUND(Costs!O132/(1-40%),0)*INDEX(fx,MATCH($C$3,currency,0)),"")</f>
        <v>0</v>
      </c>
      <c r="P105" s="498">
        <f>IFERROR(ROUND(Costs!P132/(1-40%),0)*INDEX(fx,MATCH($C$3,currency,0)),"")</f>
        <v>0</v>
      </c>
    </row>
    <row r="106" spans="2:16">
      <c r="B106" s="478" t="s">
        <v>225</v>
      </c>
      <c r="C106" s="497">
        <f>IFERROR(ROUND(Costs!C133/(1-40%),0)*INDEX(fx,MATCH($C$3,currency,0)),"")</f>
        <v>218</v>
      </c>
      <c r="D106" s="363">
        <f>IFERROR(ROUND(Costs!D133/(1-40%),0)*INDEX(fx,MATCH($C$3,currency,0)),"")</f>
        <v>0</v>
      </c>
      <c r="E106" s="363">
        <f>IFERROR(ROUND(Costs!E133/(1-40%),0)*INDEX(fx,MATCH($C$3,currency,0)),"")</f>
        <v>0</v>
      </c>
      <c r="F106" s="363">
        <f>IFERROR(ROUND(Costs!F133/(1-40%),0)*INDEX(fx,MATCH($C$3,currency,0)),"")</f>
        <v>0</v>
      </c>
      <c r="G106" s="363">
        <f>IFERROR(ROUND(Costs!G133/(1-40%),0)*INDEX(fx,MATCH($C$3,currency,0)),"")</f>
        <v>0</v>
      </c>
      <c r="H106" s="363">
        <f>IFERROR(ROUND(Costs!H133/(1-40%),0)*INDEX(fx,MATCH($C$3,currency,0)),"")</f>
        <v>0</v>
      </c>
      <c r="I106" s="363">
        <f>IFERROR(ROUND(Costs!I133/(1-40%),0)*INDEX(fx,MATCH($C$3,currency,0)),"")</f>
        <v>0</v>
      </c>
      <c r="J106" s="363">
        <f>IFERROR(ROUND(Costs!J133/(1-40%),0)*INDEX(fx,MATCH($C$3,currency,0)),"")</f>
        <v>0</v>
      </c>
      <c r="K106" s="363">
        <f>IFERROR(ROUND(Costs!K133/(1-40%),0)*INDEX(fx,MATCH($C$3,currency,0)),"")</f>
        <v>0</v>
      </c>
      <c r="L106" s="363">
        <f>IFERROR(ROUND(Costs!L133/(1-40%),0)*INDEX(fx,MATCH($C$3,currency,0)),"")</f>
        <v>0</v>
      </c>
      <c r="M106" s="363">
        <f>IFERROR(ROUND(Costs!M133/(1-40%),0)*INDEX(fx,MATCH($C$3,currency,0)),"")</f>
        <v>0</v>
      </c>
      <c r="N106" s="363">
        <f>IFERROR(ROUND(Costs!N133/(1-40%),0)*INDEX(fx,MATCH($C$3,currency,0)),"")</f>
        <v>0</v>
      </c>
      <c r="O106" s="363">
        <f>IFERROR(ROUND(Costs!O133/(1-40%),0)*INDEX(fx,MATCH($C$3,currency,0)),"")</f>
        <v>0</v>
      </c>
      <c r="P106" s="498">
        <f>IFERROR(ROUND(Costs!P133/(1-40%),0)*INDEX(fx,MATCH($C$3,currency,0)),"")</f>
        <v>0</v>
      </c>
    </row>
    <row r="107" spans="2:16">
      <c r="B107" s="478" t="s">
        <v>227</v>
      </c>
      <c r="C107" s="497">
        <f>IFERROR(ROUND(Costs!C134/(1-40%),0)*INDEX(fx,MATCH($C$3,currency,0)),"")</f>
        <v>282</v>
      </c>
      <c r="D107" s="363">
        <f>IFERROR(ROUND(Costs!D134/(1-40%),0)*INDEX(fx,MATCH($C$3,currency,0)),"")</f>
        <v>0</v>
      </c>
      <c r="E107" s="363">
        <f>IFERROR(ROUND(Costs!E134/(1-40%),0)*INDEX(fx,MATCH($C$3,currency,0)),"")</f>
        <v>0</v>
      </c>
      <c r="F107" s="363">
        <f>IFERROR(ROUND(Costs!F134/(1-40%),0)*INDEX(fx,MATCH($C$3,currency,0)),"")</f>
        <v>0</v>
      </c>
      <c r="G107" s="363">
        <f>IFERROR(ROUND(Costs!G134/(1-40%),0)*INDEX(fx,MATCH($C$3,currency,0)),"")</f>
        <v>0</v>
      </c>
      <c r="H107" s="363">
        <f>IFERROR(ROUND(Costs!H134/(1-40%),0)*INDEX(fx,MATCH($C$3,currency,0)),"")</f>
        <v>0</v>
      </c>
      <c r="I107" s="363">
        <f>IFERROR(ROUND(Costs!I134/(1-40%),0)*INDEX(fx,MATCH($C$3,currency,0)),"")</f>
        <v>0</v>
      </c>
      <c r="J107" s="363">
        <f>IFERROR(ROUND(Costs!J134/(1-40%),0)*INDEX(fx,MATCH($C$3,currency,0)),"")</f>
        <v>0</v>
      </c>
      <c r="K107" s="363">
        <f>IFERROR(ROUND(Costs!K134/(1-40%),0)*INDEX(fx,MATCH($C$3,currency,0)),"")</f>
        <v>0</v>
      </c>
      <c r="L107" s="363">
        <f>IFERROR(ROUND(Costs!L134/(1-40%),0)*INDEX(fx,MATCH($C$3,currency,0)),"")</f>
        <v>0</v>
      </c>
      <c r="M107" s="363">
        <f>IFERROR(ROUND(Costs!M134/(1-40%),0)*INDEX(fx,MATCH($C$3,currency,0)),"")</f>
        <v>0</v>
      </c>
      <c r="N107" s="363">
        <f>IFERROR(ROUND(Costs!N134/(1-40%),0)*INDEX(fx,MATCH($C$3,currency,0)),"")</f>
        <v>0</v>
      </c>
      <c r="O107" s="363">
        <f>IFERROR(ROUND(Costs!O134/(1-40%),0)*INDEX(fx,MATCH($C$3,currency,0)),"")</f>
        <v>0</v>
      </c>
      <c r="P107" s="498">
        <f>IFERROR(ROUND(Costs!P134/(1-40%),0)*INDEX(fx,MATCH($C$3,currency,0)),"")</f>
        <v>0</v>
      </c>
    </row>
    <row r="108" spans="2:16">
      <c r="B108" s="478" t="s">
        <v>229</v>
      </c>
      <c r="C108" s="497">
        <f>IFERROR(ROUND(Costs!C135/(1-40%),0)*INDEX(fx,MATCH($C$3,currency,0)),"")</f>
        <v>200</v>
      </c>
      <c r="D108" s="363">
        <f>IFERROR(ROUND(Costs!D135/(1-40%),0)*INDEX(fx,MATCH($C$3,currency,0)),"")</f>
        <v>0</v>
      </c>
      <c r="E108" s="363">
        <f>IFERROR(ROUND(Costs!E135/(1-40%),0)*INDEX(fx,MATCH($C$3,currency,0)),"")</f>
        <v>0</v>
      </c>
      <c r="F108" s="363">
        <f>IFERROR(ROUND(Costs!F135/(1-40%),0)*INDEX(fx,MATCH($C$3,currency,0)),"")</f>
        <v>0</v>
      </c>
      <c r="G108" s="363">
        <f>IFERROR(ROUND(Costs!G135/(1-40%),0)*INDEX(fx,MATCH($C$3,currency,0)),"")</f>
        <v>0</v>
      </c>
      <c r="H108" s="363">
        <f>IFERROR(ROUND(Costs!H135/(1-40%),0)*INDEX(fx,MATCH($C$3,currency,0)),"")</f>
        <v>0</v>
      </c>
      <c r="I108" s="363">
        <f>IFERROR(ROUND(Costs!I135/(1-40%),0)*INDEX(fx,MATCH($C$3,currency,0)),"")</f>
        <v>0</v>
      </c>
      <c r="J108" s="363">
        <f>IFERROR(ROUND(Costs!J135/(1-40%),0)*INDEX(fx,MATCH($C$3,currency,0)),"")</f>
        <v>0</v>
      </c>
      <c r="K108" s="363">
        <f>IFERROR(ROUND(Costs!K135/(1-40%),0)*INDEX(fx,MATCH($C$3,currency,0)),"")</f>
        <v>0</v>
      </c>
      <c r="L108" s="363">
        <f>IFERROR(ROUND(Costs!L135/(1-40%),0)*INDEX(fx,MATCH($C$3,currency,0)),"")</f>
        <v>0</v>
      </c>
      <c r="M108" s="363">
        <f>IFERROR(ROUND(Costs!M135/(1-40%),0)*INDEX(fx,MATCH($C$3,currency,0)),"")</f>
        <v>0</v>
      </c>
      <c r="N108" s="363">
        <f>IFERROR(ROUND(Costs!N135/(1-40%),0)*INDEX(fx,MATCH($C$3,currency,0)),"")</f>
        <v>0</v>
      </c>
      <c r="O108" s="363">
        <f>IFERROR(ROUND(Costs!O135/(1-40%),0)*INDEX(fx,MATCH($C$3,currency,0)),"")</f>
        <v>0</v>
      </c>
      <c r="P108" s="498">
        <f>IFERROR(ROUND(Costs!P135/(1-40%),0)*INDEX(fx,MATCH($C$3,currency,0)),"")</f>
        <v>0</v>
      </c>
    </row>
    <row r="109" spans="2:16">
      <c r="B109" s="478" t="s">
        <v>232</v>
      </c>
      <c r="C109" s="497">
        <f>IFERROR(ROUND(Costs!C136/(1-40%),0)*INDEX(fx,MATCH($C$3,currency,0)),"")</f>
        <v>230</v>
      </c>
      <c r="D109" s="363">
        <f>IFERROR(ROUND(Costs!D136/(1-40%),0)*INDEX(fx,MATCH($C$3,currency,0)),"")</f>
        <v>0</v>
      </c>
      <c r="E109" s="363">
        <f>IFERROR(ROUND(Costs!E136/(1-40%),0)*INDEX(fx,MATCH($C$3,currency,0)),"")</f>
        <v>0</v>
      </c>
      <c r="F109" s="363">
        <f>IFERROR(ROUND(Costs!F136/(1-40%),0)*INDEX(fx,MATCH($C$3,currency,0)),"")</f>
        <v>0</v>
      </c>
      <c r="G109" s="363">
        <f>IFERROR(ROUND(Costs!G136/(1-40%),0)*INDEX(fx,MATCH($C$3,currency,0)),"")</f>
        <v>0</v>
      </c>
      <c r="H109" s="363">
        <f>IFERROR(ROUND(Costs!H136/(1-40%),0)*INDEX(fx,MATCH($C$3,currency,0)),"")</f>
        <v>0</v>
      </c>
      <c r="I109" s="363">
        <f>IFERROR(ROUND(Costs!I136/(1-40%),0)*INDEX(fx,MATCH($C$3,currency,0)),"")</f>
        <v>0</v>
      </c>
      <c r="J109" s="363">
        <f>IFERROR(ROUND(Costs!J136/(1-40%),0)*INDEX(fx,MATCH($C$3,currency,0)),"")</f>
        <v>0</v>
      </c>
      <c r="K109" s="363">
        <f>IFERROR(ROUND(Costs!K136/(1-40%),0)*INDEX(fx,MATCH($C$3,currency,0)),"")</f>
        <v>0</v>
      </c>
      <c r="L109" s="363">
        <f>IFERROR(ROUND(Costs!L136/(1-40%),0)*INDEX(fx,MATCH($C$3,currency,0)),"")</f>
        <v>0</v>
      </c>
      <c r="M109" s="363">
        <f>IFERROR(ROUND(Costs!M136/(1-40%),0)*INDEX(fx,MATCH($C$3,currency,0)),"")</f>
        <v>0</v>
      </c>
      <c r="N109" s="363">
        <f>IFERROR(ROUND(Costs!N136/(1-40%),0)*INDEX(fx,MATCH($C$3,currency,0)),"")</f>
        <v>0</v>
      </c>
      <c r="O109" s="363">
        <f>IFERROR(ROUND(Costs!O136/(1-40%),0)*INDEX(fx,MATCH($C$3,currency,0)),"")</f>
        <v>0</v>
      </c>
      <c r="P109" s="498">
        <f>IFERROR(ROUND(Costs!P136/(1-40%),0)*INDEX(fx,MATCH($C$3,currency,0)),"")</f>
        <v>0</v>
      </c>
    </row>
    <row r="110" spans="2:16">
      <c r="B110" s="478" t="s">
        <v>234</v>
      </c>
      <c r="C110" s="497">
        <f>IFERROR(ROUND(Costs!C137/(1-40%),0)*INDEX(fx,MATCH($C$3,currency,0)),"")</f>
        <v>253</v>
      </c>
      <c r="D110" s="363">
        <f>IFERROR(ROUND(Costs!D137/(1-40%),0)*INDEX(fx,MATCH($C$3,currency,0)),"")</f>
        <v>0</v>
      </c>
      <c r="E110" s="363">
        <f>IFERROR(ROUND(Costs!E137/(1-40%),0)*INDEX(fx,MATCH($C$3,currency,0)),"")</f>
        <v>0</v>
      </c>
      <c r="F110" s="363">
        <f>IFERROR(ROUND(Costs!F137/(1-40%),0)*INDEX(fx,MATCH($C$3,currency,0)),"")</f>
        <v>0</v>
      </c>
      <c r="G110" s="363">
        <f>IFERROR(ROUND(Costs!G137/(1-40%),0)*INDEX(fx,MATCH($C$3,currency,0)),"")</f>
        <v>0</v>
      </c>
      <c r="H110" s="363">
        <f>IFERROR(ROUND(Costs!H137/(1-40%),0)*INDEX(fx,MATCH($C$3,currency,0)),"")</f>
        <v>0</v>
      </c>
      <c r="I110" s="363">
        <f>IFERROR(ROUND(Costs!I137/(1-40%),0)*INDEX(fx,MATCH($C$3,currency,0)),"")</f>
        <v>0</v>
      </c>
      <c r="J110" s="363">
        <f>IFERROR(ROUND(Costs!J137/(1-40%),0)*INDEX(fx,MATCH($C$3,currency,0)),"")</f>
        <v>0</v>
      </c>
      <c r="K110" s="363">
        <f>IFERROR(ROUND(Costs!K137/(1-40%),0)*INDEX(fx,MATCH($C$3,currency,0)),"")</f>
        <v>0</v>
      </c>
      <c r="L110" s="363">
        <f>IFERROR(ROUND(Costs!L137/(1-40%),0)*INDEX(fx,MATCH($C$3,currency,0)),"")</f>
        <v>0</v>
      </c>
      <c r="M110" s="363">
        <f>IFERROR(ROUND(Costs!M137/(1-40%),0)*INDEX(fx,MATCH($C$3,currency,0)),"")</f>
        <v>0</v>
      </c>
      <c r="N110" s="363">
        <f>IFERROR(ROUND(Costs!N137/(1-40%),0)*INDEX(fx,MATCH($C$3,currency,0)),"")</f>
        <v>0</v>
      </c>
      <c r="O110" s="363">
        <f>IFERROR(ROUND(Costs!O137/(1-40%),0)*INDEX(fx,MATCH($C$3,currency,0)),"")</f>
        <v>0</v>
      </c>
      <c r="P110" s="498">
        <f>IFERROR(ROUND(Costs!P137/(1-40%),0)*INDEX(fx,MATCH($C$3,currency,0)),"")</f>
        <v>0</v>
      </c>
    </row>
    <row r="111" spans="2:16">
      <c r="B111" s="478" t="s">
        <v>236</v>
      </c>
      <c r="C111" s="497">
        <f>IFERROR(ROUND(Costs!C138/(1-40%),0)*INDEX(fx,MATCH($C$3,currency,0)),"")</f>
        <v>235</v>
      </c>
      <c r="D111" s="363">
        <f>IFERROR(ROUND(Costs!D138/(1-40%),0)*INDEX(fx,MATCH($C$3,currency,0)),"")</f>
        <v>0</v>
      </c>
      <c r="E111" s="363">
        <f>IFERROR(ROUND(Costs!E138/(1-40%),0)*INDEX(fx,MATCH($C$3,currency,0)),"")</f>
        <v>0</v>
      </c>
      <c r="F111" s="363">
        <f>IFERROR(ROUND(Costs!F138/(1-40%),0)*INDEX(fx,MATCH($C$3,currency,0)),"")</f>
        <v>0</v>
      </c>
      <c r="G111" s="363">
        <f>IFERROR(ROUND(Costs!G138/(1-40%),0)*INDEX(fx,MATCH($C$3,currency,0)),"")</f>
        <v>0</v>
      </c>
      <c r="H111" s="363">
        <f>IFERROR(ROUND(Costs!H138/(1-40%),0)*INDEX(fx,MATCH($C$3,currency,0)),"")</f>
        <v>0</v>
      </c>
      <c r="I111" s="363">
        <f>IFERROR(ROUND(Costs!I138/(1-40%),0)*INDEX(fx,MATCH($C$3,currency,0)),"")</f>
        <v>0</v>
      </c>
      <c r="J111" s="363">
        <f>IFERROR(ROUND(Costs!J138/(1-40%),0)*INDEX(fx,MATCH($C$3,currency,0)),"")</f>
        <v>0</v>
      </c>
      <c r="K111" s="363">
        <f>IFERROR(ROUND(Costs!K138/(1-40%),0)*INDEX(fx,MATCH($C$3,currency,0)),"")</f>
        <v>0</v>
      </c>
      <c r="L111" s="363">
        <f>IFERROR(ROUND(Costs!L138/(1-40%),0)*INDEX(fx,MATCH($C$3,currency,0)),"")</f>
        <v>0</v>
      </c>
      <c r="M111" s="363">
        <f>IFERROR(ROUND(Costs!M138/(1-40%),0)*INDEX(fx,MATCH($C$3,currency,0)),"")</f>
        <v>0</v>
      </c>
      <c r="N111" s="363">
        <f>IFERROR(ROUND(Costs!N138/(1-40%),0)*INDEX(fx,MATCH($C$3,currency,0)),"")</f>
        <v>0</v>
      </c>
      <c r="O111" s="363">
        <f>IFERROR(ROUND(Costs!O138/(1-40%),0)*INDEX(fx,MATCH($C$3,currency,0)),"")</f>
        <v>0</v>
      </c>
      <c r="P111" s="498">
        <f>IFERROR(ROUND(Costs!P138/(1-40%),0)*INDEX(fx,MATCH($C$3,currency,0)),"")</f>
        <v>0</v>
      </c>
    </row>
    <row r="112" spans="2:16">
      <c r="B112" s="479" t="s">
        <v>240</v>
      </c>
      <c r="C112" s="497">
        <f>IFERROR(ROUND(Costs!C139/(1-40%),0)*INDEX(fx,MATCH($C$3,currency,0)),"")</f>
        <v>292</v>
      </c>
      <c r="D112" s="363">
        <f>IFERROR(ROUND(Costs!D139/(1-40%),0)*INDEX(fx,MATCH($C$3,currency,0)),"")</f>
        <v>0</v>
      </c>
      <c r="E112" s="363">
        <f>IFERROR(ROUND(Costs!E139/(1-40%),0)*INDEX(fx,MATCH($C$3,currency,0)),"")</f>
        <v>0</v>
      </c>
      <c r="F112" s="363">
        <f>IFERROR(ROUND(Costs!F139/(1-40%),0)*INDEX(fx,MATCH($C$3,currency,0)),"")</f>
        <v>0</v>
      </c>
      <c r="G112" s="363">
        <f>IFERROR(ROUND(Costs!G139/(1-40%),0)*INDEX(fx,MATCH($C$3,currency,0)),"")</f>
        <v>0</v>
      </c>
      <c r="H112" s="363">
        <f>IFERROR(ROUND(Costs!H139/(1-40%),0)*INDEX(fx,MATCH($C$3,currency,0)),"")</f>
        <v>0</v>
      </c>
      <c r="I112" s="363">
        <f>IFERROR(ROUND(Costs!I139/(1-40%),0)*INDEX(fx,MATCH($C$3,currency,0)),"")</f>
        <v>0</v>
      </c>
      <c r="J112" s="363">
        <f>IFERROR(ROUND(Costs!J139/(1-40%),0)*INDEX(fx,MATCH($C$3,currency,0)),"")</f>
        <v>0</v>
      </c>
      <c r="K112" s="363">
        <f>IFERROR(ROUND(Costs!K139/(1-40%),0)*INDEX(fx,MATCH($C$3,currency,0)),"")</f>
        <v>0</v>
      </c>
      <c r="L112" s="363">
        <f>IFERROR(ROUND(Costs!L139/(1-40%),0)*INDEX(fx,MATCH($C$3,currency,0)),"")</f>
        <v>0</v>
      </c>
      <c r="M112" s="363">
        <f>IFERROR(ROUND(Costs!M139/(1-40%),0)*INDEX(fx,MATCH($C$3,currency,0)),"")</f>
        <v>0</v>
      </c>
      <c r="N112" s="363">
        <f>IFERROR(ROUND(Costs!N139/(1-40%),0)*INDEX(fx,MATCH($C$3,currency,0)),"")</f>
        <v>0</v>
      </c>
      <c r="O112" s="363">
        <f>IFERROR(ROUND(Costs!O139/(1-40%),0)*INDEX(fx,MATCH($C$3,currency,0)),"")</f>
        <v>0</v>
      </c>
      <c r="P112" s="498">
        <f>IFERROR(ROUND(Costs!P139/(1-40%),0)*INDEX(fx,MATCH($C$3,currency,0)),"")</f>
        <v>0</v>
      </c>
    </row>
    <row r="113" spans="2:16">
      <c r="B113" s="479" t="s">
        <v>126</v>
      </c>
      <c r="C113" s="497">
        <f>IFERROR(ROUND(Costs!C140/(1-40%),0)*INDEX(fx,MATCH($C$3,currency,0)),"")</f>
        <v>303</v>
      </c>
      <c r="D113" s="363">
        <f>IFERROR(ROUND(Costs!D140/(1-40%),0)*INDEX(fx,MATCH($C$3,currency,0)),"")</f>
        <v>0</v>
      </c>
      <c r="E113" s="363">
        <f>IFERROR(ROUND(Costs!E140/(1-40%),0)*INDEX(fx,MATCH($C$3,currency,0)),"")</f>
        <v>0</v>
      </c>
      <c r="F113" s="363">
        <f>IFERROR(ROUND(Costs!F140/(1-40%),0)*INDEX(fx,MATCH($C$3,currency,0)),"")</f>
        <v>0</v>
      </c>
      <c r="G113" s="363">
        <f>IFERROR(ROUND(Costs!G140/(1-40%),0)*INDEX(fx,MATCH($C$3,currency,0)),"")</f>
        <v>0</v>
      </c>
      <c r="H113" s="363">
        <f>IFERROR(ROUND(Costs!H140/(1-40%),0)*INDEX(fx,MATCH($C$3,currency,0)),"")</f>
        <v>0</v>
      </c>
      <c r="I113" s="363">
        <f>IFERROR(ROUND(Costs!I140/(1-40%),0)*INDEX(fx,MATCH($C$3,currency,0)),"")</f>
        <v>0</v>
      </c>
      <c r="J113" s="363">
        <f>IFERROR(ROUND(Costs!J140/(1-40%),0)*INDEX(fx,MATCH($C$3,currency,0)),"")</f>
        <v>0</v>
      </c>
      <c r="K113" s="363">
        <f>IFERROR(ROUND(Costs!K140/(1-40%),0)*INDEX(fx,MATCH($C$3,currency,0)),"")</f>
        <v>0</v>
      </c>
      <c r="L113" s="363">
        <f>IFERROR(ROUND(Costs!L140/(1-40%),0)*INDEX(fx,MATCH($C$3,currency,0)),"")</f>
        <v>0</v>
      </c>
      <c r="M113" s="363">
        <f>IFERROR(ROUND(Costs!M140/(1-40%),0)*INDEX(fx,MATCH($C$3,currency,0)),"")</f>
        <v>0</v>
      </c>
      <c r="N113" s="363">
        <f>IFERROR(ROUND(Costs!N140/(1-40%),0)*INDEX(fx,MATCH($C$3,currency,0)),"")</f>
        <v>0</v>
      </c>
      <c r="O113" s="363">
        <f>IFERROR(ROUND(Costs!O140/(1-40%),0)*INDEX(fx,MATCH($C$3,currency,0)),"")</f>
        <v>0</v>
      </c>
      <c r="P113" s="498">
        <f>IFERROR(ROUND(Costs!P140/(1-40%),0)*INDEX(fx,MATCH($C$3,currency,0)),"")</f>
        <v>0</v>
      </c>
    </row>
    <row r="114" spans="2:16">
      <c r="B114" s="479" t="s">
        <v>242</v>
      </c>
      <c r="C114" s="497">
        <f>IFERROR(ROUND(Costs!C141/(1-40%),0)*INDEX(fx,MATCH($C$3,currency,0)),"")</f>
        <v>242</v>
      </c>
      <c r="D114" s="363">
        <f>IFERROR(ROUND(Costs!D141/(1-40%),0)*INDEX(fx,MATCH($C$3,currency,0)),"")</f>
        <v>0</v>
      </c>
      <c r="E114" s="363">
        <f>IFERROR(ROUND(Costs!E141/(1-40%),0)*INDEX(fx,MATCH($C$3,currency,0)),"")</f>
        <v>0</v>
      </c>
      <c r="F114" s="363">
        <f>IFERROR(ROUND(Costs!F141/(1-40%),0)*INDEX(fx,MATCH($C$3,currency,0)),"")</f>
        <v>0</v>
      </c>
      <c r="G114" s="363">
        <f>IFERROR(ROUND(Costs!G141/(1-40%),0)*INDEX(fx,MATCH($C$3,currency,0)),"")</f>
        <v>0</v>
      </c>
      <c r="H114" s="363">
        <f>IFERROR(ROUND(Costs!H141/(1-40%),0)*INDEX(fx,MATCH($C$3,currency,0)),"")</f>
        <v>0</v>
      </c>
      <c r="I114" s="363">
        <f>IFERROR(ROUND(Costs!I141/(1-40%),0)*INDEX(fx,MATCH($C$3,currency,0)),"")</f>
        <v>0</v>
      </c>
      <c r="J114" s="363">
        <f>IFERROR(ROUND(Costs!J141/(1-40%),0)*INDEX(fx,MATCH($C$3,currency,0)),"")</f>
        <v>0</v>
      </c>
      <c r="K114" s="363">
        <f>IFERROR(ROUND(Costs!K141/(1-40%),0)*INDEX(fx,MATCH($C$3,currency,0)),"")</f>
        <v>0</v>
      </c>
      <c r="L114" s="363">
        <f>IFERROR(ROUND(Costs!L141/(1-40%),0)*INDEX(fx,MATCH($C$3,currency,0)),"")</f>
        <v>0</v>
      </c>
      <c r="M114" s="363">
        <f>IFERROR(ROUND(Costs!M141/(1-40%),0)*INDEX(fx,MATCH($C$3,currency,0)),"")</f>
        <v>0</v>
      </c>
      <c r="N114" s="363">
        <f>IFERROR(ROUND(Costs!N141/(1-40%),0)*INDEX(fx,MATCH($C$3,currency,0)),"")</f>
        <v>0</v>
      </c>
      <c r="O114" s="363">
        <f>IFERROR(ROUND(Costs!O141/(1-40%),0)*INDEX(fx,MATCH($C$3,currency,0)),"")</f>
        <v>0</v>
      </c>
      <c r="P114" s="498">
        <f>IFERROR(ROUND(Costs!P141/(1-40%),0)*INDEX(fx,MATCH($C$3,currency,0)),"")</f>
        <v>0</v>
      </c>
    </row>
    <row r="115" spans="2:16" ht="15.75" thickBot="1">
      <c r="B115" s="480" t="s">
        <v>239</v>
      </c>
      <c r="C115" s="499">
        <f>IFERROR(ROUND(Costs!C142/(1-40%),0)*INDEX(fx,MATCH($C$3,currency,0)),"")</f>
        <v>288</v>
      </c>
      <c r="D115" s="500">
        <f>IFERROR(ROUND(Costs!D142/(1-40%),0)*INDEX(fx,MATCH($C$3,currency,0)),"")</f>
        <v>0</v>
      </c>
      <c r="E115" s="500">
        <f>IFERROR(ROUND(Costs!E142/(1-40%),0)*INDEX(fx,MATCH($C$3,currency,0)),"")</f>
        <v>0</v>
      </c>
      <c r="F115" s="500">
        <f>IFERROR(ROUND(Costs!F142/(1-40%),0)*INDEX(fx,MATCH($C$3,currency,0)),"")</f>
        <v>0</v>
      </c>
      <c r="G115" s="500">
        <f>IFERROR(ROUND(Costs!G142/(1-40%),0)*INDEX(fx,MATCH($C$3,currency,0)),"")</f>
        <v>0</v>
      </c>
      <c r="H115" s="500">
        <f>IFERROR(ROUND(Costs!H142/(1-40%),0)*INDEX(fx,MATCH($C$3,currency,0)),"")</f>
        <v>0</v>
      </c>
      <c r="I115" s="500">
        <f>IFERROR(ROUND(Costs!I142/(1-40%),0)*INDEX(fx,MATCH($C$3,currency,0)),"")</f>
        <v>0</v>
      </c>
      <c r="J115" s="500">
        <f>IFERROR(ROUND(Costs!J142/(1-40%),0)*INDEX(fx,MATCH($C$3,currency,0)),"")</f>
        <v>0</v>
      </c>
      <c r="K115" s="500">
        <f>IFERROR(ROUND(Costs!K142/(1-40%),0)*INDEX(fx,MATCH($C$3,currency,0)),"")</f>
        <v>0</v>
      </c>
      <c r="L115" s="500">
        <f>IFERROR(ROUND(Costs!L142/(1-40%),0)*INDEX(fx,MATCH($C$3,currency,0)),"")</f>
        <v>0</v>
      </c>
      <c r="M115" s="500">
        <f>IFERROR(ROUND(Costs!M142/(1-40%),0)*INDEX(fx,MATCH($C$3,currency,0)),"")</f>
        <v>0</v>
      </c>
      <c r="N115" s="500">
        <f>IFERROR(ROUND(Costs!N142/(1-40%),0)*INDEX(fx,MATCH($C$3,currency,0)),"")</f>
        <v>0</v>
      </c>
      <c r="O115" s="500">
        <f>IFERROR(ROUND(Costs!O142/(1-40%),0)*INDEX(fx,MATCH($C$3,currency,0)),"")</f>
        <v>0</v>
      </c>
      <c r="P115" s="501">
        <f>IFERROR(ROUND(Costs!P142/(1-40%),0)*INDEX(fx,MATCH($C$3,currency,0)),"")</f>
        <v>0</v>
      </c>
    </row>
  </sheetData>
  <conditionalFormatting sqref="C8:O17">
    <cfRule type="cellIs" dxfId="66" priority="1" operator="equal">
      <formula>0</formula>
    </cfRule>
    <cfRule type="expression" dxfId="65" priority="2">
      <formula>IF($C$3="CAD",1,0)</formula>
    </cfRule>
    <cfRule type="expression" dxfId="64" priority="3">
      <formula>IF($C$3="AUD",1,0)</formula>
    </cfRule>
    <cfRule type="expression" dxfId="63" priority="4">
      <formula>IF($C$3="EUR",1,0)</formula>
    </cfRule>
    <cfRule type="expression" dxfId="62" priority="5">
      <formula>IF($C$3="GBP",1,0)</formula>
    </cfRule>
  </conditionalFormatting>
  <conditionalFormatting sqref="C23:O32 C39:O48">
    <cfRule type="expression" dxfId="61" priority="34">
      <formula>IF($C$3="CAD",1,0)</formula>
    </cfRule>
    <cfRule type="expression" dxfId="60" priority="35">
      <formula>IF($C$3="AUD",1,0)</formula>
    </cfRule>
    <cfRule type="expression" dxfId="59" priority="37">
      <formula>IF($C$3="EUR",1,0)</formula>
    </cfRule>
    <cfRule type="expression" dxfId="58" priority="38">
      <formula>IF($C$3="GBP",1,0)</formula>
    </cfRule>
  </conditionalFormatting>
  <conditionalFormatting sqref="C18:P97">
    <cfRule type="cellIs" dxfId="57" priority="33" operator="equal">
      <formula>0</formula>
    </cfRule>
  </conditionalFormatting>
  <conditionalFormatting sqref="C52:P63">
    <cfRule type="expression" dxfId="56" priority="24">
      <formula>IF($C$3="CAD",1,0)</formula>
    </cfRule>
    <cfRule type="expression" dxfId="55" priority="25">
      <formula>IF($C$3="AUD",1,0)</formula>
    </cfRule>
    <cfRule type="expression" dxfId="54" priority="26">
      <formula>IF($C$3="EUR",1,0)</formula>
    </cfRule>
    <cfRule type="expression" dxfId="53" priority="27">
      <formula>IF($C$3="GBP",1,0)</formula>
    </cfRule>
  </conditionalFormatting>
  <conditionalFormatting sqref="C69:P80">
    <cfRule type="expression" dxfId="52" priority="6">
      <formula>IF($C$3="CAD",1,0)</formula>
    </cfRule>
    <cfRule type="expression" dxfId="51" priority="7">
      <formula>IF($C$3="AUD",1,0)</formula>
    </cfRule>
    <cfRule type="expression" dxfId="50" priority="8">
      <formula>IF($C$3="EUR",1,0)</formula>
    </cfRule>
    <cfRule type="expression" dxfId="49" priority="9">
      <formula>IF($C$3="GBP",1,0)</formula>
    </cfRule>
  </conditionalFormatting>
  <conditionalFormatting sqref="C86:P97">
    <cfRule type="expression" dxfId="48" priority="20">
      <formula>IF($C$3="CAD",1,0)</formula>
    </cfRule>
    <cfRule type="expression" dxfId="47" priority="21">
      <formula>IF($C$3="AUD",1,0)</formula>
    </cfRule>
    <cfRule type="expression" dxfId="46" priority="22">
      <formula>IF($C$3="EUR",1,0)</formula>
    </cfRule>
    <cfRule type="expression" dxfId="45" priority="23">
      <formula>IF($C$3="GBP",1,0)</formula>
    </cfRule>
  </conditionalFormatting>
  <conditionalFormatting sqref="C101:P115">
    <cfRule type="cellIs" dxfId="44" priority="14" operator="equal">
      <formula>0</formula>
    </cfRule>
  </conditionalFormatting>
  <conditionalFormatting sqref="C102:P115">
    <cfRule type="expression" dxfId="43" priority="10">
      <formula>IF($C$3="CAD",1,0)</formula>
    </cfRule>
    <cfRule type="expression" dxfId="42" priority="11">
      <formula>IF($C$3="AUD",1,0)</formula>
    </cfRule>
    <cfRule type="expression" dxfId="41" priority="12">
      <formula>IF($C$3="EUR",1,0)</formula>
    </cfRule>
    <cfRule type="expression" dxfId="40" priority="13">
      <formula>IF($C$3="GBP",1,0)</formula>
    </cfRule>
  </conditionalFormatting>
  <conditionalFormatting sqref="R8:AE1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list" allowBlank="1" showInputMessage="1" showErrorMessage="1" sqref="C3" xr:uid="{BA11E2EB-A865-4384-8027-8E94C7133157}">
      <formula1>"USD"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12B3-BEAF-48CE-9F8D-892C097C406A}">
  <sheetPr codeName="Sheet12"/>
  <dimension ref="A1:BB141"/>
  <sheetViews>
    <sheetView showGridLines="0" topLeftCell="BB95" workbookViewId="0">
      <selection activeCell="BK98" sqref="BK98"/>
    </sheetView>
  </sheetViews>
  <sheetFormatPr defaultColWidth="8.85546875" defaultRowHeight="15" outlineLevelCol="1"/>
  <cols>
    <col min="1" max="1" width="8.85546875" hidden="1" customWidth="1" outlineLevel="1"/>
    <col min="2" max="2" width="23.42578125" hidden="1" customWidth="1" outlineLevel="1"/>
    <col min="3" max="17" width="8.85546875" hidden="1" customWidth="1" outlineLevel="1"/>
    <col min="18" max="18" width="21.42578125" hidden="1" customWidth="1" outlineLevel="1"/>
    <col min="19" max="32" width="8.85546875" hidden="1" customWidth="1" outlineLevel="1"/>
    <col min="33" max="33" width="11.42578125" hidden="1" customWidth="1" outlineLevel="1"/>
    <col min="34" max="34" width="8.85546875" hidden="1" customWidth="1" outlineLevel="1"/>
    <col min="35" max="35" width="24.85546875" hidden="1" customWidth="1" outlineLevel="1"/>
    <col min="36" max="49" width="8.85546875" hidden="1" customWidth="1" outlineLevel="1"/>
    <col min="50" max="50" width="13.140625" hidden="1" customWidth="1" outlineLevel="1"/>
    <col min="51" max="51" width="15.42578125" hidden="1" customWidth="1" outlineLevel="1"/>
    <col min="52" max="53" width="8.85546875" hidden="1" customWidth="1" outlineLevel="1"/>
    <col min="54" max="54" width="8.85546875" collapsed="1"/>
  </cols>
  <sheetData>
    <row r="1" spans="2:51">
      <c r="B1" s="8" t="s">
        <v>463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I1" s="38" t="s">
        <v>464</v>
      </c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</row>
    <row r="2" spans="2:51" ht="15.75" thickBot="1"/>
    <row r="3" spans="2:51" ht="15.75" thickBot="1">
      <c r="B3" s="28" t="s">
        <v>465</v>
      </c>
      <c r="C3" s="28" t="s">
        <v>98</v>
      </c>
      <c r="D3" s="407" t="s">
        <v>105</v>
      </c>
      <c r="E3" s="407" t="s">
        <v>112</v>
      </c>
      <c r="F3" s="407" t="s">
        <v>120</v>
      </c>
      <c r="G3" s="407" t="s">
        <v>125</v>
      </c>
      <c r="H3" s="407" t="s">
        <v>131</v>
      </c>
      <c r="I3" s="407" t="s">
        <v>136</v>
      </c>
      <c r="J3" s="407" t="s">
        <v>140</v>
      </c>
      <c r="K3" s="407" t="s">
        <v>145</v>
      </c>
      <c r="L3" s="407" t="s">
        <v>149</v>
      </c>
      <c r="M3" s="407" t="s">
        <v>153</v>
      </c>
      <c r="N3" s="407" t="s">
        <v>156</v>
      </c>
      <c r="O3" s="79" t="s">
        <v>159</v>
      </c>
      <c r="P3" s="79"/>
      <c r="R3" s="79" t="s">
        <v>466</v>
      </c>
      <c r="S3" s="1" t="s">
        <v>98</v>
      </c>
      <c r="T3" s="1" t="s">
        <v>105</v>
      </c>
      <c r="U3" s="1" t="s">
        <v>112</v>
      </c>
      <c r="V3" s="1" t="s">
        <v>120</v>
      </c>
      <c r="W3" s="1" t="s">
        <v>125</v>
      </c>
      <c r="X3" s="1" t="s">
        <v>131</v>
      </c>
      <c r="Y3" s="1" t="s">
        <v>136</v>
      </c>
      <c r="Z3" s="1" t="s">
        <v>140</v>
      </c>
      <c r="AA3" s="1" t="s">
        <v>145</v>
      </c>
      <c r="AB3" s="1" t="s">
        <v>149</v>
      </c>
      <c r="AC3" s="71" t="s">
        <v>153</v>
      </c>
      <c r="AD3" s="71" t="s">
        <v>156</v>
      </c>
      <c r="AE3" s="71" t="s">
        <v>159</v>
      </c>
      <c r="AF3" s="71"/>
      <c r="AI3" s="38" t="s">
        <v>467</v>
      </c>
      <c r="AJ3" s="29" t="s">
        <v>98</v>
      </c>
      <c r="AK3" s="30" t="s">
        <v>105</v>
      </c>
      <c r="AL3" s="30" t="s">
        <v>112</v>
      </c>
      <c r="AM3" s="30" t="s">
        <v>120</v>
      </c>
      <c r="AN3" s="30" t="s">
        <v>125</v>
      </c>
      <c r="AO3" s="30" t="s">
        <v>131</v>
      </c>
      <c r="AP3" s="30" t="s">
        <v>136</v>
      </c>
      <c r="AQ3" s="30" t="s">
        <v>140</v>
      </c>
      <c r="AR3" s="30" t="s">
        <v>145</v>
      </c>
      <c r="AS3" s="30" t="s">
        <v>149</v>
      </c>
      <c r="AT3" s="30" t="s">
        <v>153</v>
      </c>
      <c r="AU3" s="30" t="s">
        <v>156</v>
      </c>
      <c r="AV3" s="80" t="s">
        <v>159</v>
      </c>
      <c r="AX3" s="11" t="s">
        <v>468</v>
      </c>
      <c r="AY3" s="11" t="s">
        <v>469</v>
      </c>
    </row>
    <row r="4" spans="2:51">
      <c r="B4" s="3" t="s">
        <v>99</v>
      </c>
      <c r="C4" s="149">
        <v>0</v>
      </c>
      <c r="D4" s="150">
        <v>103.33333333333334</v>
      </c>
      <c r="E4" s="150">
        <v>106.66666666666667</v>
      </c>
      <c r="F4" s="150">
        <v>110</v>
      </c>
      <c r="G4" s="150">
        <v>0</v>
      </c>
      <c r="H4" s="150">
        <v>0</v>
      </c>
      <c r="I4" s="150">
        <v>40</v>
      </c>
      <c r="J4" s="150">
        <v>0</v>
      </c>
      <c r="K4" s="150">
        <v>0</v>
      </c>
      <c r="L4" s="150">
        <v>0</v>
      </c>
      <c r="M4" s="150">
        <v>0</v>
      </c>
      <c r="N4" s="150">
        <v>0</v>
      </c>
      <c r="O4" s="150">
        <v>0</v>
      </c>
      <c r="P4" s="151"/>
      <c r="R4" s="3" t="s">
        <v>99</v>
      </c>
      <c r="S4" s="4">
        <v>0</v>
      </c>
      <c r="T4" s="4">
        <v>9</v>
      </c>
      <c r="U4" s="4">
        <v>2</v>
      </c>
      <c r="V4" s="4">
        <v>1</v>
      </c>
      <c r="W4" s="4">
        <v>0</v>
      </c>
      <c r="X4" s="4">
        <v>0</v>
      </c>
      <c r="Y4" s="4">
        <v>11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/>
      <c r="AI4" s="3" t="s">
        <v>99</v>
      </c>
      <c r="AJ4" s="149">
        <v>82.390000000000015</v>
      </c>
      <c r="AK4" s="150">
        <v>55.540350833333335</v>
      </c>
      <c r="AL4" s="150">
        <v>57.346708333333339</v>
      </c>
      <c r="AM4" s="150">
        <v>48.073990384615378</v>
      </c>
      <c r="AN4" s="150">
        <v>59.160346813272795</v>
      </c>
      <c r="AO4" s="150">
        <v>35.851941749499332</v>
      </c>
      <c r="AP4" s="150">
        <v>13.041246626180836</v>
      </c>
      <c r="AQ4" s="150">
        <v>9.2123963175440249</v>
      </c>
      <c r="AR4" s="150">
        <v>0</v>
      </c>
      <c r="AS4" s="150">
        <v>64.321795703363009</v>
      </c>
      <c r="AT4" s="150">
        <v>0</v>
      </c>
      <c r="AU4" s="150">
        <v>96.25714496592559</v>
      </c>
      <c r="AV4" s="151">
        <v>17.346449891672947</v>
      </c>
      <c r="AX4" s="11" t="s">
        <v>470</v>
      </c>
      <c r="AY4" s="11" t="s">
        <v>471</v>
      </c>
    </row>
    <row r="5" spans="2:51">
      <c r="B5" s="5" t="s">
        <v>106</v>
      </c>
      <c r="C5" s="152">
        <v>190</v>
      </c>
      <c r="D5" s="291">
        <v>153.33333333333334</v>
      </c>
      <c r="E5" s="291">
        <v>150</v>
      </c>
      <c r="F5" s="291">
        <v>116.66666666666667</v>
      </c>
      <c r="G5" s="291">
        <v>143.33333333333334</v>
      </c>
      <c r="H5" s="291">
        <v>73</v>
      </c>
      <c r="I5" s="291">
        <v>50</v>
      </c>
      <c r="J5" s="291">
        <v>62.5</v>
      </c>
      <c r="K5" s="291">
        <v>0</v>
      </c>
      <c r="L5" s="291">
        <v>0</v>
      </c>
      <c r="M5" s="291">
        <v>155.59142857142859</v>
      </c>
      <c r="N5" s="291">
        <v>0</v>
      </c>
      <c r="O5" s="291">
        <v>0</v>
      </c>
      <c r="P5" s="153"/>
      <c r="R5" s="5" t="s">
        <v>106</v>
      </c>
      <c r="S5" s="4">
        <v>4</v>
      </c>
      <c r="T5" s="4">
        <v>9</v>
      </c>
      <c r="U5" s="4">
        <v>4</v>
      </c>
      <c r="V5" s="4">
        <v>2</v>
      </c>
      <c r="W5" s="4">
        <v>1</v>
      </c>
      <c r="X5" s="4">
        <v>0</v>
      </c>
      <c r="Y5" s="4">
        <v>48</v>
      </c>
      <c r="Z5" s="4">
        <v>12</v>
      </c>
      <c r="AA5" s="4">
        <v>0</v>
      </c>
      <c r="AB5" s="4">
        <v>0</v>
      </c>
      <c r="AC5" s="4">
        <v>1</v>
      </c>
      <c r="AD5" s="4">
        <v>0</v>
      </c>
      <c r="AE5" s="4">
        <v>0</v>
      </c>
      <c r="AF5" s="4"/>
      <c r="AI5" s="5" t="s">
        <v>106</v>
      </c>
      <c r="AJ5" s="152">
        <v>102.98982500000001</v>
      </c>
      <c r="AK5" s="291">
        <v>84.124343333333357</v>
      </c>
      <c r="AL5" s="291">
        <v>79.075835714285716</v>
      </c>
      <c r="AM5" s="291">
        <v>63.21742521367522</v>
      </c>
      <c r="AN5" s="291">
        <v>78.802166437757592</v>
      </c>
      <c r="AO5" s="291">
        <v>46.617346724143509</v>
      </c>
      <c r="AP5" s="291">
        <v>17.10601557085932</v>
      </c>
      <c r="AQ5" s="291">
        <v>10.172819177350428</v>
      </c>
      <c r="AR5" s="291">
        <v>74.126273990539175</v>
      </c>
      <c r="AS5" s="291">
        <v>75.780804685810864</v>
      </c>
      <c r="AT5" s="291">
        <v>104.46340833333332</v>
      </c>
      <c r="AU5" s="291">
        <v>122.95081967213117</v>
      </c>
      <c r="AV5" s="153">
        <v>24.040499849869192</v>
      </c>
      <c r="AX5" s="11" t="s">
        <v>472</v>
      </c>
      <c r="AY5" s="11" t="s">
        <v>473</v>
      </c>
    </row>
    <row r="6" spans="2:51">
      <c r="B6" s="5" t="s">
        <v>113</v>
      </c>
      <c r="C6" s="152">
        <v>220</v>
      </c>
      <c r="D6" s="291">
        <v>213.33333333333334</v>
      </c>
      <c r="E6" s="291">
        <v>173.33333333333334</v>
      </c>
      <c r="F6" s="291">
        <v>146.66666666666669</v>
      </c>
      <c r="G6" s="291">
        <v>188.33333333333334</v>
      </c>
      <c r="H6" s="291">
        <v>95</v>
      </c>
      <c r="I6" s="291">
        <v>80</v>
      </c>
      <c r="J6" s="291">
        <v>85</v>
      </c>
      <c r="K6" s="291">
        <v>168.33333333333334</v>
      </c>
      <c r="L6" s="291">
        <v>0</v>
      </c>
      <c r="M6" s="291">
        <v>0</v>
      </c>
      <c r="N6" s="291">
        <v>0</v>
      </c>
      <c r="O6" s="291">
        <v>0</v>
      </c>
      <c r="P6" s="153"/>
      <c r="R6" s="5" t="s">
        <v>113</v>
      </c>
      <c r="S6" s="4">
        <v>19</v>
      </c>
      <c r="T6" s="4">
        <v>20</v>
      </c>
      <c r="U6" s="4">
        <v>11</v>
      </c>
      <c r="V6" s="4">
        <v>5</v>
      </c>
      <c r="W6" s="4">
        <v>10</v>
      </c>
      <c r="X6" s="4">
        <v>0</v>
      </c>
      <c r="Y6" s="4">
        <v>31</v>
      </c>
      <c r="Z6" s="4">
        <v>9</v>
      </c>
      <c r="AA6" s="4">
        <v>4</v>
      </c>
      <c r="AB6" s="4">
        <v>0</v>
      </c>
      <c r="AC6" s="4">
        <v>0</v>
      </c>
      <c r="AD6" s="4">
        <v>0</v>
      </c>
      <c r="AE6" s="4">
        <v>0</v>
      </c>
      <c r="AF6" s="4"/>
      <c r="AI6" s="5" t="s">
        <v>113</v>
      </c>
      <c r="AJ6" s="152">
        <v>121.76081547619047</v>
      </c>
      <c r="AK6" s="291">
        <v>116.16020231481482</v>
      </c>
      <c r="AL6" s="291">
        <v>93.295126515151509</v>
      </c>
      <c r="AM6" s="291">
        <v>74.679926883012826</v>
      </c>
      <c r="AN6" s="291">
        <v>100.87460249999999</v>
      </c>
      <c r="AO6" s="291">
        <v>63.590539968837994</v>
      </c>
      <c r="AP6" s="291">
        <v>27.48632028388278</v>
      </c>
      <c r="AQ6" s="291">
        <v>14.285154246794869</v>
      </c>
      <c r="AR6" s="291">
        <v>90.08797916666667</v>
      </c>
      <c r="AS6" s="291">
        <v>104.91479450439292</v>
      </c>
      <c r="AT6" s="291">
        <v>115</v>
      </c>
      <c r="AU6" s="291">
        <v>144.72400134493481</v>
      </c>
      <c r="AV6" s="153">
        <v>33.930599788106385</v>
      </c>
      <c r="AX6" s="11" t="s">
        <v>474</v>
      </c>
      <c r="AY6" s="11" t="s">
        <v>475</v>
      </c>
    </row>
    <row r="7" spans="2:51">
      <c r="B7" s="5" t="s">
        <v>91</v>
      </c>
      <c r="C7" s="152">
        <v>290</v>
      </c>
      <c r="D7" s="291">
        <v>250</v>
      </c>
      <c r="E7" s="291">
        <v>223</v>
      </c>
      <c r="F7" s="291">
        <v>173.06666666666666</v>
      </c>
      <c r="G7" s="291">
        <v>225</v>
      </c>
      <c r="H7" s="291">
        <v>156.66666666666669</v>
      </c>
      <c r="I7" s="291">
        <v>100</v>
      </c>
      <c r="J7" s="291">
        <v>93.515571675675673</v>
      </c>
      <c r="K7" s="291">
        <v>185</v>
      </c>
      <c r="L7" s="291">
        <v>0</v>
      </c>
      <c r="M7" s="291"/>
      <c r="N7" s="291">
        <v>0</v>
      </c>
      <c r="O7" s="291">
        <v>0</v>
      </c>
      <c r="P7" s="153"/>
      <c r="R7" s="5" t="s">
        <v>91</v>
      </c>
      <c r="S7" s="4">
        <v>11</v>
      </c>
      <c r="T7" s="4">
        <v>6</v>
      </c>
      <c r="U7" s="4">
        <v>10</v>
      </c>
      <c r="V7" s="4">
        <v>1</v>
      </c>
      <c r="W7" s="4">
        <v>10</v>
      </c>
      <c r="X7" s="4">
        <v>1</v>
      </c>
      <c r="Y7" s="4">
        <v>6</v>
      </c>
      <c r="Z7" s="4">
        <v>0</v>
      </c>
      <c r="AA7" s="4">
        <v>2</v>
      </c>
      <c r="AB7" s="4">
        <v>0</v>
      </c>
      <c r="AC7" s="4">
        <v>2</v>
      </c>
      <c r="AD7" s="4">
        <v>0</v>
      </c>
      <c r="AE7" s="4">
        <v>0</v>
      </c>
      <c r="AF7" s="4"/>
      <c r="AI7" s="5" t="s">
        <v>91</v>
      </c>
      <c r="AJ7" s="152">
        <v>139.47395370370373</v>
      </c>
      <c r="AK7" s="291">
        <v>133.0585920972039</v>
      </c>
      <c r="AL7" s="291">
        <v>123.46714416666669</v>
      </c>
      <c r="AM7" s="291">
        <v>91.348469551282051</v>
      </c>
      <c r="AN7" s="291">
        <v>120.96607916666669</v>
      </c>
      <c r="AO7" s="291">
        <v>89.711708333333348</v>
      </c>
      <c r="AP7" s="291">
        <v>36.686570512820516</v>
      </c>
      <c r="AQ7" s="291">
        <v>18.529419547388461</v>
      </c>
      <c r="AR7" s="291">
        <v>99.457641666666674</v>
      </c>
      <c r="AS7" s="291">
        <v>137.12974428523694</v>
      </c>
      <c r="AT7" s="291">
        <v>120.12672083333334</v>
      </c>
      <c r="AU7" s="291">
        <v>201.51469177211561</v>
      </c>
      <c r="AV7" s="153">
        <v>40.655999746106851</v>
      </c>
      <c r="AX7" s="11" t="s">
        <v>476</v>
      </c>
      <c r="AY7" s="11" t="s">
        <v>477</v>
      </c>
    </row>
    <row r="8" spans="2:51">
      <c r="B8" s="5" t="s">
        <v>126</v>
      </c>
      <c r="C8" s="152">
        <v>310</v>
      </c>
      <c r="D8" s="291">
        <v>260</v>
      </c>
      <c r="E8" s="291">
        <v>0</v>
      </c>
      <c r="F8" s="291">
        <v>0</v>
      </c>
      <c r="G8" s="291">
        <v>256.5</v>
      </c>
      <c r="H8" s="291">
        <v>167.4712643678161</v>
      </c>
      <c r="I8" s="291">
        <v>102.5</v>
      </c>
      <c r="J8" s="291">
        <v>0</v>
      </c>
      <c r="K8" s="291">
        <v>213.33333333333334</v>
      </c>
      <c r="L8" s="291">
        <v>0</v>
      </c>
      <c r="M8" s="291">
        <v>241.42857142857144</v>
      </c>
      <c r="N8" s="291">
        <v>0</v>
      </c>
      <c r="O8" s="291">
        <v>0</v>
      </c>
      <c r="P8" s="153"/>
      <c r="R8" s="5" t="s">
        <v>126</v>
      </c>
      <c r="S8" s="4">
        <v>15</v>
      </c>
      <c r="T8" s="4">
        <v>1</v>
      </c>
      <c r="U8" s="4"/>
      <c r="V8" s="4">
        <v>0</v>
      </c>
      <c r="W8" s="4">
        <v>1</v>
      </c>
      <c r="X8" s="4">
        <v>0</v>
      </c>
      <c r="Y8" s="4">
        <v>4</v>
      </c>
      <c r="Z8" s="4">
        <v>0</v>
      </c>
      <c r="AA8" s="4">
        <v>5</v>
      </c>
      <c r="AB8" s="4">
        <v>0</v>
      </c>
      <c r="AC8" s="4">
        <v>0</v>
      </c>
      <c r="AD8" s="4">
        <v>0</v>
      </c>
      <c r="AE8" s="4">
        <v>0</v>
      </c>
      <c r="AF8" s="4"/>
      <c r="AI8" s="5" t="s">
        <v>126</v>
      </c>
      <c r="AJ8" s="152">
        <v>158.02629940476189</v>
      </c>
      <c r="AK8" s="291">
        <v>136.56195</v>
      </c>
      <c r="AL8" s="291">
        <v>0</v>
      </c>
      <c r="AM8" s="291">
        <v>111.11045067637265</v>
      </c>
      <c r="AN8" s="291">
        <v>137.05657104136554</v>
      </c>
      <c r="AO8" s="291">
        <v>103.82002017670085</v>
      </c>
      <c r="AP8" s="291">
        <v>38.890318333333333</v>
      </c>
      <c r="AQ8" s="291">
        <v>20.994139216936098</v>
      </c>
      <c r="AR8" s="291">
        <v>116.75590238095239</v>
      </c>
      <c r="AS8" s="291">
        <v>155.37027131067725</v>
      </c>
      <c r="AT8" s="291">
        <v>0</v>
      </c>
      <c r="AU8" s="291">
        <v>0</v>
      </c>
      <c r="AV8" s="153">
        <v>0</v>
      </c>
      <c r="AX8" s="11" t="s">
        <v>478</v>
      </c>
      <c r="AY8" s="11" t="s">
        <v>479</v>
      </c>
    </row>
    <row r="9" spans="2:51">
      <c r="B9" s="5" t="s">
        <v>132</v>
      </c>
      <c r="C9" s="152"/>
      <c r="D9" s="291">
        <v>278.33333333333337</v>
      </c>
      <c r="E9" s="291">
        <v>0</v>
      </c>
      <c r="F9" s="291">
        <v>0</v>
      </c>
      <c r="G9" s="291">
        <v>408.33333333333337</v>
      </c>
      <c r="H9" s="291">
        <v>0</v>
      </c>
      <c r="I9" s="291">
        <v>0</v>
      </c>
      <c r="J9" s="291">
        <v>0</v>
      </c>
      <c r="K9" s="291">
        <v>288.33333333333337</v>
      </c>
      <c r="L9" s="291">
        <v>0</v>
      </c>
      <c r="M9" s="291">
        <v>0</v>
      </c>
      <c r="N9" s="291">
        <v>0</v>
      </c>
      <c r="O9" s="291">
        <v>0</v>
      </c>
      <c r="P9" s="153"/>
      <c r="R9" s="5" t="s">
        <v>132</v>
      </c>
      <c r="S9" s="4">
        <v>0</v>
      </c>
      <c r="T9" s="4">
        <v>1</v>
      </c>
      <c r="U9" s="4"/>
      <c r="V9" s="4">
        <v>0</v>
      </c>
      <c r="W9" s="4">
        <v>1</v>
      </c>
      <c r="X9" s="4">
        <v>0</v>
      </c>
      <c r="Y9" s="4">
        <v>0</v>
      </c>
      <c r="Z9" s="4">
        <v>0</v>
      </c>
      <c r="AA9" s="4">
        <v>2</v>
      </c>
      <c r="AB9" s="4">
        <v>0</v>
      </c>
      <c r="AC9" s="4">
        <v>0</v>
      </c>
      <c r="AD9" s="4">
        <v>0</v>
      </c>
      <c r="AE9" s="4">
        <v>0</v>
      </c>
      <c r="AF9" s="4"/>
      <c r="AI9" s="5" t="s">
        <v>132</v>
      </c>
      <c r="AJ9" s="152">
        <v>333.34875000000005</v>
      </c>
      <c r="AK9" s="291">
        <v>334.55293848616492</v>
      </c>
      <c r="AL9" s="291">
        <v>0</v>
      </c>
      <c r="AM9" s="291">
        <v>0</v>
      </c>
      <c r="AN9" s="291">
        <v>384.46934375000001</v>
      </c>
      <c r="AO9" s="291">
        <v>149.54679811948694</v>
      </c>
      <c r="AP9" s="291">
        <v>0</v>
      </c>
      <c r="AQ9" s="291">
        <v>0</v>
      </c>
      <c r="AR9" s="291">
        <v>272.28839843750001</v>
      </c>
      <c r="AS9" s="291">
        <v>270.59747036971515</v>
      </c>
      <c r="AT9" s="291">
        <v>0</v>
      </c>
      <c r="AU9" s="291">
        <v>0</v>
      </c>
      <c r="AV9" s="153">
        <v>0</v>
      </c>
      <c r="AX9" s="11" t="s">
        <v>480</v>
      </c>
      <c r="AY9" s="11" t="s">
        <v>481</v>
      </c>
    </row>
    <row r="10" spans="2:51">
      <c r="B10" s="5" t="s">
        <v>137</v>
      </c>
      <c r="C10" s="152">
        <v>300</v>
      </c>
      <c r="D10" s="291">
        <v>265</v>
      </c>
      <c r="E10" s="291">
        <v>215.71428571428572</v>
      </c>
      <c r="F10" s="291">
        <v>0</v>
      </c>
      <c r="G10" s="291">
        <v>240</v>
      </c>
      <c r="H10" s="291">
        <v>0</v>
      </c>
      <c r="I10" s="291">
        <v>105</v>
      </c>
      <c r="J10" s="291">
        <v>116</v>
      </c>
      <c r="K10" s="291">
        <v>195</v>
      </c>
      <c r="L10" s="291">
        <v>0</v>
      </c>
      <c r="M10" s="291">
        <v>0</v>
      </c>
      <c r="N10" s="291">
        <v>0</v>
      </c>
      <c r="O10" s="291">
        <v>0</v>
      </c>
      <c r="P10" s="153"/>
      <c r="R10" s="5" t="s">
        <v>137</v>
      </c>
      <c r="S10" s="4">
        <v>3</v>
      </c>
      <c r="T10" s="4">
        <v>6</v>
      </c>
      <c r="U10" s="4">
        <v>4</v>
      </c>
      <c r="V10" s="4">
        <v>0</v>
      </c>
      <c r="W10" s="4">
        <v>1</v>
      </c>
      <c r="X10" s="4">
        <v>0</v>
      </c>
      <c r="Y10" s="4">
        <v>5</v>
      </c>
      <c r="Z10" s="4">
        <v>3</v>
      </c>
      <c r="AA10" s="4">
        <v>3</v>
      </c>
      <c r="AB10" s="4">
        <v>0</v>
      </c>
      <c r="AC10" s="4">
        <v>0</v>
      </c>
      <c r="AD10" s="4">
        <v>0</v>
      </c>
      <c r="AE10" s="4">
        <v>0</v>
      </c>
      <c r="AF10" s="4"/>
      <c r="AI10" s="5" t="s">
        <v>137</v>
      </c>
      <c r="AJ10" s="152">
        <v>120.2980203125</v>
      </c>
      <c r="AK10" s="291">
        <v>77.211210714285713</v>
      </c>
      <c r="AL10" s="291">
        <v>84.23606041666666</v>
      </c>
      <c r="AM10" s="291">
        <v>0</v>
      </c>
      <c r="AN10" s="291">
        <v>89.052606250000011</v>
      </c>
      <c r="AO10" s="291">
        <v>66.354945682844757</v>
      </c>
      <c r="AP10" s="291">
        <v>20.928856249999999</v>
      </c>
      <c r="AQ10" s="291">
        <v>15.147541666666665</v>
      </c>
      <c r="AR10" s="291">
        <v>92.832985416666659</v>
      </c>
      <c r="AS10" s="291">
        <v>108.23898814788608</v>
      </c>
      <c r="AT10" s="291">
        <v>161.71115447607775</v>
      </c>
      <c r="AU10" s="291">
        <v>100.05515052608271</v>
      </c>
      <c r="AV10" s="153">
        <v>21.723899864336154</v>
      </c>
      <c r="AX10" s="11" t="s">
        <v>482</v>
      </c>
      <c r="AY10" s="11" t="s">
        <v>483</v>
      </c>
    </row>
    <row r="11" spans="2:51">
      <c r="B11" s="5" t="s">
        <v>141</v>
      </c>
      <c r="C11" s="152">
        <v>350</v>
      </c>
      <c r="D11" s="291">
        <v>310</v>
      </c>
      <c r="E11" s="291">
        <v>0</v>
      </c>
      <c r="F11" s="291">
        <v>0</v>
      </c>
      <c r="G11" s="291">
        <v>260</v>
      </c>
      <c r="H11" s="291">
        <v>0</v>
      </c>
      <c r="I11" s="291">
        <v>110</v>
      </c>
      <c r="J11" s="291">
        <v>0</v>
      </c>
      <c r="K11" s="291">
        <v>0</v>
      </c>
      <c r="L11" s="291">
        <v>0</v>
      </c>
      <c r="M11" s="291">
        <v>0</v>
      </c>
      <c r="N11" s="291">
        <v>0</v>
      </c>
      <c r="O11" s="291">
        <v>0</v>
      </c>
      <c r="P11" s="153"/>
      <c r="R11" s="5" t="s">
        <v>141</v>
      </c>
      <c r="S11" s="4">
        <v>1</v>
      </c>
      <c r="T11" s="4">
        <v>2</v>
      </c>
      <c r="U11" s="4"/>
      <c r="V11" s="4">
        <v>0</v>
      </c>
      <c r="W11" s="4">
        <v>1</v>
      </c>
      <c r="X11" s="4">
        <v>0</v>
      </c>
      <c r="Y11" s="4">
        <v>2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/>
      <c r="AI11" s="5" t="s">
        <v>141</v>
      </c>
      <c r="AJ11" s="152">
        <v>409.81573437499998</v>
      </c>
      <c r="AK11" s="291">
        <v>287.14643749999999</v>
      </c>
      <c r="AL11" s="291">
        <v>277.81840625000001</v>
      </c>
      <c r="AM11" s="291">
        <v>62.699734039628645</v>
      </c>
      <c r="AN11" s="291">
        <v>279.97709374999999</v>
      </c>
      <c r="AO11" s="291">
        <v>203.68936919235239</v>
      </c>
      <c r="AP11" s="291">
        <v>97.256885416666677</v>
      </c>
      <c r="AQ11" s="291">
        <v>51.602685530277817</v>
      </c>
      <c r="AR11" s="291">
        <v>239.483140625</v>
      </c>
      <c r="AS11" s="291">
        <v>271.76296509228143</v>
      </c>
      <c r="AT11" s="291">
        <v>405.70970370378473</v>
      </c>
      <c r="AU11" s="291">
        <v>264.55338324900151</v>
      </c>
      <c r="AV11" s="153">
        <v>140.03859287547129</v>
      </c>
    </row>
    <row r="12" spans="2:51">
      <c r="B12" s="5" t="s">
        <v>146</v>
      </c>
      <c r="C12" s="152"/>
      <c r="D12" s="291">
        <v>228.69333333333336</v>
      </c>
      <c r="E12" s="291">
        <v>208</v>
      </c>
      <c r="F12" s="291">
        <v>0</v>
      </c>
      <c r="G12" s="291">
        <v>0</v>
      </c>
      <c r="H12" s="291">
        <v>95.676720720720738</v>
      </c>
      <c r="I12" s="291">
        <v>88</v>
      </c>
      <c r="J12" s="291">
        <v>101.99999999999999</v>
      </c>
      <c r="K12" s="291">
        <v>0</v>
      </c>
      <c r="L12" s="291">
        <v>0</v>
      </c>
      <c r="M12" s="291">
        <v>0</v>
      </c>
      <c r="N12" s="291">
        <v>0</v>
      </c>
      <c r="O12" s="291">
        <v>0</v>
      </c>
      <c r="P12" s="153"/>
      <c r="R12" s="5" t="s">
        <v>146</v>
      </c>
      <c r="S12" s="4">
        <v>3</v>
      </c>
      <c r="T12" s="4">
        <v>3</v>
      </c>
      <c r="U12" s="4">
        <v>2</v>
      </c>
      <c r="V12" s="4">
        <v>0</v>
      </c>
      <c r="W12" s="4">
        <v>0</v>
      </c>
      <c r="X12" s="4">
        <v>0</v>
      </c>
      <c r="Y12" s="4">
        <v>10</v>
      </c>
      <c r="Z12" s="4">
        <v>2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/>
      <c r="AI12" s="5" t="s">
        <v>146</v>
      </c>
      <c r="AJ12" s="152">
        <v>120.92323076923078</v>
      </c>
      <c r="AK12" s="291">
        <v>75.451419230769233</v>
      </c>
      <c r="AL12" s="291">
        <v>106.01025</v>
      </c>
      <c r="AM12" s="291">
        <v>55.368232132467121</v>
      </c>
      <c r="AN12" s="291">
        <v>94.635869465287769</v>
      </c>
      <c r="AO12" s="291">
        <v>68.962990384615381</v>
      </c>
      <c r="AP12" s="291">
        <v>21.926159615384616</v>
      </c>
      <c r="AQ12" s="291">
        <v>8.3590741633532648</v>
      </c>
      <c r="AR12" s="291">
        <v>73.104865384615394</v>
      </c>
      <c r="AS12" s="291">
        <v>114.34064423076923</v>
      </c>
      <c r="AT12" s="291">
        <v>0</v>
      </c>
      <c r="AU12" s="291">
        <v>0</v>
      </c>
      <c r="AV12" s="153">
        <v>21.004182561138414</v>
      </c>
    </row>
    <row r="13" spans="2:51" ht="15.75" thickBot="1">
      <c r="B13" s="6" t="s">
        <v>150</v>
      </c>
      <c r="C13" s="292">
        <v>301.00000000000006</v>
      </c>
      <c r="D13" s="293">
        <v>255</v>
      </c>
      <c r="E13" s="293">
        <v>221.66666666666669</v>
      </c>
      <c r="F13" s="293">
        <v>207.67999999999998</v>
      </c>
      <c r="G13" s="293">
        <v>231.66666666666669</v>
      </c>
      <c r="H13" s="293">
        <v>0</v>
      </c>
      <c r="I13" s="293">
        <v>101.00000000000001</v>
      </c>
      <c r="J13" s="293">
        <v>115</v>
      </c>
      <c r="K13" s="293">
        <v>195</v>
      </c>
      <c r="L13" s="293">
        <v>0</v>
      </c>
      <c r="M13" s="293"/>
      <c r="N13" s="293">
        <v>198.33333333333334</v>
      </c>
      <c r="O13" s="293">
        <v>0</v>
      </c>
      <c r="P13" s="294"/>
      <c r="R13" s="6" t="s">
        <v>150</v>
      </c>
      <c r="S13" s="4">
        <v>2</v>
      </c>
      <c r="T13" s="4">
        <v>11</v>
      </c>
      <c r="U13" s="4">
        <v>5</v>
      </c>
      <c r="V13" s="4">
        <v>1</v>
      </c>
      <c r="W13" s="4">
        <v>3</v>
      </c>
      <c r="X13" s="4">
        <v>0</v>
      </c>
      <c r="Y13" s="4">
        <v>2</v>
      </c>
      <c r="Z13" s="4">
        <v>1</v>
      </c>
      <c r="AA13" s="4">
        <v>2</v>
      </c>
      <c r="AB13" s="4">
        <v>0</v>
      </c>
      <c r="AC13" s="4">
        <v>1</v>
      </c>
      <c r="AD13" s="4">
        <v>1</v>
      </c>
      <c r="AE13" s="4">
        <v>0</v>
      </c>
      <c r="AF13" s="4"/>
      <c r="AI13" s="6" t="s">
        <v>150</v>
      </c>
      <c r="AJ13" s="292">
        <v>144.00912115384614</v>
      </c>
      <c r="AK13" s="293">
        <v>121.70636469780223</v>
      </c>
      <c r="AL13" s="293">
        <v>133.36389423076923</v>
      </c>
      <c r="AM13" s="293">
        <v>65.938781146654733</v>
      </c>
      <c r="AN13" s="293">
        <v>145.97742548076926</v>
      </c>
      <c r="AO13" s="293">
        <v>75.557306110641363</v>
      </c>
      <c r="AP13" s="293">
        <v>31.222677884615383</v>
      </c>
      <c r="AQ13" s="293">
        <v>19.524193678091375</v>
      </c>
      <c r="AR13" s="293">
        <v>98.566390384615389</v>
      </c>
      <c r="AS13" s="293">
        <v>120.04796634615387</v>
      </c>
      <c r="AT13" s="293">
        <v>149.79014423076922</v>
      </c>
      <c r="AU13" s="293">
        <v>114.868875</v>
      </c>
      <c r="AV13" s="294">
        <v>30.097903658195087</v>
      </c>
    </row>
    <row r="14" spans="2:51" ht="15.75" thickBot="1">
      <c r="R14" s="86"/>
      <c r="S14" s="87">
        <f>SUBTOTAL(109,TbCountAps22[US])</f>
        <v>58</v>
      </c>
      <c r="T14" s="87">
        <f>SUBTOTAL(109,TbCountAps22[UK])</f>
        <v>68</v>
      </c>
      <c r="U14" s="87">
        <f>SUBTOTAL(109,TbCountAps22[DE])</f>
        <v>38</v>
      </c>
      <c r="V14" s="87">
        <f>SUBTOTAL(109,TbCountAps22[PL])</f>
        <v>10</v>
      </c>
      <c r="W14" s="87">
        <f>SUBTOTAL(109,TbCountAps22[NL])</f>
        <v>28</v>
      </c>
      <c r="X14" s="87">
        <f>SUBTOTAL(109,TbCountAps22[MX])</f>
        <v>1</v>
      </c>
      <c r="Y14" s="87">
        <f>SUBTOTAL(109,TbCountAps22[IN])</f>
        <v>119</v>
      </c>
      <c r="Z14" s="87">
        <f>SUBTOTAL(109,TbCountAps22[EG])</f>
        <v>27</v>
      </c>
      <c r="AA14" s="87">
        <f>SUBTOTAL(109,TbCountAps22[CAN])</f>
        <v>18</v>
      </c>
      <c r="AB14" s="87">
        <f>SUBTOTAL(109,TbCountAps22[AU])</f>
        <v>0</v>
      </c>
      <c r="AC14" s="87">
        <f>SUBTOTAL(109,TbCountAps22[AE])</f>
        <v>4</v>
      </c>
      <c r="AD14" s="87">
        <f>SUBTOTAL(109,TbCountAps22[SG])</f>
        <v>1</v>
      </c>
      <c r="AE14" s="87">
        <f>SUBTOTAL(109,TbCountAps22[VN])</f>
        <v>0</v>
      </c>
      <c r="AF14" s="87"/>
      <c r="AG14" s="348">
        <f>SUM(TbCountAps22[[#Totals],[US]:[VN]])</f>
        <v>372</v>
      </c>
    </row>
    <row r="16" spans="2:51" ht="15.75" thickBot="1"/>
    <row r="17" spans="2:48" ht="15.75" thickBot="1">
      <c r="B17" s="46" t="s">
        <v>457</v>
      </c>
      <c r="C17" s="77" t="s">
        <v>98</v>
      </c>
      <c r="D17" s="78" t="s">
        <v>105</v>
      </c>
      <c r="E17" s="78" t="s">
        <v>112</v>
      </c>
      <c r="F17" s="78" t="s">
        <v>120</v>
      </c>
      <c r="G17" s="78" t="s">
        <v>125</v>
      </c>
      <c r="H17" s="78" t="s">
        <v>131</v>
      </c>
      <c r="I17" s="78" t="s">
        <v>136</v>
      </c>
      <c r="J17" s="78" t="s">
        <v>140</v>
      </c>
      <c r="K17" s="78" t="s">
        <v>145</v>
      </c>
      <c r="L17" s="78" t="s">
        <v>149</v>
      </c>
      <c r="M17" s="78" t="s">
        <v>153</v>
      </c>
      <c r="N17" s="78" t="s">
        <v>156</v>
      </c>
      <c r="O17" s="78" t="s">
        <v>159</v>
      </c>
      <c r="P17" s="406" t="s">
        <v>352</v>
      </c>
      <c r="R17" s="46" t="s">
        <v>484</v>
      </c>
      <c r="S17" s="1" t="s">
        <v>98</v>
      </c>
      <c r="T17" s="1" t="s">
        <v>105</v>
      </c>
      <c r="U17" s="1" t="s">
        <v>112</v>
      </c>
      <c r="V17" s="1" t="s">
        <v>120</v>
      </c>
      <c r="W17" s="1" t="s">
        <v>125</v>
      </c>
      <c r="X17" s="1" t="s">
        <v>131</v>
      </c>
      <c r="Y17" s="1" t="s">
        <v>136</v>
      </c>
      <c r="Z17" s="1" t="s">
        <v>140</v>
      </c>
      <c r="AA17" s="1" t="s">
        <v>145</v>
      </c>
      <c r="AB17" s="1" t="s">
        <v>149</v>
      </c>
      <c r="AC17" s="71" t="s">
        <v>153</v>
      </c>
      <c r="AD17" s="71" t="s">
        <v>156</v>
      </c>
      <c r="AE17" s="71" t="s">
        <v>159</v>
      </c>
      <c r="AF17" s="71"/>
      <c r="AI17" s="350" t="s">
        <v>485</v>
      </c>
      <c r="AJ17" s="29" t="s">
        <v>98</v>
      </c>
      <c r="AK17" s="30" t="s">
        <v>105</v>
      </c>
      <c r="AL17" s="30" t="s">
        <v>112</v>
      </c>
      <c r="AM17" s="30" t="s">
        <v>120</v>
      </c>
      <c r="AN17" s="30" t="s">
        <v>125</v>
      </c>
      <c r="AO17" s="30" t="s">
        <v>131</v>
      </c>
      <c r="AP17" s="30" t="s">
        <v>136</v>
      </c>
      <c r="AQ17" s="30" t="s">
        <v>140</v>
      </c>
      <c r="AR17" s="30" t="s">
        <v>145</v>
      </c>
      <c r="AS17" s="30" t="s">
        <v>149</v>
      </c>
      <c r="AT17" s="30" t="s">
        <v>153</v>
      </c>
      <c r="AU17" s="30" t="s">
        <v>156</v>
      </c>
      <c r="AV17" s="80" t="s">
        <v>159</v>
      </c>
    </row>
    <row r="18" spans="2:48">
      <c r="B18" s="74" t="s">
        <v>99</v>
      </c>
      <c r="C18" s="72">
        <v>147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31</v>
      </c>
      <c r="J18" s="72">
        <v>53</v>
      </c>
      <c r="K18" s="72">
        <v>0</v>
      </c>
      <c r="L18" s="72">
        <v>0</v>
      </c>
      <c r="M18" s="72">
        <v>0</v>
      </c>
      <c r="N18" s="72">
        <v>68</v>
      </c>
      <c r="O18" s="72">
        <v>29</v>
      </c>
      <c r="P18" s="73"/>
      <c r="R18" s="74" t="s">
        <v>99</v>
      </c>
      <c r="S18" s="4">
        <v>3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2</v>
      </c>
      <c r="Z18" s="4">
        <v>8</v>
      </c>
      <c r="AA18" s="4">
        <v>0</v>
      </c>
      <c r="AB18" s="4">
        <v>0</v>
      </c>
      <c r="AC18" s="4">
        <v>0</v>
      </c>
      <c r="AD18" s="4">
        <v>4</v>
      </c>
      <c r="AE18" s="4">
        <v>17</v>
      </c>
      <c r="AF18" s="4"/>
      <c r="AI18" s="3" t="s">
        <v>99</v>
      </c>
      <c r="AJ18" s="149">
        <v>76.116066666666669</v>
      </c>
      <c r="AK18" s="150">
        <v>69.419036003760411</v>
      </c>
      <c r="AL18" s="150">
        <v>72.336969512592617</v>
      </c>
      <c r="AM18" s="150">
        <v>50.016881854974415</v>
      </c>
      <c r="AN18" s="150">
        <v>59.160346813272795</v>
      </c>
      <c r="AO18" s="150">
        <v>35.851941749499332</v>
      </c>
      <c r="AP18" s="150">
        <v>9.8456417540792529</v>
      </c>
      <c r="AQ18" s="150">
        <v>10.326672008547009</v>
      </c>
      <c r="AR18" s="150">
        <v>0</v>
      </c>
      <c r="AS18" s="150">
        <v>64.321795703363009</v>
      </c>
      <c r="AT18" s="150">
        <v>0</v>
      </c>
      <c r="AU18" s="150">
        <v>38.735202777777786</v>
      </c>
      <c r="AV18" s="151">
        <v>9.5456395833333314</v>
      </c>
    </row>
    <row r="19" spans="2:48">
      <c r="B19" s="75" t="s">
        <v>106</v>
      </c>
      <c r="C19" s="73">
        <v>230</v>
      </c>
      <c r="D19" s="73">
        <v>0</v>
      </c>
      <c r="E19" s="73">
        <v>0</v>
      </c>
      <c r="F19" s="73">
        <v>0</v>
      </c>
      <c r="G19" s="73">
        <v>172</v>
      </c>
      <c r="H19" s="73">
        <v>0</v>
      </c>
      <c r="I19" s="73">
        <v>63</v>
      </c>
      <c r="J19" s="73">
        <v>75</v>
      </c>
      <c r="K19" s="73">
        <v>170</v>
      </c>
      <c r="L19" s="73">
        <v>0</v>
      </c>
      <c r="M19" s="73">
        <v>0</v>
      </c>
      <c r="N19" s="73">
        <v>106</v>
      </c>
      <c r="O19" s="73">
        <v>56</v>
      </c>
      <c r="P19" s="73"/>
      <c r="R19" s="75" t="s">
        <v>106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0</v>
      </c>
      <c r="Y19" s="4">
        <v>16</v>
      </c>
      <c r="Z19" s="4">
        <v>15</v>
      </c>
      <c r="AA19" s="4">
        <v>2</v>
      </c>
      <c r="AB19" s="4">
        <v>0</v>
      </c>
      <c r="AC19" s="4">
        <v>0</v>
      </c>
      <c r="AD19" s="4">
        <v>3</v>
      </c>
      <c r="AE19" s="4">
        <v>30</v>
      </c>
      <c r="AF19" s="4"/>
      <c r="AI19" s="5" t="s">
        <v>106</v>
      </c>
      <c r="AJ19" s="152">
        <v>121.66</v>
      </c>
      <c r="AK19" s="291">
        <v>86.363289884899729</v>
      </c>
      <c r="AL19" s="291">
        <v>85.155044655468402</v>
      </c>
      <c r="AM19" s="291">
        <v>63.889345287395138</v>
      </c>
      <c r="AN19" s="291">
        <v>88.925525000000007</v>
      </c>
      <c r="AO19" s="291">
        <v>46.617346724143509</v>
      </c>
      <c r="AP19" s="291">
        <v>18.713145985958484</v>
      </c>
      <c r="AQ19" s="291">
        <v>14.811780303030302</v>
      </c>
      <c r="AR19" s="291">
        <v>89.49563333333333</v>
      </c>
      <c r="AS19" s="291">
        <v>75.780804685810864</v>
      </c>
      <c r="AT19" s="291">
        <v>104.7528922883926</v>
      </c>
      <c r="AU19" s="291">
        <v>53.602147222222222</v>
      </c>
      <c r="AV19" s="153">
        <v>16.915687999999996</v>
      </c>
    </row>
    <row r="20" spans="2:48">
      <c r="B20" s="75" t="s">
        <v>113</v>
      </c>
      <c r="C20" s="73">
        <v>277</v>
      </c>
      <c r="D20" s="73">
        <v>0</v>
      </c>
      <c r="E20" s="73">
        <v>0</v>
      </c>
      <c r="F20" s="73">
        <v>0</v>
      </c>
      <c r="G20" s="73">
        <v>0</v>
      </c>
      <c r="H20" s="73">
        <v>0</v>
      </c>
      <c r="I20" s="73">
        <v>90</v>
      </c>
      <c r="J20" s="73">
        <v>76</v>
      </c>
      <c r="K20" s="73">
        <v>183</v>
      </c>
      <c r="L20" s="73">
        <v>0</v>
      </c>
      <c r="M20" s="73">
        <v>106</v>
      </c>
      <c r="N20" s="73">
        <v>0</v>
      </c>
      <c r="O20" s="73">
        <v>97</v>
      </c>
      <c r="P20" s="73"/>
      <c r="R20" s="75" t="s">
        <v>113</v>
      </c>
      <c r="S20" s="4">
        <v>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18</v>
      </c>
      <c r="Z20" s="4">
        <v>2</v>
      </c>
      <c r="AA20" s="4">
        <v>1</v>
      </c>
      <c r="AB20" s="4">
        <v>0</v>
      </c>
      <c r="AC20" s="4">
        <v>1</v>
      </c>
      <c r="AD20" s="4">
        <v>0</v>
      </c>
      <c r="AE20" s="4">
        <v>9</v>
      </c>
      <c r="AF20" s="4"/>
      <c r="AI20" s="5" t="s">
        <v>113</v>
      </c>
      <c r="AJ20" s="152">
        <v>134.11441666666667</v>
      </c>
      <c r="AK20" s="291">
        <v>118.3544712014869</v>
      </c>
      <c r="AL20" s="291">
        <v>104.91997870444818</v>
      </c>
      <c r="AM20" s="291">
        <v>77.723801970685912</v>
      </c>
      <c r="AN20" s="291">
        <v>99.706099654490544</v>
      </c>
      <c r="AO20" s="291">
        <v>63.590539968837994</v>
      </c>
      <c r="AP20" s="291">
        <v>24.322376855600538</v>
      </c>
      <c r="AQ20" s="291">
        <v>15.5</v>
      </c>
      <c r="AR20" s="291">
        <v>95</v>
      </c>
      <c r="AS20" s="291">
        <v>104.91479450439292</v>
      </c>
      <c r="AT20" s="291">
        <v>115</v>
      </c>
      <c r="AU20" s="291">
        <v>80.547624999999996</v>
      </c>
      <c r="AV20" s="153">
        <v>32.281219791666665</v>
      </c>
    </row>
    <row r="21" spans="2:48">
      <c r="B21" s="75" t="s">
        <v>91</v>
      </c>
      <c r="C21" s="73">
        <v>354</v>
      </c>
      <c r="D21" s="73">
        <v>0</v>
      </c>
      <c r="E21" s="73">
        <v>0</v>
      </c>
      <c r="F21" s="73">
        <v>0</v>
      </c>
      <c r="G21" s="73">
        <v>0</v>
      </c>
      <c r="H21" s="73">
        <v>0</v>
      </c>
      <c r="I21" s="73">
        <v>99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/>
      <c r="R21" s="75" t="s">
        <v>91</v>
      </c>
      <c r="S21" s="4">
        <v>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3</v>
      </c>
      <c r="Z21" s="4">
        <v>3</v>
      </c>
      <c r="AA21" s="4">
        <v>2</v>
      </c>
      <c r="AB21" s="4">
        <v>0</v>
      </c>
      <c r="AC21" s="4">
        <v>0</v>
      </c>
      <c r="AD21" s="4">
        <v>3</v>
      </c>
      <c r="AE21" s="4">
        <v>4</v>
      </c>
      <c r="AF21" s="4"/>
      <c r="AI21" s="5" t="s">
        <v>91</v>
      </c>
      <c r="AJ21" s="152">
        <v>166.59168257575757</v>
      </c>
      <c r="AK21" s="291">
        <v>172.03631666666666</v>
      </c>
      <c r="AL21" s="291">
        <v>133.55896477541887</v>
      </c>
      <c r="AM21" s="291">
        <v>91.824305897886163</v>
      </c>
      <c r="AN21" s="291">
        <v>115.8625</v>
      </c>
      <c r="AO21" s="291">
        <v>88.272719227157694</v>
      </c>
      <c r="AP21" s="291">
        <v>41.761753472222225</v>
      </c>
      <c r="AQ21" s="291">
        <v>15.685678418803418</v>
      </c>
      <c r="AR21" s="291">
        <v>100.53167083333334</v>
      </c>
      <c r="AS21" s="291">
        <v>137.12974428523694</v>
      </c>
      <c r="AT21" s="291">
        <v>189.56140885806897</v>
      </c>
      <c r="AU21" s="291">
        <v>100.05310920139324</v>
      </c>
      <c r="AV21" s="153">
        <v>40.098468564030313</v>
      </c>
    </row>
    <row r="22" spans="2:48">
      <c r="B22" s="75" t="s">
        <v>126</v>
      </c>
      <c r="C22" s="73">
        <v>528</v>
      </c>
      <c r="D22" s="73">
        <v>0</v>
      </c>
      <c r="E22" s="73">
        <v>0</v>
      </c>
      <c r="F22" s="73">
        <v>0</v>
      </c>
      <c r="G22" s="73">
        <v>0</v>
      </c>
      <c r="H22" s="73">
        <v>0</v>
      </c>
      <c r="I22" s="73">
        <v>135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/>
      <c r="R22" s="75" t="s">
        <v>126</v>
      </c>
      <c r="S22" s="4">
        <v>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2</v>
      </c>
      <c r="Z22" s="4">
        <v>0</v>
      </c>
      <c r="AA22" s="4">
        <v>2</v>
      </c>
      <c r="AB22" s="4">
        <v>0</v>
      </c>
      <c r="AC22" s="4">
        <v>0</v>
      </c>
      <c r="AD22" s="4">
        <v>0</v>
      </c>
      <c r="AE22" s="4">
        <v>0</v>
      </c>
      <c r="AF22" s="4"/>
      <c r="AI22" s="5" t="s">
        <v>126</v>
      </c>
      <c r="AJ22" s="152">
        <v>191.865745</v>
      </c>
      <c r="AK22" s="291">
        <v>198.13639885229915</v>
      </c>
      <c r="AL22" s="291">
        <v>0</v>
      </c>
      <c r="AM22" s="291">
        <v>111.11045067637265</v>
      </c>
      <c r="AN22" s="291">
        <v>133.44030467999735</v>
      </c>
      <c r="AO22" s="291">
        <v>103.82002017670085</v>
      </c>
      <c r="AP22" s="291">
        <v>48.097538956127067</v>
      </c>
      <c r="AQ22" s="291">
        <v>25.485363645462833</v>
      </c>
      <c r="AR22" s="291">
        <v>123.56407083333333</v>
      </c>
      <c r="AS22" s="291">
        <v>191.28977730605189</v>
      </c>
      <c r="AT22" s="291">
        <v>0</v>
      </c>
      <c r="AU22" s="291">
        <v>0</v>
      </c>
      <c r="AV22" s="153">
        <v>0</v>
      </c>
    </row>
    <row r="23" spans="2:48">
      <c r="B23" s="75" t="s">
        <v>132</v>
      </c>
      <c r="C23" s="73">
        <v>290</v>
      </c>
      <c r="D23" s="73">
        <v>0</v>
      </c>
      <c r="E23" s="73">
        <v>0</v>
      </c>
      <c r="F23" s="73">
        <v>0</v>
      </c>
      <c r="G23" s="73">
        <v>0</v>
      </c>
      <c r="H23" s="73">
        <v>0</v>
      </c>
      <c r="I23" s="73">
        <v>149</v>
      </c>
      <c r="J23" s="73">
        <v>110</v>
      </c>
      <c r="K23" s="73">
        <v>191</v>
      </c>
      <c r="L23" s="73">
        <v>0</v>
      </c>
      <c r="M23" s="73">
        <v>0</v>
      </c>
      <c r="N23" s="73">
        <v>187</v>
      </c>
      <c r="O23" s="73">
        <v>103</v>
      </c>
      <c r="P23" s="73"/>
      <c r="R23" s="75" t="s">
        <v>132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/>
      <c r="AI23" s="5" t="s">
        <v>132</v>
      </c>
      <c r="AJ23" s="152">
        <v>456.98554687500001</v>
      </c>
      <c r="AK23" s="291">
        <v>334.55293848616492</v>
      </c>
      <c r="AL23" s="291">
        <v>0</v>
      </c>
      <c r="AM23" s="291">
        <v>0</v>
      </c>
      <c r="AN23" s="291">
        <v>302.02029324844085</v>
      </c>
      <c r="AO23" s="291">
        <v>149.54679811948694</v>
      </c>
      <c r="AP23" s="291">
        <v>0</v>
      </c>
      <c r="AQ23" s="291">
        <v>0</v>
      </c>
      <c r="AR23" s="291">
        <v>259.18690245716209</v>
      </c>
      <c r="AS23" s="291">
        <v>270.59747036971515</v>
      </c>
      <c r="AT23" s="291">
        <v>0</v>
      </c>
      <c r="AU23" s="291">
        <v>0</v>
      </c>
      <c r="AV23" s="153">
        <v>0</v>
      </c>
    </row>
    <row r="24" spans="2:48">
      <c r="B24" s="75" t="s">
        <v>137</v>
      </c>
      <c r="C24" s="73">
        <v>370</v>
      </c>
      <c r="D24" s="73">
        <v>0</v>
      </c>
      <c r="E24" s="73">
        <v>0</v>
      </c>
      <c r="F24" s="73">
        <v>0</v>
      </c>
      <c r="G24" s="73">
        <v>0</v>
      </c>
      <c r="H24" s="73">
        <v>0</v>
      </c>
      <c r="I24" s="73">
        <v>118</v>
      </c>
      <c r="J24" s="73">
        <v>0</v>
      </c>
      <c r="K24" s="73">
        <v>235</v>
      </c>
      <c r="L24" s="73">
        <v>0</v>
      </c>
      <c r="M24" s="73">
        <v>0</v>
      </c>
      <c r="N24" s="73">
        <v>0</v>
      </c>
      <c r="O24" s="73">
        <v>0</v>
      </c>
      <c r="P24" s="73"/>
      <c r="R24" s="75" t="s">
        <v>137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4</v>
      </c>
      <c r="Z24" s="4">
        <v>1</v>
      </c>
      <c r="AA24" s="4">
        <v>0</v>
      </c>
      <c r="AB24" s="4">
        <v>0</v>
      </c>
      <c r="AC24" s="4">
        <v>0</v>
      </c>
      <c r="AD24" s="4">
        <v>0</v>
      </c>
      <c r="AE24" s="4">
        <v>1</v>
      </c>
      <c r="AF24" s="4"/>
      <c r="AI24" s="5" t="s">
        <v>137</v>
      </c>
      <c r="AJ24" s="152">
        <v>136.27500000000001</v>
      </c>
      <c r="AK24" s="291">
        <v>92.841342855635048</v>
      </c>
      <c r="AL24" s="291">
        <v>82.111872270149291</v>
      </c>
      <c r="AM24" s="291">
        <v>0</v>
      </c>
      <c r="AN24" s="291">
        <v>112.47188661205158</v>
      </c>
      <c r="AO24" s="291">
        <v>66.354945682844757</v>
      </c>
      <c r="AP24" s="291">
        <v>25.139985156249999</v>
      </c>
      <c r="AQ24" s="291">
        <v>15.120975000000001</v>
      </c>
      <c r="AR24" s="291">
        <v>91.146537497713624</v>
      </c>
      <c r="AS24" s="291">
        <v>108.23898814788608</v>
      </c>
      <c r="AT24" s="291">
        <v>161.71115447607775</v>
      </c>
      <c r="AU24" s="291">
        <v>100.05515052608271</v>
      </c>
      <c r="AV24" s="153">
        <v>31.914000000000005</v>
      </c>
    </row>
    <row r="25" spans="2:48">
      <c r="B25" s="75" t="s">
        <v>141</v>
      </c>
      <c r="C25" s="73">
        <v>361</v>
      </c>
      <c r="D25" s="73">
        <v>0</v>
      </c>
      <c r="E25" s="73">
        <v>0</v>
      </c>
      <c r="F25" s="73">
        <v>0</v>
      </c>
      <c r="G25" s="73">
        <v>0</v>
      </c>
      <c r="H25" s="73">
        <v>0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/>
      <c r="R25" s="75" t="s">
        <v>141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0</v>
      </c>
      <c r="AF25" s="4"/>
      <c r="AI25" s="5" t="s">
        <v>141</v>
      </c>
      <c r="AJ25" s="152">
        <v>507.8125</v>
      </c>
      <c r="AK25" s="291">
        <v>226.58572490281267</v>
      </c>
      <c r="AL25" s="291">
        <v>248.04423381981027</v>
      </c>
      <c r="AM25" s="291">
        <v>62.699734039628645</v>
      </c>
      <c r="AN25" s="291">
        <v>343.28127376735705</v>
      </c>
      <c r="AO25" s="291">
        <v>203.68936919235239</v>
      </c>
      <c r="AP25" s="291">
        <v>104.72285156250001</v>
      </c>
      <c r="AQ25" s="291">
        <v>56.346506088332418</v>
      </c>
      <c r="AR25" s="291">
        <v>316.101015625</v>
      </c>
      <c r="AS25" s="291">
        <v>271.76296509228143</v>
      </c>
      <c r="AT25" s="291">
        <v>405.70970370378473</v>
      </c>
      <c r="AU25" s="291">
        <v>299.71662500000002</v>
      </c>
      <c r="AV25" s="153">
        <v>140.03859287547129</v>
      </c>
    </row>
    <row r="26" spans="2:48">
      <c r="B26" s="75" t="s">
        <v>146</v>
      </c>
      <c r="C26" s="73">
        <v>545</v>
      </c>
      <c r="D26" s="73">
        <v>0</v>
      </c>
      <c r="E26" s="73">
        <v>0</v>
      </c>
      <c r="F26" s="73">
        <v>0</v>
      </c>
      <c r="G26" s="73">
        <v>0</v>
      </c>
      <c r="H26" s="73">
        <v>0</v>
      </c>
      <c r="I26" s="73">
        <v>87</v>
      </c>
      <c r="J26" s="73">
        <v>82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/>
      <c r="R26" s="75" t="s">
        <v>146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</v>
      </c>
      <c r="Z26" s="4">
        <v>1</v>
      </c>
      <c r="AA26" s="4">
        <v>0</v>
      </c>
      <c r="AB26" s="4">
        <v>0</v>
      </c>
      <c r="AC26" s="4">
        <v>0</v>
      </c>
      <c r="AD26" s="4">
        <v>1</v>
      </c>
      <c r="AE26" s="4">
        <v>1</v>
      </c>
      <c r="AF26" s="4"/>
      <c r="AI26" s="5" t="s">
        <v>146</v>
      </c>
      <c r="AJ26" s="152">
        <v>133.75089423076923</v>
      </c>
      <c r="AK26" s="291">
        <v>89.168968085043943</v>
      </c>
      <c r="AL26" s="291">
        <v>90.602209455291899</v>
      </c>
      <c r="AM26" s="291">
        <v>55.368232132467121</v>
      </c>
      <c r="AN26" s="291">
        <v>94.635869465287769</v>
      </c>
      <c r="AO26" s="291">
        <v>39.066905124507116</v>
      </c>
      <c r="AP26" s="291">
        <v>26.480809652037333</v>
      </c>
      <c r="AQ26" s="291">
        <v>16.985682692307691</v>
      </c>
      <c r="AR26" s="291">
        <v>85.319477237072149</v>
      </c>
      <c r="AS26" s="291">
        <v>74.217456580803457</v>
      </c>
      <c r="AT26" s="291">
        <v>0</v>
      </c>
      <c r="AU26" s="291">
        <v>72.529942307692309</v>
      </c>
      <c r="AV26" s="153">
        <v>21.004182561138414</v>
      </c>
    </row>
    <row r="27" spans="2:48" ht="15.75" thickBot="1">
      <c r="B27" s="75" t="s">
        <v>150</v>
      </c>
      <c r="C27" s="73">
        <v>0</v>
      </c>
      <c r="D27" s="73">
        <v>0</v>
      </c>
      <c r="E27" s="73">
        <v>0</v>
      </c>
      <c r="F27" s="73">
        <v>0</v>
      </c>
      <c r="G27" s="73">
        <v>0</v>
      </c>
      <c r="H27" s="73">
        <v>0</v>
      </c>
      <c r="I27" s="73">
        <v>0</v>
      </c>
      <c r="J27" s="73">
        <v>0</v>
      </c>
      <c r="K27" s="73">
        <v>385</v>
      </c>
      <c r="L27" s="73">
        <v>0</v>
      </c>
      <c r="M27" s="73">
        <v>0</v>
      </c>
      <c r="N27" s="73">
        <v>379</v>
      </c>
      <c r="O27" s="73">
        <v>127</v>
      </c>
      <c r="P27" s="73"/>
      <c r="R27" s="76" t="s">
        <v>150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3</v>
      </c>
      <c r="AA27" s="4">
        <v>0</v>
      </c>
      <c r="AB27" s="4">
        <v>0</v>
      </c>
      <c r="AC27" s="4">
        <v>0</v>
      </c>
      <c r="AD27" s="4">
        <v>0</v>
      </c>
      <c r="AE27" s="4">
        <v>2</v>
      </c>
      <c r="AF27" s="4"/>
      <c r="AI27" s="6" t="s">
        <v>150</v>
      </c>
      <c r="AJ27" s="292">
        <v>202.37884615384615</v>
      </c>
      <c r="AK27" s="293">
        <v>125.48153881334756</v>
      </c>
      <c r="AL27" s="293">
        <v>166.48328366042793</v>
      </c>
      <c r="AM27" s="293">
        <v>0</v>
      </c>
      <c r="AN27" s="293">
        <v>165.13873032376262</v>
      </c>
      <c r="AO27" s="293">
        <v>75.557306110641363</v>
      </c>
      <c r="AP27" s="293">
        <v>40.226735323757417</v>
      </c>
      <c r="AQ27" s="293">
        <v>20.228480674531728</v>
      </c>
      <c r="AR27" s="293">
        <v>141.54318546578529</v>
      </c>
      <c r="AS27" s="293">
        <v>145.06706219071333</v>
      </c>
      <c r="AT27" s="293">
        <v>241.01181676723129</v>
      </c>
      <c r="AU27" s="293">
        <v>120.64670418437468</v>
      </c>
      <c r="AV27" s="294">
        <v>30.097903658195087</v>
      </c>
    </row>
    <row r="28" spans="2:48" ht="15.75" thickBot="1">
      <c r="B28" s="75"/>
      <c r="C28" s="73">
        <v>0</v>
      </c>
      <c r="D28" s="73">
        <v>0</v>
      </c>
      <c r="E28" s="73">
        <v>0</v>
      </c>
      <c r="F28" s="73">
        <v>0</v>
      </c>
      <c r="G28" s="73">
        <v>0</v>
      </c>
      <c r="H28" s="73">
        <v>0</v>
      </c>
      <c r="I28" s="73">
        <v>82</v>
      </c>
      <c r="J28" s="73">
        <v>52</v>
      </c>
      <c r="K28" s="73">
        <v>0</v>
      </c>
      <c r="L28" s="73">
        <v>0</v>
      </c>
      <c r="M28" s="73">
        <v>0</v>
      </c>
      <c r="N28" s="73">
        <v>124</v>
      </c>
      <c r="O28" s="73">
        <v>36</v>
      </c>
      <c r="P28" s="73"/>
      <c r="R28" s="86"/>
      <c r="S28" s="87">
        <f>SUBTOTAL(109,TbCountData24[US])</f>
        <v>23</v>
      </c>
      <c r="T28" s="87">
        <f>SUBTOTAL(109,TbCountData24[UK])</f>
        <v>0</v>
      </c>
      <c r="U28" s="87">
        <f>SUBTOTAL(109,TbCountData24[DE])</f>
        <v>0</v>
      </c>
      <c r="V28" s="87">
        <f>SUBTOTAL(109,TbCountData24[PL])</f>
        <v>0</v>
      </c>
      <c r="W28" s="87">
        <f>SUBTOTAL(109,TbCountData24[NL])</f>
        <v>1</v>
      </c>
      <c r="X28" s="87">
        <f>SUBTOTAL(109,TbCountData24[MX])</f>
        <v>0</v>
      </c>
      <c r="Y28" s="87">
        <f>SUBTOTAL(109,TbCountData24[IN])</f>
        <v>46</v>
      </c>
      <c r="Z28" s="87">
        <f>SUBTOTAL(109,TbCountData24[EG])</f>
        <v>33</v>
      </c>
      <c r="AA28" s="87">
        <f>SUBTOTAL(109,TbCountData24[CAN])</f>
        <v>8</v>
      </c>
      <c r="AB28" s="87">
        <f>SUBTOTAL(109,TbCountData24[AU])</f>
        <v>0</v>
      </c>
      <c r="AC28" s="87">
        <f>SUBTOTAL(109,TbCountData24[AE])</f>
        <v>1</v>
      </c>
      <c r="AD28" s="87">
        <f>SUBTOTAL(109,TbCountData24[SG])</f>
        <v>12</v>
      </c>
      <c r="AE28" s="87">
        <f>SUBTOTAL(109,TbCountData24[VN])</f>
        <v>64</v>
      </c>
      <c r="AF28" s="87"/>
      <c r="AG28" s="348">
        <f>SUM(TbCountData24[[#Totals],[US]:[VN]])</f>
        <v>188</v>
      </c>
    </row>
    <row r="29" spans="2:48">
      <c r="B29" s="75"/>
      <c r="C29" s="73">
        <v>225</v>
      </c>
      <c r="D29" s="73">
        <v>0</v>
      </c>
      <c r="E29" s="73">
        <v>0</v>
      </c>
      <c r="F29" s="73">
        <v>0</v>
      </c>
      <c r="G29" s="73">
        <v>304</v>
      </c>
      <c r="H29" s="73">
        <v>0</v>
      </c>
      <c r="I29" s="73">
        <v>142</v>
      </c>
      <c r="J29" s="73">
        <v>79</v>
      </c>
      <c r="K29" s="73">
        <v>0</v>
      </c>
      <c r="L29" s="73">
        <v>0</v>
      </c>
      <c r="M29" s="73">
        <v>0</v>
      </c>
      <c r="N29" s="73">
        <v>0</v>
      </c>
      <c r="O29" s="73">
        <v>146</v>
      </c>
      <c r="P29" s="73"/>
    </row>
    <row r="31" spans="2:48" ht="15.75" thickBot="1"/>
    <row r="32" spans="2:48" ht="15.75" thickBot="1">
      <c r="R32" s="241" t="s">
        <v>486</v>
      </c>
      <c r="S32" s="242" t="s">
        <v>98</v>
      </c>
      <c r="T32" s="243" t="s">
        <v>105</v>
      </c>
      <c r="U32" s="243" t="s">
        <v>112</v>
      </c>
      <c r="V32" s="243" t="s">
        <v>120</v>
      </c>
      <c r="W32" s="243" t="s">
        <v>125</v>
      </c>
      <c r="X32" s="243" t="s">
        <v>131</v>
      </c>
      <c r="Y32" s="243" t="s">
        <v>136</v>
      </c>
      <c r="Z32" s="243" t="s">
        <v>140</v>
      </c>
      <c r="AA32" s="243" t="s">
        <v>145</v>
      </c>
      <c r="AB32" s="243" t="s">
        <v>149</v>
      </c>
      <c r="AC32" s="243" t="s">
        <v>153</v>
      </c>
      <c r="AD32" s="243" t="s">
        <v>156</v>
      </c>
      <c r="AE32" s="243" t="s">
        <v>159</v>
      </c>
      <c r="AF32" s="241"/>
      <c r="AI32" s="351" t="s">
        <v>487</v>
      </c>
      <c r="AJ32" s="29" t="s">
        <v>98</v>
      </c>
      <c r="AK32" s="30" t="s">
        <v>105</v>
      </c>
      <c r="AL32" s="30" t="s">
        <v>112</v>
      </c>
      <c r="AM32" s="30" t="s">
        <v>120</v>
      </c>
      <c r="AN32" s="30" t="s">
        <v>125</v>
      </c>
      <c r="AO32" s="30" t="s">
        <v>131</v>
      </c>
      <c r="AP32" s="30" t="s">
        <v>136</v>
      </c>
      <c r="AQ32" s="30" t="s">
        <v>140</v>
      </c>
      <c r="AR32" s="30" t="s">
        <v>145</v>
      </c>
      <c r="AS32" s="30" t="s">
        <v>149</v>
      </c>
      <c r="AT32" s="30" t="s">
        <v>153</v>
      </c>
      <c r="AU32" s="30" t="s">
        <v>156</v>
      </c>
      <c r="AV32" s="80" t="s">
        <v>159</v>
      </c>
    </row>
    <row r="33" spans="1:48" ht="15.75" thickBot="1">
      <c r="R33" s="74" t="s">
        <v>99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9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/>
      <c r="AI33" s="3" t="s">
        <v>99</v>
      </c>
      <c r="AJ33" s="149">
        <v>82.390000000000015</v>
      </c>
      <c r="AK33" s="150">
        <v>69.419036003760411</v>
      </c>
      <c r="AL33" s="150">
        <v>72.336969512592617</v>
      </c>
      <c r="AM33" s="150">
        <v>50.016881854974415</v>
      </c>
      <c r="AN33" s="150">
        <v>59.160346813272795</v>
      </c>
      <c r="AO33" s="150">
        <v>35.851941749499332</v>
      </c>
      <c r="AP33" s="150">
        <v>13.532454594017093</v>
      </c>
      <c r="AQ33" s="150">
        <v>9.2123963175440249</v>
      </c>
      <c r="AR33" s="150">
        <v>0</v>
      </c>
      <c r="AS33" s="150">
        <v>64.321795703363009</v>
      </c>
      <c r="AT33" s="150">
        <v>0</v>
      </c>
      <c r="AU33" s="150">
        <v>96.25714496592559</v>
      </c>
      <c r="AV33" s="151">
        <v>17.346449891672947</v>
      </c>
    </row>
    <row r="34" spans="1:48" ht="15.75" thickBot="1">
      <c r="B34" s="514" t="s">
        <v>488</v>
      </c>
      <c r="C34" s="515" t="s">
        <v>98</v>
      </c>
      <c r="D34" s="516" t="s">
        <v>105</v>
      </c>
      <c r="E34" s="516" t="s">
        <v>112</v>
      </c>
      <c r="F34" s="516" t="s">
        <v>120</v>
      </c>
      <c r="G34" s="516" t="s">
        <v>125</v>
      </c>
      <c r="H34" s="516" t="s">
        <v>131</v>
      </c>
      <c r="I34" s="516" t="s">
        <v>136</v>
      </c>
      <c r="J34" s="516" t="s">
        <v>140</v>
      </c>
      <c r="K34" s="516" t="s">
        <v>145</v>
      </c>
      <c r="L34" s="516" t="s">
        <v>149</v>
      </c>
      <c r="M34" s="516" t="s">
        <v>153</v>
      </c>
      <c r="N34" s="516" t="s">
        <v>156</v>
      </c>
      <c r="O34" s="516" t="s">
        <v>159</v>
      </c>
      <c r="P34" s="517" t="s">
        <v>352</v>
      </c>
      <c r="R34" s="75" t="s">
        <v>106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2</v>
      </c>
      <c r="Y34" s="4">
        <v>11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/>
      <c r="AI34" s="5" t="s">
        <v>106</v>
      </c>
      <c r="AJ34" s="152">
        <v>121.66</v>
      </c>
      <c r="AK34" s="291">
        <v>86.363289884899729</v>
      </c>
      <c r="AL34" s="291">
        <v>85.155044655468402</v>
      </c>
      <c r="AM34" s="291">
        <v>63.889345287395138</v>
      </c>
      <c r="AN34" s="291">
        <v>75.877626632477899</v>
      </c>
      <c r="AO34" s="291">
        <v>39.094337500000002</v>
      </c>
      <c r="AP34" s="291">
        <v>18.388129370629368</v>
      </c>
      <c r="AQ34" s="291">
        <v>9.9033260413575892</v>
      </c>
      <c r="AR34" s="291">
        <v>74.126273990539175</v>
      </c>
      <c r="AS34" s="291">
        <v>75.780804685810864</v>
      </c>
      <c r="AT34" s="291">
        <v>104.7528922883926</v>
      </c>
      <c r="AU34" s="291">
        <v>122.95081967213117</v>
      </c>
      <c r="AV34" s="153">
        <v>24.040499849869192</v>
      </c>
    </row>
    <row r="35" spans="1:48">
      <c r="B35" s="518" t="s">
        <v>99</v>
      </c>
      <c r="C35" s="519">
        <v>0</v>
      </c>
      <c r="D35" s="520">
        <v>0</v>
      </c>
      <c r="E35" s="520">
        <v>0</v>
      </c>
      <c r="F35" s="520">
        <v>0</v>
      </c>
      <c r="G35" s="520">
        <v>0</v>
      </c>
      <c r="H35" s="520">
        <v>0</v>
      </c>
      <c r="I35" s="520">
        <v>37</v>
      </c>
      <c r="J35" s="520">
        <v>0</v>
      </c>
      <c r="K35" s="520">
        <v>0</v>
      </c>
      <c r="L35" s="520">
        <v>0</v>
      </c>
      <c r="M35" s="520">
        <v>0</v>
      </c>
      <c r="N35" s="520">
        <v>0</v>
      </c>
      <c r="O35" s="520">
        <v>0</v>
      </c>
      <c r="P35" s="521"/>
      <c r="R35" s="75" t="s">
        <v>113</v>
      </c>
      <c r="S35" s="4">
        <v>2</v>
      </c>
      <c r="T35" s="4">
        <v>0</v>
      </c>
      <c r="U35" s="4">
        <v>0</v>
      </c>
      <c r="V35" s="4">
        <v>0</v>
      </c>
      <c r="W35" s="4">
        <v>0</v>
      </c>
      <c r="X35" s="4">
        <v>1</v>
      </c>
      <c r="Y35" s="4">
        <v>9</v>
      </c>
      <c r="Z35" s="4">
        <v>0</v>
      </c>
      <c r="AA35" s="4">
        <v>0</v>
      </c>
      <c r="AB35" s="4">
        <v>1</v>
      </c>
      <c r="AC35" s="4">
        <v>0</v>
      </c>
      <c r="AD35" s="4">
        <v>0</v>
      </c>
      <c r="AE35" s="4">
        <v>0</v>
      </c>
      <c r="AF35" s="4"/>
      <c r="AI35" s="5" t="s">
        <v>113</v>
      </c>
      <c r="AJ35" s="152">
        <v>121.59333333333333</v>
      </c>
      <c r="AK35" s="291">
        <v>118.3544712014869</v>
      </c>
      <c r="AL35" s="291">
        <v>104.91997870444818</v>
      </c>
      <c r="AM35" s="291">
        <v>77.723801970685912</v>
      </c>
      <c r="AN35" s="291">
        <v>99.706099654490544</v>
      </c>
      <c r="AO35" s="291">
        <v>46.060366666666674</v>
      </c>
      <c r="AP35" s="291">
        <v>29.112435897435891</v>
      </c>
      <c r="AQ35" s="291">
        <v>16.360794428798012</v>
      </c>
      <c r="AR35" s="291">
        <v>95</v>
      </c>
      <c r="AS35" s="291">
        <v>94.951241666666675</v>
      </c>
      <c r="AT35" s="291">
        <v>115</v>
      </c>
      <c r="AU35" s="291">
        <v>144.72400134493481</v>
      </c>
      <c r="AV35" s="153">
        <v>33.930599788106385</v>
      </c>
    </row>
    <row r="36" spans="1:48">
      <c r="B36" s="522" t="s">
        <v>106</v>
      </c>
      <c r="C36" s="523">
        <v>0</v>
      </c>
      <c r="D36" s="524">
        <v>0</v>
      </c>
      <c r="E36" s="524">
        <v>0</v>
      </c>
      <c r="F36" s="524">
        <v>0</v>
      </c>
      <c r="G36" s="524">
        <v>0</v>
      </c>
      <c r="H36" s="524">
        <v>72</v>
      </c>
      <c r="I36" s="524">
        <v>51</v>
      </c>
      <c r="J36" s="524">
        <v>0</v>
      </c>
      <c r="K36" s="524">
        <v>0</v>
      </c>
      <c r="L36" s="524">
        <v>0</v>
      </c>
      <c r="M36" s="524">
        <v>0</v>
      </c>
      <c r="N36" s="524">
        <v>0</v>
      </c>
      <c r="O36" s="524">
        <v>0</v>
      </c>
      <c r="P36" s="525"/>
      <c r="R36" s="75" t="s">
        <v>91</v>
      </c>
      <c r="S36" s="4">
        <v>1</v>
      </c>
      <c r="T36" s="4">
        <v>7</v>
      </c>
      <c r="U36" s="4">
        <v>1</v>
      </c>
      <c r="V36" s="4">
        <v>0</v>
      </c>
      <c r="W36" s="4">
        <v>1</v>
      </c>
      <c r="X36" s="4">
        <v>1</v>
      </c>
      <c r="Y36" s="4">
        <v>0</v>
      </c>
      <c r="Z36" s="4">
        <v>0</v>
      </c>
      <c r="AA36" s="4">
        <v>0</v>
      </c>
      <c r="AB36" s="4">
        <v>0</v>
      </c>
      <c r="AC36" s="4">
        <v>1</v>
      </c>
      <c r="AD36" s="4">
        <v>0</v>
      </c>
      <c r="AE36" s="4">
        <v>0</v>
      </c>
      <c r="AF36" s="4"/>
      <c r="AI36" s="5" t="s">
        <v>91</v>
      </c>
      <c r="AJ36" s="152">
        <v>152.67515</v>
      </c>
      <c r="AK36" s="291">
        <v>112.66604761904763</v>
      </c>
      <c r="AL36" s="291">
        <v>116.98067500000001</v>
      </c>
      <c r="AM36" s="291">
        <v>91.824305897886163</v>
      </c>
      <c r="AN36" s="291">
        <v>129.84006666666664</v>
      </c>
      <c r="AO36" s="291">
        <v>65.125425000000007</v>
      </c>
      <c r="AP36" s="291">
        <v>43.436964639827309</v>
      </c>
      <c r="AQ36" s="291">
        <v>18.529419547388461</v>
      </c>
      <c r="AR36" s="291">
        <v>115.54440571902452</v>
      </c>
      <c r="AS36" s="291">
        <v>137.12974428523694</v>
      </c>
      <c r="AT36" s="291">
        <v>147.01010833333333</v>
      </c>
      <c r="AU36" s="291">
        <v>201.51469177211561</v>
      </c>
      <c r="AV36" s="153">
        <v>40.655999746106851</v>
      </c>
    </row>
    <row r="37" spans="1:48">
      <c r="B37" s="526" t="s">
        <v>113</v>
      </c>
      <c r="C37" s="527">
        <v>223</v>
      </c>
      <c r="D37" s="528">
        <v>0</v>
      </c>
      <c r="E37" s="528">
        <v>0</v>
      </c>
      <c r="F37" s="528">
        <v>0</v>
      </c>
      <c r="G37" s="528">
        <v>0</v>
      </c>
      <c r="H37" s="528">
        <v>84</v>
      </c>
      <c r="I37" s="528">
        <v>80</v>
      </c>
      <c r="J37" s="528">
        <v>0</v>
      </c>
      <c r="K37" s="528">
        <v>174</v>
      </c>
      <c r="L37" s="528">
        <v>174</v>
      </c>
      <c r="M37" s="528">
        <v>211</v>
      </c>
      <c r="N37" s="528">
        <v>0</v>
      </c>
      <c r="O37" s="528">
        <v>0</v>
      </c>
      <c r="P37" s="521"/>
      <c r="R37" s="75" t="s">
        <v>126</v>
      </c>
      <c r="S37" s="4">
        <v>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/>
      <c r="AI37" s="5" t="s">
        <v>126</v>
      </c>
      <c r="AJ37" s="152">
        <v>175.83789865628916</v>
      </c>
      <c r="AK37" s="291">
        <v>129.75891009927119</v>
      </c>
      <c r="AL37" s="291">
        <v>0</v>
      </c>
      <c r="AM37" s="291">
        <v>111.11045067637265</v>
      </c>
      <c r="AN37" s="291">
        <v>149.53844475711441</v>
      </c>
      <c r="AO37" s="291">
        <v>103.82002017670085</v>
      </c>
      <c r="AP37" s="291">
        <v>53.372913815271197</v>
      </c>
      <c r="AQ37" s="291">
        <v>25.485363645462833</v>
      </c>
      <c r="AR37" s="291">
        <v>124.7112128148143</v>
      </c>
      <c r="AS37" s="291">
        <v>191.28977730605189</v>
      </c>
      <c r="AT37" s="291">
        <v>0</v>
      </c>
      <c r="AU37" s="291">
        <v>0</v>
      </c>
      <c r="AV37" s="153">
        <v>0</v>
      </c>
    </row>
    <row r="38" spans="1:48">
      <c r="B38" s="522" t="s">
        <v>91</v>
      </c>
      <c r="C38" s="523">
        <v>280</v>
      </c>
      <c r="D38" s="524">
        <v>207</v>
      </c>
      <c r="E38" s="524">
        <v>214</v>
      </c>
      <c r="F38" s="524">
        <v>0</v>
      </c>
      <c r="G38" s="524">
        <v>238</v>
      </c>
      <c r="H38" s="524">
        <v>119</v>
      </c>
      <c r="I38" s="524">
        <v>0</v>
      </c>
      <c r="J38" s="524">
        <v>0</v>
      </c>
      <c r="K38" s="524">
        <v>0</v>
      </c>
      <c r="L38" s="524">
        <v>0</v>
      </c>
      <c r="M38" s="524">
        <v>270</v>
      </c>
      <c r="N38" s="524">
        <v>0</v>
      </c>
      <c r="O38" s="524">
        <v>0</v>
      </c>
      <c r="P38" s="525"/>
      <c r="R38" s="75" t="s">
        <v>132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/>
      <c r="AI38" s="5" t="s">
        <v>132</v>
      </c>
      <c r="AJ38" s="152">
        <v>456.98554687500001</v>
      </c>
      <c r="AK38" s="291">
        <v>334.55293848616492</v>
      </c>
      <c r="AL38" s="291">
        <v>0</v>
      </c>
      <c r="AM38" s="291">
        <v>0</v>
      </c>
      <c r="AN38" s="291">
        <v>302.02029324844085</v>
      </c>
      <c r="AO38" s="291">
        <v>149.54679811948694</v>
      </c>
      <c r="AP38" s="291">
        <v>0</v>
      </c>
      <c r="AQ38" s="291">
        <v>0</v>
      </c>
      <c r="AR38" s="291">
        <v>259.18690245716209</v>
      </c>
      <c r="AS38" s="291">
        <v>270.59747036971515</v>
      </c>
      <c r="AT38" s="291">
        <v>0</v>
      </c>
      <c r="AU38" s="291">
        <v>0</v>
      </c>
      <c r="AV38" s="153">
        <v>0</v>
      </c>
    </row>
    <row r="39" spans="1:48">
      <c r="B39" s="526" t="s">
        <v>126</v>
      </c>
      <c r="C39" s="527">
        <v>322</v>
      </c>
      <c r="D39" s="528">
        <v>0</v>
      </c>
      <c r="E39" s="528">
        <v>0</v>
      </c>
      <c r="F39" s="528">
        <v>0</v>
      </c>
      <c r="G39" s="528">
        <v>261</v>
      </c>
      <c r="H39" s="528">
        <v>0</v>
      </c>
      <c r="I39" s="528">
        <v>0</v>
      </c>
      <c r="J39" s="528">
        <v>0</v>
      </c>
      <c r="K39" s="528">
        <v>0</v>
      </c>
      <c r="L39" s="528">
        <v>0</v>
      </c>
      <c r="M39" s="528">
        <v>0</v>
      </c>
      <c r="N39" s="528">
        <v>0</v>
      </c>
      <c r="O39" s="528">
        <v>0</v>
      </c>
      <c r="P39" s="521"/>
      <c r="R39" s="75" t="s">
        <v>137</v>
      </c>
      <c r="S39" s="4">
        <v>0</v>
      </c>
      <c r="T39" s="4">
        <v>1</v>
      </c>
      <c r="U39" s="4">
        <v>0</v>
      </c>
      <c r="V39" s="4">
        <v>0</v>
      </c>
      <c r="W39" s="4">
        <v>0</v>
      </c>
      <c r="X39" s="4">
        <v>0</v>
      </c>
      <c r="Y39" s="4">
        <v>1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/>
      <c r="AI39" s="5" t="s">
        <v>137</v>
      </c>
      <c r="AJ39" s="152">
        <v>111.12386029411765</v>
      </c>
      <c r="AK39" s="291">
        <v>91.807843750000004</v>
      </c>
      <c r="AL39" s="291">
        <v>82.111872270149291</v>
      </c>
      <c r="AM39" s="291">
        <v>0</v>
      </c>
      <c r="AN39" s="291">
        <v>112.47188661205158</v>
      </c>
      <c r="AO39" s="291">
        <v>66.354945682844757</v>
      </c>
      <c r="AP39" s="291">
        <v>35.652550000000005</v>
      </c>
      <c r="AQ39" s="291">
        <v>16.006639076007708</v>
      </c>
      <c r="AR39" s="291">
        <v>91.146537497713624</v>
      </c>
      <c r="AS39" s="291">
        <v>108.23898814788608</v>
      </c>
      <c r="AT39" s="291">
        <v>161.71115447607775</v>
      </c>
      <c r="AU39" s="291">
        <v>100.05515052608271</v>
      </c>
      <c r="AV39" s="153">
        <v>21.723899864336154</v>
      </c>
    </row>
    <row r="40" spans="1:48">
      <c r="B40" s="522" t="s">
        <v>132</v>
      </c>
      <c r="C40" s="523">
        <v>0</v>
      </c>
      <c r="D40" s="524">
        <v>0</v>
      </c>
      <c r="E40" s="524">
        <v>0</v>
      </c>
      <c r="F40" s="524">
        <v>0</v>
      </c>
      <c r="G40" s="524">
        <v>0</v>
      </c>
      <c r="H40" s="524">
        <v>0</v>
      </c>
      <c r="I40" s="524">
        <v>0</v>
      </c>
      <c r="J40" s="524">
        <v>0</v>
      </c>
      <c r="K40" s="524">
        <v>0</v>
      </c>
      <c r="L40" s="524">
        <v>0</v>
      </c>
      <c r="M40" s="524">
        <v>0</v>
      </c>
      <c r="N40" s="524">
        <v>0</v>
      </c>
      <c r="O40" s="524">
        <v>0</v>
      </c>
      <c r="P40" s="525"/>
      <c r="R40" s="75" t="s">
        <v>141</v>
      </c>
      <c r="S40" s="4">
        <v>1</v>
      </c>
      <c r="T40" s="4">
        <v>3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/>
      <c r="AI40" s="5" t="s">
        <v>141</v>
      </c>
      <c r="AJ40" s="152">
        <v>346.875</v>
      </c>
      <c r="AK40" s="291">
        <v>252.09932291666669</v>
      </c>
      <c r="AL40" s="291">
        <v>248.04423381981027</v>
      </c>
      <c r="AM40" s="291">
        <v>62.699734039628645</v>
      </c>
      <c r="AN40" s="291">
        <v>343.28127376735705</v>
      </c>
      <c r="AO40" s="291">
        <v>203.68936919235239</v>
      </c>
      <c r="AP40" s="291">
        <v>52.48944301419295</v>
      </c>
      <c r="AQ40" s="291">
        <v>49.964993249825802</v>
      </c>
      <c r="AR40" s="291">
        <v>259.68654673927273</v>
      </c>
      <c r="AS40" s="291">
        <v>271.76296509228143</v>
      </c>
      <c r="AT40" s="291">
        <v>405.70970370378473</v>
      </c>
      <c r="AU40" s="291">
        <v>264.55338324900151</v>
      </c>
      <c r="AV40" s="153">
        <v>140.03859287547129</v>
      </c>
    </row>
    <row r="41" spans="1:48">
      <c r="B41" s="526" t="s">
        <v>137</v>
      </c>
      <c r="C41" s="527">
        <v>0</v>
      </c>
      <c r="D41" s="528">
        <v>144</v>
      </c>
      <c r="E41" s="528">
        <v>0</v>
      </c>
      <c r="F41" s="528">
        <v>0</v>
      </c>
      <c r="G41" s="528">
        <v>0</v>
      </c>
      <c r="H41" s="528">
        <v>0</v>
      </c>
      <c r="I41" s="528">
        <v>78</v>
      </c>
      <c r="J41" s="528">
        <v>0</v>
      </c>
      <c r="K41" s="528">
        <v>0</v>
      </c>
      <c r="L41" s="528">
        <v>0</v>
      </c>
      <c r="M41" s="528">
        <v>0</v>
      </c>
      <c r="N41" s="528">
        <v>0</v>
      </c>
      <c r="O41" s="528">
        <v>0</v>
      </c>
      <c r="P41" s="521"/>
      <c r="R41" s="75" t="s">
        <v>146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/>
      <c r="AI41" s="5" t="s">
        <v>146</v>
      </c>
      <c r="AJ41" s="152">
        <v>127.81947115384617</v>
      </c>
      <c r="AK41" s="291">
        <v>89.168968085043943</v>
      </c>
      <c r="AL41" s="291">
        <v>90.602209455291899</v>
      </c>
      <c r="AM41" s="291">
        <v>55.368232132467121</v>
      </c>
      <c r="AN41" s="291">
        <v>94.635869465287769</v>
      </c>
      <c r="AO41" s="291">
        <v>39.066905124507116</v>
      </c>
      <c r="AP41" s="291">
        <v>26.480809652037333</v>
      </c>
      <c r="AQ41" s="291">
        <v>8.3590741633532648</v>
      </c>
      <c r="AR41" s="291">
        <v>85.319477237072149</v>
      </c>
      <c r="AS41" s="291">
        <v>74.217456580803457</v>
      </c>
      <c r="AT41" s="291">
        <v>0</v>
      </c>
      <c r="AU41" s="291">
        <v>0</v>
      </c>
      <c r="AV41" s="153">
        <v>21.004182561138414</v>
      </c>
    </row>
    <row r="42" spans="1:48" ht="15.75" thickBot="1">
      <c r="B42" s="522" t="s">
        <v>141</v>
      </c>
      <c r="C42" s="523">
        <v>545</v>
      </c>
      <c r="D42" s="524">
        <v>396</v>
      </c>
      <c r="E42" s="524">
        <v>0</v>
      </c>
      <c r="F42" s="524">
        <v>0</v>
      </c>
      <c r="G42" s="524">
        <v>0</v>
      </c>
      <c r="H42" s="524">
        <v>0</v>
      </c>
      <c r="I42" s="524">
        <v>0</v>
      </c>
      <c r="J42" s="524">
        <v>0</v>
      </c>
      <c r="K42" s="524">
        <v>0</v>
      </c>
      <c r="L42" s="524">
        <v>0</v>
      </c>
      <c r="M42" s="524">
        <v>0</v>
      </c>
      <c r="N42" s="524">
        <v>0</v>
      </c>
      <c r="O42" s="524">
        <v>0</v>
      </c>
      <c r="P42" s="525"/>
      <c r="R42" s="76" t="s">
        <v>150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/>
      <c r="AI42" s="6" t="s">
        <v>150</v>
      </c>
      <c r="AJ42" s="292">
        <v>202.37884615384615</v>
      </c>
      <c r="AK42" s="293">
        <v>125.48153881334756</v>
      </c>
      <c r="AL42" s="293">
        <v>166.48328366042793</v>
      </c>
      <c r="AM42" s="293">
        <v>0</v>
      </c>
      <c r="AN42" s="293">
        <v>165.13873032376262</v>
      </c>
      <c r="AO42" s="293">
        <v>75.557306110641363</v>
      </c>
      <c r="AP42" s="293">
        <v>40.226735323757417</v>
      </c>
      <c r="AQ42" s="293">
        <v>19.524193678091375</v>
      </c>
      <c r="AR42" s="293">
        <v>141.54318546578529</v>
      </c>
      <c r="AS42" s="293">
        <v>145.06706219071333</v>
      </c>
      <c r="AT42" s="293">
        <v>241.01181676723129</v>
      </c>
      <c r="AU42" s="293">
        <v>120.64670418437468</v>
      </c>
      <c r="AV42" s="294">
        <v>30.097903658195087</v>
      </c>
    </row>
    <row r="43" spans="1:48" ht="15.75" thickBot="1">
      <c r="B43" s="526" t="s">
        <v>146</v>
      </c>
      <c r="C43" s="527">
        <v>0</v>
      </c>
      <c r="D43" s="528">
        <v>0</v>
      </c>
      <c r="E43" s="528">
        <v>0</v>
      </c>
      <c r="F43" s="528">
        <v>0</v>
      </c>
      <c r="G43" s="528">
        <v>0</v>
      </c>
      <c r="H43" s="528">
        <v>0</v>
      </c>
      <c r="I43" s="528">
        <v>0</v>
      </c>
      <c r="J43" s="528">
        <v>0</v>
      </c>
      <c r="K43" s="528">
        <v>0</v>
      </c>
      <c r="L43" s="528">
        <v>0</v>
      </c>
      <c r="M43" s="528">
        <v>0</v>
      </c>
      <c r="N43" s="528">
        <v>0</v>
      </c>
      <c r="O43" s="528">
        <v>0</v>
      </c>
      <c r="P43" s="521"/>
      <c r="R43" s="86"/>
      <c r="S43" s="87">
        <f>SUBTOTAL(109,TbCountSec26[US])</f>
        <v>6</v>
      </c>
      <c r="T43" s="87">
        <f>SUBTOTAL(109,TbCountSec26[UK])</f>
        <v>11</v>
      </c>
      <c r="U43" s="87">
        <f>SUBTOTAL(109,TbCountSec26[DE])</f>
        <v>1</v>
      </c>
      <c r="V43" s="87">
        <f>SUBTOTAL(109,TbCountSec26[PL])</f>
        <v>0</v>
      </c>
      <c r="W43" s="87">
        <f>SUBTOTAL(109,TbCountSec26[NL])</f>
        <v>1</v>
      </c>
      <c r="X43" s="87">
        <f>SUBTOTAL(109,TbCountSec26[MX])</f>
        <v>4</v>
      </c>
      <c r="Y43" s="87">
        <f>SUBTOTAL(109,TbCountSec26[IN])</f>
        <v>30</v>
      </c>
      <c r="Z43" s="87">
        <f>SUBTOTAL(109,TbCountSec26[EG])</f>
        <v>0</v>
      </c>
      <c r="AA43" s="87">
        <f>SUBTOTAL(109,TbCountSec26[CAN])</f>
        <v>0</v>
      </c>
      <c r="AB43" s="87">
        <f>SUBTOTAL(109,TbCountSec26[AU])</f>
        <v>1</v>
      </c>
      <c r="AC43" s="87">
        <f>SUBTOTAL(109,TbCountSec26[AE])</f>
        <v>1</v>
      </c>
      <c r="AD43" s="87">
        <f>SUBTOTAL(109,TbCountSec26[SG])</f>
        <v>0</v>
      </c>
      <c r="AE43" s="87">
        <f>SUBTOTAL(109,TbCountSec26[VN])</f>
        <v>0</v>
      </c>
      <c r="AF43" s="87"/>
      <c r="AG43" s="33">
        <f>SUM(TbCountSec26[[#Totals],[US]:[VN]])</f>
        <v>55</v>
      </c>
    </row>
    <row r="44" spans="1:48" ht="15.75" thickBot="1">
      <c r="B44" s="529" t="s">
        <v>150</v>
      </c>
      <c r="C44" s="530">
        <v>0</v>
      </c>
      <c r="D44" s="531">
        <v>0</v>
      </c>
      <c r="E44" s="531">
        <v>0</v>
      </c>
      <c r="F44" s="531">
        <v>0</v>
      </c>
      <c r="G44" s="531">
        <v>0</v>
      </c>
      <c r="H44" s="531">
        <v>0</v>
      </c>
      <c r="I44" s="531">
        <v>0</v>
      </c>
      <c r="J44" s="531">
        <v>0</v>
      </c>
      <c r="K44" s="531">
        <v>0</v>
      </c>
      <c r="L44" s="531">
        <v>0</v>
      </c>
      <c r="M44" s="531">
        <v>0</v>
      </c>
      <c r="N44" s="531">
        <v>0</v>
      </c>
      <c r="O44" s="531">
        <v>0</v>
      </c>
      <c r="P44" s="532"/>
    </row>
    <row r="46" spans="1:48" ht="15.75" thickBot="1"/>
    <row r="47" spans="1:48" ht="15.75" thickBot="1">
      <c r="A47" s="4"/>
      <c r="R47" s="241" t="s">
        <v>489</v>
      </c>
      <c r="S47" s="242" t="s">
        <v>98</v>
      </c>
      <c r="T47" s="243" t="s">
        <v>105</v>
      </c>
      <c r="U47" s="243" t="s">
        <v>112</v>
      </c>
      <c r="V47" s="243" t="s">
        <v>120</v>
      </c>
      <c r="W47" s="243" t="s">
        <v>125</v>
      </c>
      <c r="X47" s="243" t="s">
        <v>131</v>
      </c>
      <c r="Y47" s="243" t="s">
        <v>136</v>
      </c>
      <c r="Z47" s="243" t="s">
        <v>140</v>
      </c>
      <c r="AA47" s="243" t="s">
        <v>145</v>
      </c>
      <c r="AB47" s="243" t="s">
        <v>149</v>
      </c>
      <c r="AC47" s="243" t="s">
        <v>153</v>
      </c>
      <c r="AD47" s="243" t="s">
        <v>156</v>
      </c>
      <c r="AE47" s="243" t="s">
        <v>159</v>
      </c>
      <c r="AF47" s="241"/>
      <c r="AI47" s="28" t="s">
        <v>490</v>
      </c>
      <c r="AJ47" s="29" t="s">
        <v>98</v>
      </c>
      <c r="AK47" s="30" t="s">
        <v>105</v>
      </c>
      <c r="AL47" s="30" t="s">
        <v>112</v>
      </c>
      <c r="AM47" s="30" t="s">
        <v>120</v>
      </c>
      <c r="AN47" s="30" t="s">
        <v>125</v>
      </c>
      <c r="AO47" s="30" t="s">
        <v>131</v>
      </c>
      <c r="AP47" s="30" t="s">
        <v>136</v>
      </c>
      <c r="AQ47" s="30" t="s">
        <v>140</v>
      </c>
      <c r="AR47" s="30" t="s">
        <v>145</v>
      </c>
      <c r="AS47" s="30" t="s">
        <v>149</v>
      </c>
      <c r="AT47" s="30" t="s">
        <v>153</v>
      </c>
      <c r="AU47" s="30" t="s">
        <v>156</v>
      </c>
      <c r="AV47" s="80" t="s">
        <v>159</v>
      </c>
    </row>
    <row r="48" spans="1:48" ht="15.75" thickBot="1">
      <c r="A48" s="4"/>
      <c r="R48" s="5" t="s">
        <v>116</v>
      </c>
      <c r="S48" s="4">
        <v>4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I48" s="5" t="s">
        <v>116</v>
      </c>
      <c r="AJ48" s="152"/>
      <c r="AK48" s="291">
        <v>119.12969000000001</v>
      </c>
      <c r="AL48" s="291">
        <v>114.05187395833335</v>
      </c>
      <c r="AM48" s="291">
        <v>70.238766025641013</v>
      </c>
      <c r="AN48" s="291">
        <v>118.48153055555555</v>
      </c>
      <c r="AO48" s="291">
        <v>75.141087499999998</v>
      </c>
      <c r="AP48" s="291">
        <v>30.279238782051287</v>
      </c>
      <c r="AQ48" s="291">
        <v>20.53145833333333</v>
      </c>
      <c r="AR48" s="291">
        <v>97.980958333333319</v>
      </c>
      <c r="AS48" s="291">
        <v>119.66981132075473</v>
      </c>
      <c r="AT48" s="291">
        <v>132.51316385319791</v>
      </c>
      <c r="AU48" s="291">
        <v>182.55943536404163</v>
      </c>
      <c r="AV48" s="153">
        <v>42.886075949367083</v>
      </c>
    </row>
    <row r="49" spans="1:48" ht="15.75" thickBot="1">
      <c r="A49" s="4"/>
      <c r="B49" s="28" t="s">
        <v>491</v>
      </c>
      <c r="C49" s="29" t="s">
        <v>98</v>
      </c>
      <c r="D49" s="30" t="s">
        <v>105</v>
      </c>
      <c r="E49" s="30" t="s">
        <v>112</v>
      </c>
      <c r="F49" s="30" t="s">
        <v>120</v>
      </c>
      <c r="G49" s="30" t="s">
        <v>125</v>
      </c>
      <c r="H49" s="30" t="s">
        <v>131</v>
      </c>
      <c r="I49" s="30" t="s">
        <v>136</v>
      </c>
      <c r="J49" s="30" t="s">
        <v>140</v>
      </c>
      <c r="K49" s="30" t="s">
        <v>145</v>
      </c>
      <c r="L49" s="30" t="s">
        <v>149</v>
      </c>
      <c r="M49" s="30" t="s">
        <v>153</v>
      </c>
      <c r="N49" s="30" t="s">
        <v>156</v>
      </c>
      <c r="O49" s="80" t="s">
        <v>159</v>
      </c>
      <c r="P49" s="80" t="s">
        <v>161</v>
      </c>
      <c r="R49" s="5" t="s">
        <v>134</v>
      </c>
      <c r="S49" s="4">
        <v>2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I49" s="5" t="s">
        <v>134</v>
      </c>
      <c r="AJ49" s="152"/>
      <c r="AK49" s="291">
        <v>132.60299166666667</v>
      </c>
      <c r="AL49" s="291">
        <v>126.79757584054768</v>
      </c>
      <c r="AM49" s="291">
        <v>121.20569999999999</v>
      </c>
      <c r="AN49" s="291">
        <v>125.59144583333332</v>
      </c>
      <c r="AO49" s="291">
        <v>92.71637426900584</v>
      </c>
      <c r="AP49" s="291">
        <v>36.017783333333334</v>
      </c>
      <c r="AQ49" s="291">
        <v>22.628558333333334</v>
      </c>
      <c r="AR49" s="291">
        <v>114.86730119047623</v>
      </c>
      <c r="AS49" s="291">
        <v>130</v>
      </c>
      <c r="AT49" s="291">
        <v>172</v>
      </c>
      <c r="AU49" s="291">
        <v>210</v>
      </c>
      <c r="AV49" s="153">
        <v>0</v>
      </c>
    </row>
    <row r="50" spans="1:48">
      <c r="A50" s="4"/>
      <c r="B50" s="5" t="s">
        <v>116</v>
      </c>
      <c r="C50" s="152">
        <v>227.87072467320263</v>
      </c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153"/>
      <c r="P50" s="153"/>
      <c r="R50" s="7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I50" s="5"/>
      <c r="AJ50" s="152"/>
      <c r="AK50" s="291"/>
      <c r="AL50" s="291"/>
      <c r="AM50" s="291"/>
      <c r="AN50" s="291"/>
      <c r="AO50" s="291"/>
      <c r="AP50" s="291"/>
      <c r="AQ50" s="291"/>
      <c r="AR50" s="291"/>
      <c r="AS50" s="291"/>
      <c r="AT50" s="291"/>
      <c r="AU50" s="291"/>
      <c r="AV50" s="153" t="s">
        <v>492</v>
      </c>
    </row>
    <row r="51" spans="1:48">
      <c r="B51" s="5" t="s">
        <v>134</v>
      </c>
      <c r="C51" s="152">
        <v>256.409248015873</v>
      </c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153"/>
      <c r="P51" s="153"/>
      <c r="R51" s="7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I51" s="5"/>
      <c r="AJ51" s="152"/>
      <c r="AK51" s="291"/>
      <c r="AL51" s="291"/>
      <c r="AM51" s="291"/>
      <c r="AN51" s="291"/>
      <c r="AO51" s="291"/>
      <c r="AP51" s="291"/>
      <c r="AQ51" s="291"/>
      <c r="AR51" s="291"/>
      <c r="AS51" s="291"/>
      <c r="AT51" s="291"/>
      <c r="AU51" s="291"/>
      <c r="AV51" s="153" t="s">
        <v>492</v>
      </c>
    </row>
    <row r="52" spans="1:48">
      <c r="B52" s="5"/>
      <c r="C52" s="152"/>
      <c r="D52" s="291"/>
      <c r="E52" s="291"/>
      <c r="F52" s="291"/>
      <c r="G52" s="291"/>
      <c r="H52" s="291"/>
      <c r="I52" s="291"/>
      <c r="J52" s="291"/>
      <c r="K52" s="291"/>
      <c r="L52" s="291"/>
      <c r="M52" s="291"/>
      <c r="N52" s="291"/>
      <c r="O52" s="153" t="s">
        <v>492</v>
      </c>
      <c r="P52" s="153" t="s">
        <v>492</v>
      </c>
      <c r="R52" s="7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I52" s="5"/>
      <c r="AJ52" s="152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  <c r="AU52" s="291"/>
      <c r="AV52" s="153" t="s">
        <v>492</v>
      </c>
    </row>
    <row r="53" spans="1:48">
      <c r="B53" s="5"/>
      <c r="C53" s="152"/>
      <c r="D53" s="291"/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153" t="s">
        <v>492</v>
      </c>
      <c r="P53" s="153" t="s">
        <v>492</v>
      </c>
      <c r="R53" s="7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I53" s="5"/>
      <c r="AJ53" s="152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1"/>
      <c r="AV53" s="153" t="s">
        <v>492</v>
      </c>
    </row>
    <row r="54" spans="1:48">
      <c r="B54" s="5"/>
      <c r="C54" s="152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153" t="s">
        <v>492</v>
      </c>
      <c r="P54" s="153" t="s">
        <v>492</v>
      </c>
      <c r="R54" s="7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I54" s="5"/>
      <c r="AJ54" s="152"/>
      <c r="AK54" s="291"/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153" t="s">
        <v>492</v>
      </c>
    </row>
    <row r="55" spans="1:48">
      <c r="B55" s="5"/>
      <c r="C55" s="152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153" t="s">
        <v>492</v>
      </c>
      <c r="P55" s="153" t="s">
        <v>492</v>
      </c>
      <c r="R55" s="7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I55" s="5"/>
      <c r="AJ55" s="152"/>
      <c r="AK55" s="291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153" t="s">
        <v>492</v>
      </c>
    </row>
    <row r="56" spans="1:48">
      <c r="B56" s="5"/>
      <c r="C56" s="152"/>
      <c r="D56" s="291"/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153" t="s">
        <v>492</v>
      </c>
      <c r="P56" s="153" t="s">
        <v>492</v>
      </c>
      <c r="R56" s="7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I56" s="5"/>
      <c r="AJ56" s="152"/>
      <c r="AK56" s="291"/>
      <c r="AL56" s="291"/>
      <c r="AM56" s="291"/>
      <c r="AN56" s="291"/>
      <c r="AO56" s="291"/>
      <c r="AP56" s="291"/>
      <c r="AQ56" s="291"/>
      <c r="AR56" s="291"/>
      <c r="AS56" s="291"/>
      <c r="AT56" s="291"/>
      <c r="AU56" s="291"/>
      <c r="AV56" s="153" t="s">
        <v>492</v>
      </c>
    </row>
    <row r="57" spans="1:48" ht="15.75" thickBot="1">
      <c r="B57" s="5"/>
      <c r="C57" s="152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153" t="s">
        <v>492</v>
      </c>
      <c r="P57" s="153" t="s">
        <v>492</v>
      </c>
      <c r="R57" s="7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I57" s="6"/>
      <c r="AJ57" s="292"/>
      <c r="AK57" s="293"/>
      <c r="AL57" s="293"/>
      <c r="AM57" s="293"/>
      <c r="AN57" s="293"/>
      <c r="AO57" s="293"/>
      <c r="AP57" s="293"/>
      <c r="AQ57" s="293"/>
      <c r="AR57" s="293"/>
      <c r="AS57" s="293"/>
      <c r="AT57" s="293"/>
      <c r="AU57" s="293"/>
      <c r="AV57" s="294" t="s">
        <v>492</v>
      </c>
    </row>
    <row r="58" spans="1:48" ht="15.75" thickBot="1">
      <c r="B58" s="5"/>
      <c r="C58" s="152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153" t="s">
        <v>492</v>
      </c>
      <c r="P58" s="153" t="s">
        <v>492</v>
      </c>
      <c r="R58" s="86"/>
      <c r="S58" s="87">
        <f>SUBTOTAL(109,TbCountAdv27[US])</f>
        <v>6</v>
      </c>
      <c r="T58" s="87">
        <f>SUBTOTAL(109,TbCountAdv27[UK])</f>
        <v>0</v>
      </c>
      <c r="U58" s="87">
        <f>SUBTOTAL(109,TbCountAdv27[DE])</f>
        <v>0</v>
      </c>
      <c r="V58" s="87">
        <f>SUBTOTAL(109,TbCountAdv27[PL])</f>
        <v>0</v>
      </c>
      <c r="W58" s="87">
        <f>SUBTOTAL(109,TbCountAdv27[NL])</f>
        <v>0</v>
      </c>
      <c r="X58" s="87">
        <f>SUBTOTAL(109,TbCountAdv27[MX])</f>
        <v>0</v>
      </c>
      <c r="Y58" s="87">
        <f>SUBTOTAL(109,TbCountAdv27[IN])</f>
        <v>0</v>
      </c>
      <c r="Z58" s="87">
        <f>SUBTOTAL(109,TbCountAdv27[EG])</f>
        <v>0</v>
      </c>
      <c r="AA58" s="87">
        <f>SUBTOTAL(109,TbCountAdv27[CAN])</f>
        <v>0</v>
      </c>
      <c r="AB58" s="87">
        <f>SUBTOTAL(109,TbCountAdv27[AU])</f>
        <v>0</v>
      </c>
      <c r="AC58" s="87">
        <f>SUBTOTAL(109,TbCountAdv27[AE])</f>
        <v>0</v>
      </c>
      <c r="AD58" s="87">
        <f>SUBTOTAL(109,TbCountAdv27[SG])</f>
        <v>0</v>
      </c>
      <c r="AE58" s="87">
        <f>SUBTOTAL(109,TbCountAdv27[VN])</f>
        <v>0</v>
      </c>
      <c r="AF58" s="87"/>
      <c r="AG58" s="33">
        <f>SUM(TbCountAdv27[[#Totals],[US]:[VN]])</f>
        <v>6</v>
      </c>
    </row>
    <row r="59" spans="1:48" ht="15.75" thickBot="1">
      <c r="B59" s="6"/>
      <c r="C59" s="292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4" t="s">
        <v>492</v>
      </c>
      <c r="P59" s="294" t="s">
        <v>492</v>
      </c>
    </row>
    <row r="61" spans="1:48" ht="15.75" thickBot="1"/>
    <row r="62" spans="1:48" ht="15.75" thickBot="1">
      <c r="R62" s="241" t="s">
        <v>493</v>
      </c>
      <c r="S62" s="242" t="s">
        <v>98</v>
      </c>
      <c r="T62" s="243" t="s">
        <v>105</v>
      </c>
      <c r="U62" s="243" t="s">
        <v>112</v>
      </c>
      <c r="V62" s="243" t="s">
        <v>120</v>
      </c>
      <c r="W62" s="243" t="s">
        <v>125</v>
      </c>
      <c r="X62" s="243" t="s">
        <v>131</v>
      </c>
      <c r="Y62" s="243" t="s">
        <v>136</v>
      </c>
      <c r="Z62" s="243" t="s">
        <v>140</v>
      </c>
      <c r="AA62" s="243" t="s">
        <v>145</v>
      </c>
      <c r="AB62" s="243" t="s">
        <v>149</v>
      </c>
      <c r="AC62" s="243" t="s">
        <v>153</v>
      </c>
      <c r="AD62" s="243" t="s">
        <v>156</v>
      </c>
      <c r="AE62" s="243" t="s">
        <v>159</v>
      </c>
      <c r="AF62" s="241"/>
      <c r="AI62" s="28" t="s">
        <v>494</v>
      </c>
      <c r="AJ62" s="29" t="s">
        <v>98</v>
      </c>
      <c r="AK62" s="30" t="s">
        <v>105</v>
      </c>
      <c r="AL62" s="30" t="s">
        <v>112</v>
      </c>
      <c r="AM62" s="30" t="s">
        <v>120</v>
      </c>
      <c r="AN62" s="30" t="s">
        <v>125</v>
      </c>
      <c r="AO62" s="30" t="s">
        <v>131</v>
      </c>
      <c r="AP62" s="30" t="s">
        <v>136</v>
      </c>
      <c r="AQ62" s="30" t="s">
        <v>140</v>
      </c>
      <c r="AR62" s="30" t="s">
        <v>145</v>
      </c>
      <c r="AS62" s="30" t="s">
        <v>149</v>
      </c>
      <c r="AT62" s="30" t="s">
        <v>153</v>
      </c>
      <c r="AU62" s="30" t="s">
        <v>156</v>
      </c>
      <c r="AV62" s="80" t="s">
        <v>159</v>
      </c>
    </row>
    <row r="63" spans="1:48" ht="15.75" thickBot="1">
      <c r="R63" s="74" t="s">
        <v>208</v>
      </c>
      <c r="S63" s="4">
        <v>1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I63" s="3" t="s">
        <v>208</v>
      </c>
      <c r="AJ63" s="149"/>
      <c r="AK63" s="150"/>
      <c r="AL63" s="150"/>
      <c r="AM63" s="150"/>
      <c r="AN63" s="150"/>
      <c r="AO63" s="150"/>
      <c r="AP63" s="150"/>
      <c r="AQ63" s="150"/>
      <c r="AR63" s="150"/>
      <c r="AS63" s="150"/>
      <c r="AT63" s="150"/>
      <c r="AU63" s="150"/>
      <c r="AV63" s="151"/>
    </row>
    <row r="64" spans="1:48" ht="15.75" thickBot="1">
      <c r="B64" s="28" t="s">
        <v>495</v>
      </c>
      <c r="C64" s="29" t="s">
        <v>98</v>
      </c>
      <c r="D64" s="30" t="s">
        <v>105</v>
      </c>
      <c r="E64" s="30" t="s">
        <v>112</v>
      </c>
      <c r="F64" s="30" t="s">
        <v>120</v>
      </c>
      <c r="G64" s="30" t="s">
        <v>125</v>
      </c>
      <c r="H64" s="30" t="s">
        <v>131</v>
      </c>
      <c r="I64" s="30" t="s">
        <v>136</v>
      </c>
      <c r="J64" s="30" t="s">
        <v>140</v>
      </c>
      <c r="K64" s="30" t="s">
        <v>145</v>
      </c>
      <c r="L64" s="30" t="s">
        <v>149</v>
      </c>
      <c r="M64" s="30" t="s">
        <v>153</v>
      </c>
      <c r="N64" s="30" t="s">
        <v>156</v>
      </c>
      <c r="O64" s="80" t="s">
        <v>159</v>
      </c>
      <c r="P64" s="80" t="s">
        <v>161</v>
      </c>
      <c r="R64" s="75" t="s">
        <v>212</v>
      </c>
      <c r="S64" s="4">
        <v>1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I64" s="5" t="s">
        <v>212</v>
      </c>
      <c r="AJ64" s="152"/>
      <c r="AK64" s="291"/>
      <c r="AL64" s="291"/>
      <c r="AM64" s="291"/>
      <c r="AN64" s="291"/>
      <c r="AO64" s="291"/>
      <c r="AP64" s="291"/>
      <c r="AQ64" s="291"/>
      <c r="AR64" s="291"/>
      <c r="AS64" s="291"/>
      <c r="AT64" s="291"/>
      <c r="AU64" s="291"/>
      <c r="AV64" s="153"/>
    </row>
    <row r="65" spans="2:48">
      <c r="B65" s="3" t="s">
        <v>208</v>
      </c>
      <c r="C65" s="149">
        <v>250</v>
      </c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1"/>
      <c r="P65" s="151"/>
      <c r="R65" s="5" t="s">
        <v>216</v>
      </c>
      <c r="S65" s="4">
        <v>1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I65" s="5" t="s">
        <v>216</v>
      </c>
      <c r="AJ65" s="152"/>
      <c r="AK65" s="291"/>
      <c r="AL65" s="291"/>
      <c r="AM65" s="291"/>
      <c r="AN65" s="291"/>
      <c r="AO65" s="291"/>
      <c r="AP65" s="291"/>
      <c r="AQ65" s="291"/>
      <c r="AR65" s="291"/>
      <c r="AS65" s="291"/>
      <c r="AT65" s="291"/>
      <c r="AU65" s="291"/>
      <c r="AV65" s="153"/>
    </row>
    <row r="66" spans="2:48">
      <c r="B66" s="5" t="s">
        <v>212</v>
      </c>
      <c r="C66" s="152">
        <v>220</v>
      </c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153"/>
      <c r="P66" s="153"/>
      <c r="R66" s="75" t="s">
        <v>179</v>
      </c>
      <c r="S66" s="4">
        <v>1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I66" s="5" t="s">
        <v>179</v>
      </c>
      <c r="AJ66" s="152"/>
      <c r="AK66" s="291"/>
      <c r="AL66" s="291"/>
      <c r="AM66" s="291"/>
      <c r="AN66" s="291"/>
      <c r="AO66" s="291"/>
      <c r="AP66" s="291"/>
      <c r="AQ66" s="291"/>
      <c r="AR66" s="291"/>
      <c r="AS66" s="291"/>
      <c r="AT66" s="291"/>
      <c r="AU66" s="291"/>
      <c r="AV66" s="153"/>
    </row>
    <row r="67" spans="2:48">
      <c r="B67" s="5" t="s">
        <v>216</v>
      </c>
      <c r="C67" s="152">
        <v>165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153"/>
      <c r="P67" s="153"/>
      <c r="R67" s="75" t="s">
        <v>152</v>
      </c>
      <c r="S67" s="4">
        <v>1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I67" s="5" t="s">
        <v>152</v>
      </c>
      <c r="AJ67" s="152"/>
      <c r="AK67" s="291"/>
      <c r="AL67" s="291"/>
      <c r="AM67" s="291"/>
      <c r="AN67" s="291"/>
      <c r="AO67" s="291"/>
      <c r="AP67" s="291"/>
      <c r="AQ67" s="291"/>
      <c r="AR67" s="291"/>
      <c r="AS67" s="291"/>
      <c r="AT67" s="291"/>
      <c r="AU67" s="291"/>
      <c r="AV67" s="153"/>
    </row>
    <row r="68" spans="2:48">
      <c r="B68" s="5" t="s">
        <v>179</v>
      </c>
      <c r="C68" s="152">
        <v>250</v>
      </c>
      <c r="D68" s="291"/>
      <c r="E68" s="291"/>
      <c r="F68" s="291"/>
      <c r="G68" s="291"/>
      <c r="H68" s="291"/>
      <c r="I68" s="291"/>
      <c r="J68" s="291"/>
      <c r="K68" s="291"/>
      <c r="L68" s="291"/>
      <c r="M68" s="291"/>
      <c r="N68" s="291"/>
      <c r="O68" s="153"/>
      <c r="P68" s="153"/>
      <c r="R68" s="75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 t="s">
        <v>492</v>
      </c>
      <c r="AF68" s="4"/>
      <c r="AI68" s="5"/>
      <c r="AJ68" s="152"/>
      <c r="AK68" s="291"/>
      <c r="AL68" s="291"/>
      <c r="AM68" s="291"/>
      <c r="AN68" s="291"/>
      <c r="AO68" s="291"/>
      <c r="AP68" s="291"/>
      <c r="AQ68" s="291"/>
      <c r="AR68" s="291"/>
      <c r="AS68" s="291"/>
      <c r="AT68" s="291"/>
      <c r="AU68" s="291"/>
      <c r="AV68" s="153"/>
    </row>
    <row r="69" spans="2:48">
      <c r="B69" s="5" t="s">
        <v>152</v>
      </c>
      <c r="C69" s="152">
        <v>220</v>
      </c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  <c r="O69" s="153"/>
      <c r="P69" s="153"/>
      <c r="R69" s="75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 t="s">
        <v>492</v>
      </c>
      <c r="AF69" s="4"/>
      <c r="AI69" s="5"/>
      <c r="AJ69" s="152"/>
      <c r="AK69" s="291"/>
      <c r="AL69" s="291"/>
      <c r="AM69" s="291"/>
      <c r="AN69" s="291"/>
      <c r="AO69" s="291"/>
      <c r="AP69" s="291"/>
      <c r="AQ69" s="291"/>
      <c r="AR69" s="291"/>
      <c r="AS69" s="291"/>
      <c r="AT69" s="291"/>
      <c r="AU69" s="291"/>
      <c r="AV69" s="153"/>
    </row>
    <row r="70" spans="2:48">
      <c r="B70" s="5"/>
      <c r="C70" s="152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153" t="s">
        <v>492</v>
      </c>
      <c r="P70" s="153" t="s">
        <v>492</v>
      </c>
      <c r="R70" s="75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 t="s">
        <v>492</v>
      </c>
      <c r="AF70" s="4"/>
      <c r="AI70" s="5"/>
      <c r="AJ70" s="152"/>
      <c r="AK70" s="291"/>
      <c r="AL70" s="291"/>
      <c r="AM70" s="291"/>
      <c r="AN70" s="291"/>
      <c r="AO70" s="291"/>
      <c r="AP70" s="291"/>
      <c r="AQ70" s="291"/>
      <c r="AR70" s="291"/>
      <c r="AS70" s="291"/>
      <c r="AT70" s="291"/>
      <c r="AU70" s="291"/>
      <c r="AV70" s="153"/>
    </row>
    <row r="71" spans="2:48">
      <c r="B71" s="5"/>
      <c r="C71" s="152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153" t="s">
        <v>492</v>
      </c>
      <c r="P71" s="153" t="s">
        <v>492</v>
      </c>
      <c r="R71" s="75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 t="s">
        <v>492</v>
      </c>
      <c r="AF71" s="4"/>
      <c r="AI71" s="5"/>
      <c r="AJ71" s="152"/>
      <c r="AK71" s="291"/>
      <c r="AL71" s="291"/>
      <c r="AM71" s="291"/>
      <c r="AN71" s="291"/>
      <c r="AO71" s="291"/>
      <c r="AP71" s="291"/>
      <c r="AQ71" s="291"/>
      <c r="AR71" s="291"/>
      <c r="AS71" s="291"/>
      <c r="AT71" s="291"/>
      <c r="AU71" s="291"/>
      <c r="AV71" s="153"/>
    </row>
    <row r="72" spans="2:48" ht="15.75" thickBot="1">
      <c r="B72" s="5"/>
      <c r="C72" s="152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153" t="s">
        <v>492</v>
      </c>
      <c r="P72" s="153" t="s">
        <v>492</v>
      </c>
      <c r="R72" s="7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 t="s">
        <v>492</v>
      </c>
      <c r="AF72" s="4"/>
      <c r="AI72" s="6"/>
      <c r="AJ72" s="292"/>
      <c r="AK72" s="293"/>
      <c r="AL72" s="293"/>
      <c r="AM72" s="293"/>
      <c r="AN72" s="293"/>
      <c r="AO72" s="293"/>
      <c r="AP72" s="293"/>
      <c r="AQ72" s="293"/>
      <c r="AR72" s="293"/>
      <c r="AS72" s="293"/>
      <c r="AT72" s="293"/>
      <c r="AU72" s="293"/>
      <c r="AV72" s="294"/>
    </row>
    <row r="73" spans="2:48" ht="15.75" thickBot="1">
      <c r="B73" s="5"/>
      <c r="C73" s="152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153" t="s">
        <v>492</v>
      </c>
      <c r="P73" s="153" t="s">
        <v>492</v>
      </c>
      <c r="R73" s="86"/>
      <c r="S73" s="87">
        <f>SUBTOTAL(109,TbCountProd28[US])</f>
        <v>5</v>
      </c>
      <c r="T73" s="87">
        <f>SUBTOTAL(109,TbCountProd28[UK])</f>
        <v>0</v>
      </c>
      <c r="U73" s="87">
        <f>SUBTOTAL(109,TbCountProd28[DE])</f>
        <v>0</v>
      </c>
      <c r="V73" s="87">
        <f>SUBTOTAL(109,TbCountProd28[PL])</f>
        <v>0</v>
      </c>
      <c r="W73" s="87">
        <f>SUBTOTAL(109,TbCountProd28[NL])</f>
        <v>0</v>
      </c>
      <c r="X73" s="87">
        <f>SUBTOTAL(109,TbCountProd28[MX])</f>
        <v>0</v>
      </c>
      <c r="Y73" s="87">
        <f>SUBTOTAL(109,TbCountProd28[IN])</f>
        <v>0</v>
      </c>
      <c r="Z73" s="87">
        <f>SUBTOTAL(109,TbCountProd28[EG])</f>
        <v>0</v>
      </c>
      <c r="AA73" s="87">
        <f>SUBTOTAL(109,TbCountProd28[CAN])</f>
        <v>0</v>
      </c>
      <c r="AB73" s="87">
        <f>SUBTOTAL(109,TbCountProd28[AU])</f>
        <v>0</v>
      </c>
      <c r="AC73" s="87">
        <f>SUBTOTAL(109,TbCountProd28[AE])</f>
        <v>0</v>
      </c>
      <c r="AD73" s="87">
        <f>SUBTOTAL(109,TbCountProd28[SG])</f>
        <v>0</v>
      </c>
      <c r="AE73" s="87">
        <f>SUBTOTAL(109,TbCountProd28[VN])</f>
        <v>0</v>
      </c>
      <c r="AF73" s="87"/>
      <c r="AG73" s="33">
        <f>SUM(TbCountProd28[[#Totals],[US]:[VN]])</f>
        <v>5</v>
      </c>
    </row>
    <row r="74" spans="2:48" ht="15.75" thickBot="1">
      <c r="B74" s="6"/>
      <c r="C74" s="292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 t="s">
        <v>492</v>
      </c>
      <c r="P74" s="294" t="s">
        <v>492</v>
      </c>
    </row>
    <row r="75" spans="2:48" ht="15.75" thickBot="1"/>
    <row r="76" spans="2:48" ht="15.75" thickBot="1">
      <c r="R76" s="38" t="s">
        <v>496</v>
      </c>
      <c r="S76" s="1" t="s">
        <v>98</v>
      </c>
      <c r="T76" s="1" t="s">
        <v>105</v>
      </c>
      <c r="U76" s="1" t="s">
        <v>112</v>
      </c>
      <c r="V76" s="1" t="s">
        <v>120</v>
      </c>
      <c r="W76" s="1" t="s">
        <v>125</v>
      </c>
      <c r="X76" s="1" t="s">
        <v>131</v>
      </c>
      <c r="Y76" s="1" t="s">
        <v>136</v>
      </c>
      <c r="Z76" s="1" t="s">
        <v>140</v>
      </c>
      <c r="AA76" s="1" t="s">
        <v>145</v>
      </c>
      <c r="AB76" s="1" t="s">
        <v>149</v>
      </c>
      <c r="AC76" s="71" t="s">
        <v>153</v>
      </c>
      <c r="AD76" s="71" t="s">
        <v>156</v>
      </c>
      <c r="AE76" s="71" t="s">
        <v>159</v>
      </c>
      <c r="AF76" s="71"/>
      <c r="AI76" s="38" t="s">
        <v>497</v>
      </c>
      <c r="AJ76" s="39" t="s">
        <v>98</v>
      </c>
      <c r="AK76" s="40" t="s">
        <v>105</v>
      </c>
      <c r="AL76" s="40" t="s">
        <v>112</v>
      </c>
      <c r="AM76" s="40" t="s">
        <v>120</v>
      </c>
      <c r="AN76" s="40" t="s">
        <v>125</v>
      </c>
      <c r="AO76" s="40" t="s">
        <v>131</v>
      </c>
      <c r="AP76" s="40" t="s">
        <v>136</v>
      </c>
      <c r="AQ76" s="40" t="s">
        <v>140</v>
      </c>
      <c r="AR76" s="40" t="s">
        <v>145</v>
      </c>
      <c r="AS76" s="40" t="s">
        <v>149</v>
      </c>
      <c r="AT76" s="40" t="s">
        <v>153</v>
      </c>
      <c r="AU76" s="40" t="s">
        <v>156</v>
      </c>
      <c r="AV76" s="358" t="s">
        <v>159</v>
      </c>
    </row>
    <row r="77" spans="2:48" ht="15.75" thickBot="1">
      <c r="R77" s="3" t="s">
        <v>209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/>
      <c r="AI77" s="315" t="s">
        <v>209</v>
      </c>
      <c r="AJ77" s="317">
        <v>69</v>
      </c>
      <c r="AK77" s="72">
        <v>58</v>
      </c>
      <c r="AL77" s="72">
        <v>61</v>
      </c>
      <c r="AM77" s="72">
        <v>44</v>
      </c>
      <c r="AN77" s="72">
        <v>50</v>
      </c>
      <c r="AO77" s="72">
        <v>30</v>
      </c>
      <c r="AP77" s="72">
        <v>15</v>
      </c>
      <c r="AQ77" s="72">
        <v>0</v>
      </c>
      <c r="AR77" s="72">
        <v>0</v>
      </c>
      <c r="AS77" s="72">
        <v>54</v>
      </c>
      <c r="AT77" s="72">
        <v>0</v>
      </c>
      <c r="AU77" s="72">
        <v>81</v>
      </c>
      <c r="AV77" s="318">
        <v>15</v>
      </c>
    </row>
    <row r="78" spans="2:48" ht="15.75" thickBot="1">
      <c r="B78" s="38" t="s">
        <v>130</v>
      </c>
      <c r="C78" s="39" t="s">
        <v>98</v>
      </c>
      <c r="D78" s="40" t="s">
        <v>105</v>
      </c>
      <c r="E78" s="40" t="s">
        <v>112</v>
      </c>
      <c r="F78" s="40" t="s">
        <v>120</v>
      </c>
      <c r="G78" s="40" t="s">
        <v>125</v>
      </c>
      <c r="H78" s="40" t="s">
        <v>131</v>
      </c>
      <c r="I78" s="40" t="s">
        <v>136</v>
      </c>
      <c r="J78" s="40" t="s">
        <v>140</v>
      </c>
      <c r="K78" s="40" t="s">
        <v>145</v>
      </c>
      <c r="L78" s="40" t="s">
        <v>149</v>
      </c>
      <c r="M78" s="40" t="s">
        <v>153</v>
      </c>
      <c r="N78" s="40" t="s">
        <v>156</v>
      </c>
      <c r="O78" s="358" t="s">
        <v>159</v>
      </c>
      <c r="P78" s="358" t="s">
        <v>161</v>
      </c>
      <c r="R78" s="5" t="s">
        <v>213</v>
      </c>
      <c r="S78" s="4">
        <v>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1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/>
      <c r="AI78" s="316" t="s">
        <v>213</v>
      </c>
      <c r="AJ78" s="319">
        <v>124</v>
      </c>
      <c r="AK78" s="73">
        <v>72</v>
      </c>
      <c r="AL78" s="73">
        <v>71</v>
      </c>
      <c r="AM78" s="73">
        <v>56</v>
      </c>
      <c r="AN78" s="73">
        <v>64</v>
      </c>
      <c r="AO78" s="73">
        <v>39</v>
      </c>
      <c r="AP78" s="73">
        <v>27</v>
      </c>
      <c r="AQ78" s="73">
        <v>9</v>
      </c>
      <c r="AR78" s="73">
        <v>62</v>
      </c>
      <c r="AS78" s="73">
        <v>64</v>
      </c>
      <c r="AT78" s="73">
        <v>88</v>
      </c>
      <c r="AU78" s="73">
        <v>103</v>
      </c>
      <c r="AV78" s="320">
        <v>21</v>
      </c>
    </row>
    <row r="79" spans="2:48">
      <c r="B79" s="315" t="s">
        <v>209</v>
      </c>
      <c r="C79" s="317">
        <v>0</v>
      </c>
      <c r="D79" s="72">
        <v>0</v>
      </c>
      <c r="E79" s="72">
        <v>0</v>
      </c>
      <c r="F79" s="72">
        <v>0</v>
      </c>
      <c r="G79" s="72">
        <v>0</v>
      </c>
      <c r="H79" s="72">
        <v>0</v>
      </c>
      <c r="I79" s="72">
        <v>0</v>
      </c>
      <c r="J79" s="72">
        <v>0</v>
      </c>
      <c r="K79" s="72">
        <v>0</v>
      </c>
      <c r="L79" s="72">
        <v>0</v>
      </c>
      <c r="M79" s="72">
        <v>0</v>
      </c>
      <c r="N79" s="72">
        <v>0</v>
      </c>
      <c r="O79" s="318">
        <v>0</v>
      </c>
      <c r="P79" s="318">
        <v>0</v>
      </c>
      <c r="R79" s="5" t="s">
        <v>217</v>
      </c>
      <c r="S79" s="4">
        <v>3</v>
      </c>
      <c r="T79" s="4">
        <v>7</v>
      </c>
      <c r="U79" s="4">
        <v>0</v>
      </c>
      <c r="V79" s="4">
        <v>0</v>
      </c>
      <c r="W79" s="4">
        <v>0</v>
      </c>
      <c r="X79" s="4">
        <v>0</v>
      </c>
      <c r="Y79" s="4">
        <v>11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/>
      <c r="AI79" s="316" t="s">
        <v>217</v>
      </c>
      <c r="AJ79" s="319">
        <v>149</v>
      </c>
      <c r="AK79" s="73">
        <v>98</v>
      </c>
      <c r="AL79" s="73">
        <v>88</v>
      </c>
      <c r="AM79" s="73">
        <v>68</v>
      </c>
      <c r="AN79" s="73">
        <v>84</v>
      </c>
      <c r="AO79" s="73">
        <v>53</v>
      </c>
      <c r="AP79" s="73">
        <v>32</v>
      </c>
      <c r="AQ79" s="73">
        <v>15</v>
      </c>
      <c r="AR79" s="73">
        <v>76</v>
      </c>
      <c r="AS79" s="73">
        <v>88</v>
      </c>
      <c r="AT79" s="73">
        <v>107</v>
      </c>
      <c r="AU79" s="73">
        <v>116</v>
      </c>
      <c r="AV79" s="320">
        <v>29</v>
      </c>
    </row>
    <row r="80" spans="2:48">
      <c r="B80" s="316" t="s">
        <v>213</v>
      </c>
      <c r="C80" s="319">
        <v>187</v>
      </c>
      <c r="D80" s="73">
        <v>0</v>
      </c>
      <c r="E80" s="73">
        <v>0</v>
      </c>
      <c r="F80" s="73">
        <v>0</v>
      </c>
      <c r="G80" s="73">
        <v>0</v>
      </c>
      <c r="H80" s="73">
        <v>0</v>
      </c>
      <c r="I80" s="73">
        <v>40</v>
      </c>
      <c r="J80" s="73">
        <v>0</v>
      </c>
      <c r="K80" s="73">
        <v>0</v>
      </c>
      <c r="L80" s="73">
        <v>0</v>
      </c>
      <c r="M80" s="73">
        <v>0</v>
      </c>
      <c r="N80" s="73">
        <v>0</v>
      </c>
      <c r="O80" s="320">
        <v>0</v>
      </c>
      <c r="P80" s="320">
        <v>0</v>
      </c>
      <c r="R80" s="5" t="s">
        <v>221</v>
      </c>
      <c r="S80" s="4">
        <v>2</v>
      </c>
      <c r="T80" s="4">
        <v>2</v>
      </c>
      <c r="U80" s="4">
        <v>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/>
      <c r="AI80" s="316" t="s">
        <v>221</v>
      </c>
      <c r="AJ80" s="319">
        <v>169</v>
      </c>
      <c r="AK80" s="73">
        <v>128</v>
      </c>
      <c r="AL80" s="73">
        <v>118</v>
      </c>
      <c r="AM80" s="73">
        <v>86</v>
      </c>
      <c r="AN80" s="73">
        <v>121</v>
      </c>
      <c r="AO80" s="73">
        <v>82</v>
      </c>
      <c r="AP80" s="73">
        <v>40</v>
      </c>
      <c r="AQ80" s="73">
        <v>19</v>
      </c>
      <c r="AR80" s="73">
        <v>96</v>
      </c>
      <c r="AS80" s="73">
        <v>132</v>
      </c>
      <c r="AT80" s="73">
        <v>160</v>
      </c>
      <c r="AU80" s="73">
        <v>135</v>
      </c>
      <c r="AV80" s="320">
        <v>34</v>
      </c>
    </row>
    <row r="81" spans="2:49">
      <c r="B81" s="316" t="s">
        <v>217</v>
      </c>
      <c r="C81" s="319">
        <v>225</v>
      </c>
      <c r="D81" s="73">
        <v>148</v>
      </c>
      <c r="E81" s="73">
        <v>0</v>
      </c>
      <c r="F81" s="73">
        <v>0</v>
      </c>
      <c r="G81" s="73">
        <v>0</v>
      </c>
      <c r="H81" s="73">
        <v>0</v>
      </c>
      <c r="I81" s="73">
        <v>48</v>
      </c>
      <c r="J81" s="73">
        <v>0</v>
      </c>
      <c r="K81" s="73">
        <v>0</v>
      </c>
      <c r="L81" s="73">
        <v>0</v>
      </c>
      <c r="M81" s="73">
        <v>0</v>
      </c>
      <c r="N81" s="73">
        <v>0</v>
      </c>
      <c r="O81" s="320">
        <v>0</v>
      </c>
      <c r="P81" s="320">
        <v>0</v>
      </c>
      <c r="R81" s="5" t="s">
        <v>127</v>
      </c>
      <c r="S81" s="4">
        <v>0</v>
      </c>
      <c r="T81" s="4">
        <v>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/>
      <c r="AI81" s="316" t="s">
        <v>127</v>
      </c>
      <c r="AJ81" s="319">
        <v>210</v>
      </c>
      <c r="AK81" s="73">
        <v>189</v>
      </c>
      <c r="AL81" s="73">
        <v>147</v>
      </c>
      <c r="AM81" s="73">
        <v>107</v>
      </c>
      <c r="AN81" s="73">
        <v>150</v>
      </c>
      <c r="AO81" s="73">
        <v>102</v>
      </c>
      <c r="AP81" s="73">
        <v>0</v>
      </c>
      <c r="AQ81" s="73">
        <v>0</v>
      </c>
      <c r="AR81" s="73">
        <v>154</v>
      </c>
      <c r="AS81" s="73">
        <v>0</v>
      </c>
      <c r="AT81" s="73">
        <v>199</v>
      </c>
      <c r="AU81" s="73">
        <v>235</v>
      </c>
      <c r="AV81" s="320">
        <v>0</v>
      </c>
    </row>
    <row r="82" spans="2:49">
      <c r="B82" s="316" t="s">
        <v>221</v>
      </c>
      <c r="C82" s="319">
        <v>250</v>
      </c>
      <c r="D82" s="73">
        <v>195</v>
      </c>
      <c r="E82" s="73">
        <v>178</v>
      </c>
      <c r="F82" s="73">
        <v>0</v>
      </c>
      <c r="G82" s="73">
        <v>0</v>
      </c>
      <c r="H82" s="73">
        <v>0</v>
      </c>
      <c r="I82" s="73">
        <v>0</v>
      </c>
      <c r="J82" s="73">
        <v>0</v>
      </c>
      <c r="K82" s="73">
        <v>0</v>
      </c>
      <c r="L82" s="73">
        <v>0</v>
      </c>
      <c r="M82" s="73">
        <v>0</v>
      </c>
      <c r="N82" s="73">
        <v>0</v>
      </c>
      <c r="O82" s="320">
        <v>0</v>
      </c>
      <c r="P82" s="320">
        <v>0</v>
      </c>
      <c r="R82" s="5" t="s">
        <v>117</v>
      </c>
      <c r="S82" s="4">
        <v>0</v>
      </c>
      <c r="T82" s="4">
        <v>3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/>
      <c r="AI82" s="316" t="s">
        <v>117</v>
      </c>
      <c r="AJ82" s="319">
        <v>0</v>
      </c>
      <c r="AK82" s="73">
        <v>98</v>
      </c>
      <c r="AL82" s="73">
        <v>0</v>
      </c>
      <c r="AM82" s="73">
        <v>0</v>
      </c>
      <c r="AN82" s="73">
        <v>56</v>
      </c>
      <c r="AO82" s="73">
        <v>0</v>
      </c>
      <c r="AP82" s="73">
        <v>25</v>
      </c>
      <c r="AQ82" s="73">
        <v>0</v>
      </c>
      <c r="AR82" s="73">
        <v>0</v>
      </c>
      <c r="AS82" s="73">
        <v>0</v>
      </c>
      <c r="AT82" s="73">
        <v>0</v>
      </c>
      <c r="AU82" s="73">
        <v>0</v>
      </c>
      <c r="AV82" s="320">
        <v>0</v>
      </c>
    </row>
    <row r="83" spans="2:49">
      <c r="B83" s="316" t="s">
        <v>127</v>
      </c>
      <c r="C83" s="319">
        <v>0</v>
      </c>
      <c r="D83" s="73">
        <v>287</v>
      </c>
      <c r="E83" s="73">
        <v>0</v>
      </c>
      <c r="F83" s="73">
        <v>0</v>
      </c>
      <c r="G83" s="73">
        <v>0</v>
      </c>
      <c r="H83" s="73">
        <v>0</v>
      </c>
      <c r="I83" s="73">
        <v>0</v>
      </c>
      <c r="J83" s="73">
        <v>0</v>
      </c>
      <c r="K83" s="73">
        <v>0</v>
      </c>
      <c r="L83" s="73">
        <v>0</v>
      </c>
      <c r="M83" s="73">
        <v>0</v>
      </c>
      <c r="N83" s="73">
        <v>0</v>
      </c>
      <c r="O83" s="320">
        <v>0</v>
      </c>
      <c r="P83" s="320">
        <v>0</v>
      </c>
      <c r="R83" s="5" t="s">
        <v>189</v>
      </c>
      <c r="S83" s="4">
        <v>0</v>
      </c>
      <c r="T83" s="4">
        <v>2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/>
      <c r="AI83" s="316" t="s">
        <v>189</v>
      </c>
      <c r="AJ83" s="319">
        <v>143</v>
      </c>
      <c r="AK83" s="73">
        <v>142</v>
      </c>
      <c r="AL83" s="73">
        <v>0</v>
      </c>
      <c r="AM83" s="73">
        <v>0</v>
      </c>
      <c r="AN83" s="73">
        <v>103</v>
      </c>
      <c r="AO83" s="73">
        <v>0</v>
      </c>
      <c r="AP83" s="73">
        <v>32</v>
      </c>
      <c r="AQ83" s="73">
        <v>0</v>
      </c>
      <c r="AR83" s="73">
        <v>0</v>
      </c>
      <c r="AS83" s="73">
        <v>142</v>
      </c>
      <c r="AT83" s="73">
        <v>0</v>
      </c>
      <c r="AU83" s="73">
        <v>0</v>
      </c>
      <c r="AV83" s="320">
        <v>0</v>
      </c>
    </row>
    <row r="84" spans="2:49">
      <c r="B84" s="316" t="s">
        <v>117</v>
      </c>
      <c r="C84" s="319">
        <v>0</v>
      </c>
      <c r="D84" s="73">
        <v>148</v>
      </c>
      <c r="E84" s="73">
        <v>0</v>
      </c>
      <c r="F84" s="73">
        <v>0</v>
      </c>
      <c r="G84" s="73">
        <v>0</v>
      </c>
      <c r="H84" s="73">
        <v>0</v>
      </c>
      <c r="I84" s="73">
        <v>0</v>
      </c>
      <c r="J84" s="73">
        <v>0</v>
      </c>
      <c r="K84" s="73">
        <v>0</v>
      </c>
      <c r="L84" s="73">
        <v>0</v>
      </c>
      <c r="M84" s="73">
        <v>0</v>
      </c>
      <c r="N84" s="73">
        <v>0</v>
      </c>
      <c r="O84" s="320">
        <v>0</v>
      </c>
      <c r="P84" s="320">
        <v>0</v>
      </c>
      <c r="R84" s="5" t="s">
        <v>148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/>
      <c r="AI84" s="316" t="s">
        <v>148</v>
      </c>
      <c r="AJ84" s="319">
        <v>103</v>
      </c>
      <c r="AK84" s="73">
        <v>78</v>
      </c>
      <c r="AL84" s="73">
        <v>78</v>
      </c>
      <c r="AM84" s="73">
        <v>0</v>
      </c>
      <c r="AN84" s="73">
        <v>0</v>
      </c>
      <c r="AO84" s="73">
        <v>0</v>
      </c>
      <c r="AP84" s="73">
        <v>17</v>
      </c>
      <c r="AQ84" s="73">
        <v>0</v>
      </c>
      <c r="AR84" s="73">
        <v>0</v>
      </c>
      <c r="AS84" s="73">
        <v>0</v>
      </c>
      <c r="AT84" s="73">
        <v>0</v>
      </c>
      <c r="AU84" s="73">
        <v>0</v>
      </c>
      <c r="AV84" s="320">
        <v>0</v>
      </c>
    </row>
    <row r="85" spans="2:49">
      <c r="B85" s="316" t="s">
        <v>189</v>
      </c>
      <c r="C85" s="319">
        <v>0</v>
      </c>
      <c r="D85" s="73">
        <v>215</v>
      </c>
      <c r="E85" s="73">
        <v>0</v>
      </c>
      <c r="F85" s="73">
        <v>0</v>
      </c>
      <c r="G85" s="73">
        <v>0</v>
      </c>
      <c r="H85" s="73">
        <v>0</v>
      </c>
      <c r="I85" s="73">
        <v>0</v>
      </c>
      <c r="J85" s="73">
        <v>0</v>
      </c>
      <c r="K85" s="73">
        <v>0</v>
      </c>
      <c r="L85" s="73">
        <v>0</v>
      </c>
      <c r="M85" s="73">
        <v>0</v>
      </c>
      <c r="N85" s="73">
        <v>0</v>
      </c>
      <c r="O85" s="320">
        <v>0</v>
      </c>
      <c r="P85" s="320">
        <v>0</v>
      </c>
      <c r="R85" s="5" t="s">
        <v>181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  <c r="X85" s="4">
        <v>0</v>
      </c>
      <c r="Y85" s="4">
        <v>3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/>
      <c r="AI85" s="316" t="s">
        <v>181</v>
      </c>
      <c r="AJ85" s="319">
        <v>0</v>
      </c>
      <c r="AK85" s="73">
        <v>42</v>
      </c>
      <c r="AL85" s="73">
        <v>0</v>
      </c>
      <c r="AM85" s="73">
        <v>0</v>
      </c>
      <c r="AN85" s="73">
        <v>0</v>
      </c>
      <c r="AO85" s="73">
        <v>0</v>
      </c>
      <c r="AP85" s="73">
        <v>11</v>
      </c>
      <c r="AQ85" s="73">
        <v>0</v>
      </c>
      <c r="AR85" s="73">
        <v>0</v>
      </c>
      <c r="AS85" s="73">
        <v>0</v>
      </c>
      <c r="AT85" s="73">
        <v>0</v>
      </c>
      <c r="AU85" s="73">
        <v>0</v>
      </c>
      <c r="AV85" s="320">
        <v>0</v>
      </c>
    </row>
    <row r="86" spans="2:49">
      <c r="B86" s="316" t="s">
        <v>148</v>
      </c>
      <c r="C86" s="319">
        <v>0</v>
      </c>
      <c r="D86" s="73">
        <v>0</v>
      </c>
      <c r="E86" s="73">
        <v>0</v>
      </c>
      <c r="F86" s="73">
        <v>0</v>
      </c>
      <c r="G86" s="73">
        <v>0</v>
      </c>
      <c r="H86" s="73">
        <v>0</v>
      </c>
      <c r="I86" s="73">
        <v>0</v>
      </c>
      <c r="J86" s="73">
        <v>0</v>
      </c>
      <c r="K86" s="73">
        <v>0</v>
      </c>
      <c r="L86" s="73">
        <v>0</v>
      </c>
      <c r="M86" s="73">
        <v>0</v>
      </c>
      <c r="N86" s="73">
        <v>0</v>
      </c>
      <c r="O86" s="320">
        <v>0</v>
      </c>
      <c r="P86" s="320">
        <v>0</v>
      </c>
      <c r="R86" s="5" t="s">
        <v>183</v>
      </c>
      <c r="S86" s="4">
        <v>0</v>
      </c>
      <c r="T86" s="4">
        <v>2</v>
      </c>
      <c r="U86" s="4">
        <v>0</v>
      </c>
      <c r="V86" s="4">
        <v>0</v>
      </c>
      <c r="W86" s="4">
        <v>0</v>
      </c>
      <c r="X86" s="4">
        <v>0</v>
      </c>
      <c r="Y86" s="4">
        <v>3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/>
      <c r="AI86" s="316" t="s">
        <v>183</v>
      </c>
      <c r="AJ86" s="319">
        <v>99</v>
      </c>
      <c r="AK86" s="73">
        <v>89</v>
      </c>
      <c r="AL86" s="73">
        <v>66</v>
      </c>
      <c r="AM86" s="73">
        <v>40</v>
      </c>
      <c r="AN86" s="73">
        <v>69</v>
      </c>
      <c r="AO86" s="73">
        <v>0</v>
      </c>
      <c r="AP86" s="73">
        <v>27</v>
      </c>
      <c r="AQ86" s="73">
        <v>0</v>
      </c>
      <c r="AR86" s="73">
        <v>0</v>
      </c>
      <c r="AS86" s="73">
        <v>0</v>
      </c>
      <c r="AT86" s="73">
        <v>0</v>
      </c>
      <c r="AU86" s="73">
        <v>0</v>
      </c>
      <c r="AV86" s="320">
        <v>16</v>
      </c>
    </row>
    <row r="87" spans="2:49">
      <c r="B87" s="316" t="s">
        <v>181</v>
      </c>
      <c r="C87" s="319">
        <v>0</v>
      </c>
      <c r="D87" s="73">
        <v>63</v>
      </c>
      <c r="E87" s="73">
        <v>0</v>
      </c>
      <c r="F87" s="73">
        <v>0</v>
      </c>
      <c r="G87" s="73">
        <v>0</v>
      </c>
      <c r="H87" s="73">
        <v>0</v>
      </c>
      <c r="I87" s="73">
        <v>17</v>
      </c>
      <c r="J87" s="73">
        <v>0</v>
      </c>
      <c r="K87" s="73">
        <v>0</v>
      </c>
      <c r="L87" s="73">
        <v>0</v>
      </c>
      <c r="M87" s="73">
        <v>0</v>
      </c>
      <c r="N87" s="73">
        <v>0</v>
      </c>
      <c r="O87" s="320">
        <v>0</v>
      </c>
      <c r="P87" s="320">
        <v>0</v>
      </c>
      <c r="R87" s="314" t="s">
        <v>239</v>
      </c>
      <c r="S87" s="4">
        <v>0</v>
      </c>
      <c r="T87" s="4">
        <v>1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/>
      <c r="AI87" s="312" t="s">
        <v>239</v>
      </c>
      <c r="AJ87" s="321">
        <v>0</v>
      </c>
      <c r="AK87" s="240">
        <v>106</v>
      </c>
      <c r="AL87" s="240">
        <v>91</v>
      </c>
      <c r="AM87" s="240">
        <v>0</v>
      </c>
      <c r="AN87" s="240">
        <v>88</v>
      </c>
      <c r="AO87" s="240">
        <v>0</v>
      </c>
      <c r="AP87" s="240">
        <v>28</v>
      </c>
      <c r="AQ87" s="240">
        <v>0</v>
      </c>
      <c r="AR87" s="240">
        <v>0</v>
      </c>
      <c r="AS87" s="240">
        <v>98</v>
      </c>
      <c r="AT87" s="240">
        <v>0</v>
      </c>
      <c r="AU87" s="240">
        <v>88</v>
      </c>
      <c r="AV87" s="322">
        <v>22</v>
      </c>
    </row>
    <row r="88" spans="2:49" ht="15.75" thickBot="1">
      <c r="B88" s="316" t="s">
        <v>183</v>
      </c>
      <c r="C88" s="319">
        <v>0</v>
      </c>
      <c r="D88" s="73">
        <v>133</v>
      </c>
      <c r="E88" s="73">
        <v>0</v>
      </c>
      <c r="F88" s="73">
        <v>0</v>
      </c>
      <c r="G88" s="73">
        <v>0</v>
      </c>
      <c r="H88" s="73">
        <v>0</v>
      </c>
      <c r="I88" s="73">
        <v>40</v>
      </c>
      <c r="J88" s="73">
        <v>0</v>
      </c>
      <c r="K88" s="73">
        <v>0</v>
      </c>
      <c r="L88" s="73">
        <v>0</v>
      </c>
      <c r="M88" s="73">
        <v>0</v>
      </c>
      <c r="N88" s="73">
        <v>0</v>
      </c>
      <c r="O88" s="320">
        <v>0</v>
      </c>
      <c r="P88" s="320">
        <v>0</v>
      </c>
      <c r="R88" s="85" t="s">
        <v>180</v>
      </c>
      <c r="S88" s="4">
        <v>0</v>
      </c>
      <c r="T88" s="4">
        <v>2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/>
      <c r="AI88" s="313" t="s">
        <v>180</v>
      </c>
      <c r="AJ88" s="323">
        <v>116</v>
      </c>
      <c r="AK88" s="324">
        <v>133</v>
      </c>
      <c r="AL88" s="324">
        <v>129</v>
      </c>
      <c r="AM88" s="324">
        <v>0</v>
      </c>
      <c r="AN88" s="324">
        <v>135</v>
      </c>
      <c r="AO88" s="324">
        <v>27</v>
      </c>
      <c r="AP88" s="324">
        <v>0</v>
      </c>
      <c r="AQ88" s="324">
        <v>17</v>
      </c>
      <c r="AR88" s="324">
        <v>0</v>
      </c>
      <c r="AS88" s="324">
        <v>121</v>
      </c>
      <c r="AT88" s="324">
        <v>139</v>
      </c>
      <c r="AU88" s="324">
        <v>0</v>
      </c>
      <c r="AV88" s="325">
        <v>0</v>
      </c>
    </row>
    <row r="89" spans="2:49" ht="15.75" thickBot="1">
      <c r="B89" s="312" t="s">
        <v>239</v>
      </c>
      <c r="C89" s="321">
        <v>0</v>
      </c>
      <c r="D89" s="240">
        <v>160</v>
      </c>
      <c r="E89" s="240">
        <v>0</v>
      </c>
      <c r="F89" s="240">
        <v>0</v>
      </c>
      <c r="G89" s="240">
        <v>0</v>
      </c>
      <c r="H89" s="240">
        <v>0</v>
      </c>
      <c r="I89" s="240">
        <v>0</v>
      </c>
      <c r="J89" s="240">
        <v>0</v>
      </c>
      <c r="K89" s="240">
        <v>0</v>
      </c>
      <c r="L89" s="240">
        <v>0</v>
      </c>
      <c r="M89" s="240">
        <v>0</v>
      </c>
      <c r="N89" s="240">
        <v>0</v>
      </c>
      <c r="O89" s="322">
        <v>0</v>
      </c>
      <c r="P89" s="322">
        <v>0</v>
      </c>
      <c r="R89" s="86"/>
      <c r="S89" s="87">
        <f>SUBTOTAL(109,TbCountPvtCld30[US])</f>
        <v>7</v>
      </c>
      <c r="T89" s="87">
        <f>SUBTOTAL(109,TbCountPvtCld30[UK])</f>
        <v>21</v>
      </c>
      <c r="U89" s="87">
        <f>SUBTOTAL(109,TbCountPvtCld30[DE])</f>
        <v>1</v>
      </c>
      <c r="V89" s="87">
        <f>SUBTOTAL(109,TbCountPvtCld30[PL])</f>
        <v>0</v>
      </c>
      <c r="W89" s="87">
        <f>SUBTOTAL(109,TbCountPvtCld30[NL])</f>
        <v>0</v>
      </c>
      <c r="X89" s="87">
        <f>SUBTOTAL(109,TbCountPvtCld30[MX])</f>
        <v>0</v>
      </c>
      <c r="Y89" s="87">
        <f>SUBTOTAL(109,TbCountPvtCld30[IN])</f>
        <v>18</v>
      </c>
      <c r="Z89" s="87">
        <f>SUBTOTAL(109,TbCountPvtCld30[EG])</f>
        <v>0</v>
      </c>
      <c r="AA89" s="87">
        <f>SUBTOTAL(109,TbCountPvtCld30[CAN])</f>
        <v>0</v>
      </c>
      <c r="AB89" s="87">
        <f>SUBTOTAL(109,TbCountPvtCld30[AU])</f>
        <v>0</v>
      </c>
      <c r="AC89" s="87">
        <f>SUBTOTAL(109,TbCountPvtCld30[AE])</f>
        <v>0</v>
      </c>
      <c r="AD89" s="87">
        <f>SUBTOTAL(109,TbCountPvtCld30[SG])</f>
        <v>0</v>
      </c>
      <c r="AE89" s="87">
        <f>SUBTOTAL(109,TbCountPvtCld30[VN])</f>
        <v>0</v>
      </c>
      <c r="AF89" s="87"/>
      <c r="AG89" s="348">
        <f>SUM(TbCountPvtCld30[[#Totals],[US]:[VN]])</f>
        <v>47</v>
      </c>
      <c r="AM89" s="409"/>
    </row>
    <row r="90" spans="2:49" ht="15.75" thickBot="1">
      <c r="B90" s="313" t="s">
        <v>180</v>
      </c>
      <c r="C90" s="323">
        <v>0</v>
      </c>
      <c r="D90" s="324">
        <v>202</v>
      </c>
      <c r="E90" s="324">
        <v>0</v>
      </c>
      <c r="F90" s="324">
        <v>0</v>
      </c>
      <c r="G90" s="324">
        <v>0</v>
      </c>
      <c r="H90" s="324">
        <v>0</v>
      </c>
      <c r="I90" s="324">
        <v>0</v>
      </c>
      <c r="J90" s="324">
        <v>0</v>
      </c>
      <c r="K90" s="324">
        <v>0</v>
      </c>
      <c r="L90" s="324">
        <v>0</v>
      </c>
      <c r="M90" s="324">
        <v>0</v>
      </c>
      <c r="N90" s="324">
        <v>0</v>
      </c>
      <c r="O90" s="325">
        <v>0</v>
      </c>
      <c r="P90" s="325">
        <v>0</v>
      </c>
    </row>
    <row r="92" spans="2:49" ht="15.75" thickBot="1"/>
    <row r="93" spans="2:49" ht="15.75" thickBot="1">
      <c r="R93" s="79" t="s">
        <v>498</v>
      </c>
      <c r="S93" s="1" t="s">
        <v>98</v>
      </c>
      <c r="T93" s="1" t="s">
        <v>105</v>
      </c>
      <c r="U93" s="1" t="s">
        <v>112</v>
      </c>
      <c r="V93" s="1" t="s">
        <v>120</v>
      </c>
      <c r="W93" s="1" t="s">
        <v>125</v>
      </c>
      <c r="X93" s="1" t="s">
        <v>131</v>
      </c>
      <c r="Y93" s="1" t="s">
        <v>136</v>
      </c>
      <c r="Z93" s="1" t="s">
        <v>140</v>
      </c>
      <c r="AA93" s="1" t="s">
        <v>145</v>
      </c>
      <c r="AB93" s="1" t="s">
        <v>149</v>
      </c>
      <c r="AC93" s="71" t="s">
        <v>153</v>
      </c>
      <c r="AD93" s="71" t="s">
        <v>156</v>
      </c>
      <c r="AE93" s="408" t="s">
        <v>159</v>
      </c>
      <c r="AF93" s="408" t="s">
        <v>161</v>
      </c>
      <c r="AI93" s="28" t="s">
        <v>499</v>
      </c>
      <c r="AJ93" s="29" t="s">
        <v>98</v>
      </c>
      <c r="AK93" s="30" t="s">
        <v>105</v>
      </c>
      <c r="AL93" s="30" t="s">
        <v>112</v>
      </c>
      <c r="AM93" s="30" t="s">
        <v>120</v>
      </c>
      <c r="AN93" s="30" t="s">
        <v>125</v>
      </c>
      <c r="AO93" s="30" t="s">
        <v>131</v>
      </c>
      <c r="AP93" s="30" t="s">
        <v>136</v>
      </c>
      <c r="AQ93" s="30" t="s">
        <v>140</v>
      </c>
      <c r="AR93" s="30" t="s">
        <v>145</v>
      </c>
      <c r="AS93" s="30" t="s">
        <v>149</v>
      </c>
      <c r="AT93" s="30" t="s">
        <v>153</v>
      </c>
      <c r="AU93" s="30" t="s">
        <v>156</v>
      </c>
      <c r="AV93" s="410" t="s">
        <v>159</v>
      </c>
      <c r="AW93" s="410" t="s">
        <v>161</v>
      </c>
    </row>
    <row r="94" spans="2:49" ht="15.75" thickBot="1">
      <c r="R94" s="3" t="s">
        <v>209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/>
      <c r="AI94" s="315" t="s">
        <v>209</v>
      </c>
      <c r="AJ94" s="317">
        <v>69</v>
      </c>
      <c r="AK94" s="72">
        <v>58</v>
      </c>
      <c r="AL94" s="72">
        <v>61</v>
      </c>
      <c r="AM94" s="72">
        <v>44</v>
      </c>
      <c r="AN94" s="72">
        <v>50</v>
      </c>
      <c r="AO94" s="72">
        <v>30</v>
      </c>
      <c r="AP94" s="72">
        <v>15</v>
      </c>
      <c r="AQ94" s="72">
        <v>0</v>
      </c>
      <c r="AR94" s="72">
        <v>0</v>
      </c>
      <c r="AS94" s="72">
        <v>54</v>
      </c>
      <c r="AT94" s="72">
        <v>0</v>
      </c>
      <c r="AU94" s="72">
        <v>81</v>
      </c>
      <c r="AV94" s="318">
        <v>0</v>
      </c>
      <c r="AW94" s="318">
        <v>0</v>
      </c>
    </row>
    <row r="95" spans="2:49" ht="15.75" thickBot="1">
      <c r="B95" s="28" t="s">
        <v>460</v>
      </c>
      <c r="C95" s="29" t="s">
        <v>98</v>
      </c>
      <c r="D95" s="30" t="s">
        <v>105</v>
      </c>
      <c r="E95" s="30" t="s">
        <v>112</v>
      </c>
      <c r="F95" s="30" t="s">
        <v>120</v>
      </c>
      <c r="G95" s="30" t="s">
        <v>125</v>
      </c>
      <c r="H95" s="30" t="s">
        <v>131</v>
      </c>
      <c r="I95" s="30" t="s">
        <v>136</v>
      </c>
      <c r="J95" s="30" t="s">
        <v>140</v>
      </c>
      <c r="K95" s="30" t="s">
        <v>145</v>
      </c>
      <c r="L95" s="30" t="s">
        <v>149</v>
      </c>
      <c r="M95" s="30" t="s">
        <v>153</v>
      </c>
      <c r="N95" s="30" t="s">
        <v>156</v>
      </c>
      <c r="O95" s="30" t="s">
        <v>159</v>
      </c>
      <c r="P95" s="405" t="s">
        <v>161</v>
      </c>
      <c r="R95" s="5" t="s">
        <v>213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1</v>
      </c>
      <c r="Z95" s="4">
        <v>0</v>
      </c>
      <c r="AA95" s="4">
        <v>0</v>
      </c>
      <c r="AB95" s="4">
        <v>0</v>
      </c>
      <c r="AC95" s="4">
        <v>1</v>
      </c>
      <c r="AD95" s="4">
        <v>0</v>
      </c>
      <c r="AE95" s="4">
        <v>0</v>
      </c>
      <c r="AF95" s="4">
        <v>0</v>
      </c>
      <c r="AG95" s="4"/>
      <c r="AI95" s="316" t="s">
        <v>213</v>
      </c>
      <c r="AJ95" s="319">
        <v>96</v>
      </c>
      <c r="AK95" s="73">
        <v>72</v>
      </c>
      <c r="AL95" s="73">
        <v>71</v>
      </c>
      <c r="AM95" s="73">
        <v>56</v>
      </c>
      <c r="AN95" s="73">
        <v>64</v>
      </c>
      <c r="AO95" s="73">
        <v>39</v>
      </c>
      <c r="AP95" s="73">
        <v>25</v>
      </c>
      <c r="AQ95" s="73">
        <v>9</v>
      </c>
      <c r="AR95" s="73">
        <v>62</v>
      </c>
      <c r="AS95" s="73">
        <v>64</v>
      </c>
      <c r="AT95" s="73">
        <v>75</v>
      </c>
      <c r="AU95" s="73">
        <v>103</v>
      </c>
      <c r="AV95" s="320">
        <v>0</v>
      </c>
      <c r="AW95" s="320">
        <v>0</v>
      </c>
    </row>
    <row r="96" spans="2:49">
      <c r="B96" s="315" t="s">
        <v>209</v>
      </c>
      <c r="C96" s="317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318">
        <v>0</v>
      </c>
      <c r="P96" s="318">
        <v>0</v>
      </c>
      <c r="R96" s="5" t="s">
        <v>217</v>
      </c>
      <c r="S96" s="4">
        <v>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/>
      <c r="AI96" s="316" t="s">
        <v>217</v>
      </c>
      <c r="AJ96" s="319">
        <v>89</v>
      </c>
      <c r="AK96" s="73">
        <v>99</v>
      </c>
      <c r="AL96" s="73">
        <v>88</v>
      </c>
      <c r="AM96" s="73">
        <v>68</v>
      </c>
      <c r="AN96" s="73">
        <v>84</v>
      </c>
      <c r="AO96" s="73">
        <v>53</v>
      </c>
      <c r="AP96" s="73">
        <v>43</v>
      </c>
      <c r="AQ96" s="73">
        <v>15</v>
      </c>
      <c r="AR96" s="73">
        <v>76</v>
      </c>
      <c r="AS96" s="73">
        <v>88</v>
      </c>
      <c r="AT96" s="73">
        <v>107</v>
      </c>
      <c r="AU96" s="73">
        <v>116</v>
      </c>
      <c r="AV96" s="320">
        <v>0</v>
      </c>
      <c r="AW96" s="320">
        <v>0</v>
      </c>
    </row>
    <row r="97" spans="2:49">
      <c r="B97" s="316" t="s">
        <v>213</v>
      </c>
      <c r="C97" s="319">
        <v>0</v>
      </c>
      <c r="D97" s="73">
        <v>0</v>
      </c>
      <c r="E97" s="73">
        <v>0</v>
      </c>
      <c r="F97" s="73">
        <v>0</v>
      </c>
      <c r="G97" s="73">
        <v>0</v>
      </c>
      <c r="H97" s="73">
        <v>0</v>
      </c>
      <c r="I97" s="73">
        <v>42</v>
      </c>
      <c r="J97" s="73">
        <v>0</v>
      </c>
      <c r="K97" s="73">
        <v>0</v>
      </c>
      <c r="L97" s="73">
        <v>0</v>
      </c>
      <c r="M97" s="73">
        <v>125</v>
      </c>
      <c r="N97" s="73">
        <v>0</v>
      </c>
      <c r="O97" s="320">
        <v>0</v>
      </c>
      <c r="P97" s="320">
        <v>0</v>
      </c>
      <c r="R97" s="5" t="s">
        <v>221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4</v>
      </c>
      <c r="AD97" s="4">
        <v>0</v>
      </c>
      <c r="AE97" s="4">
        <v>0</v>
      </c>
      <c r="AF97" s="4">
        <v>0</v>
      </c>
      <c r="AG97" s="4"/>
      <c r="AI97" s="316" t="s">
        <v>221</v>
      </c>
      <c r="AJ97" s="319">
        <v>159</v>
      </c>
      <c r="AK97" s="73">
        <v>122</v>
      </c>
      <c r="AL97" s="73">
        <v>131</v>
      </c>
      <c r="AM97" s="73">
        <v>86</v>
      </c>
      <c r="AN97" s="73">
        <v>121</v>
      </c>
      <c r="AO97" s="73">
        <v>82</v>
      </c>
      <c r="AP97" s="73">
        <v>40</v>
      </c>
      <c r="AQ97" s="73">
        <v>19</v>
      </c>
      <c r="AR97" s="73">
        <v>96</v>
      </c>
      <c r="AS97" s="73">
        <v>132</v>
      </c>
      <c r="AT97" s="73">
        <v>113</v>
      </c>
      <c r="AU97" s="73">
        <v>135</v>
      </c>
      <c r="AV97" s="320">
        <v>0</v>
      </c>
      <c r="AW97" s="320">
        <v>0</v>
      </c>
    </row>
    <row r="98" spans="2:49">
      <c r="B98" s="316" t="s">
        <v>217</v>
      </c>
      <c r="C98" s="319">
        <v>148</v>
      </c>
      <c r="D98" s="73">
        <v>0</v>
      </c>
      <c r="E98" s="73">
        <v>0</v>
      </c>
      <c r="F98" s="73">
        <v>0</v>
      </c>
      <c r="G98" s="73">
        <v>0</v>
      </c>
      <c r="H98" s="73">
        <v>0</v>
      </c>
      <c r="I98" s="73">
        <v>72</v>
      </c>
      <c r="J98" s="73">
        <v>0</v>
      </c>
      <c r="K98" s="73">
        <v>0</v>
      </c>
      <c r="L98" s="73">
        <v>0</v>
      </c>
      <c r="M98" s="73">
        <v>0</v>
      </c>
      <c r="N98" s="73">
        <v>0</v>
      </c>
      <c r="O98" s="320">
        <v>0</v>
      </c>
      <c r="P98" s="320">
        <v>0</v>
      </c>
      <c r="R98" s="5" t="s">
        <v>127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1</v>
      </c>
      <c r="Z98" s="4">
        <v>0</v>
      </c>
      <c r="AA98" s="4">
        <v>0</v>
      </c>
      <c r="AB98" s="4">
        <v>0</v>
      </c>
      <c r="AC98" s="4">
        <v>2</v>
      </c>
      <c r="AD98" s="4">
        <v>0</v>
      </c>
      <c r="AE98" s="4">
        <v>0</v>
      </c>
      <c r="AF98" s="4">
        <v>0</v>
      </c>
      <c r="AG98" s="4"/>
      <c r="AI98" s="316" t="s">
        <v>127</v>
      </c>
      <c r="AJ98" s="319">
        <v>210</v>
      </c>
      <c r="AK98" s="73">
        <v>161</v>
      </c>
      <c r="AL98" s="73">
        <v>173</v>
      </c>
      <c r="AM98" s="73">
        <v>113</v>
      </c>
      <c r="AN98" s="73">
        <v>159</v>
      </c>
      <c r="AO98" s="73">
        <v>108</v>
      </c>
      <c r="AP98" s="73">
        <v>47</v>
      </c>
      <c r="AQ98" s="73">
        <v>0</v>
      </c>
      <c r="AR98" s="73">
        <v>154</v>
      </c>
      <c r="AS98" s="73">
        <v>0</v>
      </c>
      <c r="AT98" s="73">
        <v>210</v>
      </c>
      <c r="AU98" s="73">
        <v>235</v>
      </c>
      <c r="AV98" s="320">
        <v>0</v>
      </c>
      <c r="AW98" s="320">
        <v>0</v>
      </c>
    </row>
    <row r="99" spans="2:49">
      <c r="B99" s="316" t="s">
        <v>221</v>
      </c>
      <c r="C99" s="319">
        <v>0</v>
      </c>
      <c r="D99" s="73">
        <v>0</v>
      </c>
      <c r="E99" s="73">
        <v>0</v>
      </c>
      <c r="F99" s="73">
        <v>0</v>
      </c>
      <c r="G99" s="73">
        <v>0</v>
      </c>
      <c r="H99" s="73">
        <v>0</v>
      </c>
      <c r="I99" s="73">
        <v>0</v>
      </c>
      <c r="J99" s="73">
        <v>0</v>
      </c>
      <c r="K99" s="73">
        <v>0</v>
      </c>
      <c r="L99" s="73">
        <v>0</v>
      </c>
      <c r="M99" s="73">
        <v>188</v>
      </c>
      <c r="N99" s="73">
        <v>0</v>
      </c>
      <c r="O99" s="320">
        <v>0</v>
      </c>
      <c r="P99" s="320">
        <v>0</v>
      </c>
      <c r="R99" s="5" t="s">
        <v>117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/>
      <c r="AI99" s="316" t="s">
        <v>117</v>
      </c>
      <c r="AJ99" s="319">
        <v>0</v>
      </c>
      <c r="AK99" s="73">
        <v>84</v>
      </c>
      <c r="AL99" s="73">
        <v>0</v>
      </c>
      <c r="AM99" s="73">
        <v>0</v>
      </c>
      <c r="AN99" s="73">
        <v>72</v>
      </c>
      <c r="AO99" s="73">
        <v>0</v>
      </c>
      <c r="AP99" s="73">
        <v>25</v>
      </c>
      <c r="AQ99" s="73">
        <v>0</v>
      </c>
      <c r="AR99" s="73">
        <v>0</v>
      </c>
      <c r="AS99" s="73">
        <v>0</v>
      </c>
      <c r="AT99" s="73">
        <v>0</v>
      </c>
      <c r="AU99" s="73">
        <v>0</v>
      </c>
      <c r="AV99" s="320">
        <v>0</v>
      </c>
      <c r="AW99" s="320">
        <v>0</v>
      </c>
    </row>
    <row r="100" spans="2:49">
      <c r="B100" s="316" t="s">
        <v>127</v>
      </c>
      <c r="C100" s="319">
        <v>0</v>
      </c>
      <c r="D100" s="73">
        <v>0</v>
      </c>
      <c r="E100" s="73">
        <v>0</v>
      </c>
      <c r="F100" s="73">
        <v>0</v>
      </c>
      <c r="G100" s="73">
        <v>0</v>
      </c>
      <c r="H100" s="73">
        <v>0</v>
      </c>
      <c r="I100" s="73">
        <v>78</v>
      </c>
      <c r="J100" s="73">
        <v>0</v>
      </c>
      <c r="K100" s="73">
        <v>0</v>
      </c>
      <c r="L100" s="73">
        <v>0</v>
      </c>
      <c r="M100" s="73">
        <v>350</v>
      </c>
      <c r="N100" s="73">
        <v>0</v>
      </c>
      <c r="O100" s="320">
        <v>0</v>
      </c>
      <c r="P100" s="320">
        <v>0</v>
      </c>
      <c r="R100" s="5" t="s">
        <v>189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/>
      <c r="AI100" s="316" t="s">
        <v>189</v>
      </c>
      <c r="AJ100" s="319">
        <v>143</v>
      </c>
      <c r="AK100" s="73">
        <v>190</v>
      </c>
      <c r="AL100" s="73">
        <v>0</v>
      </c>
      <c r="AM100" s="73">
        <v>0</v>
      </c>
      <c r="AN100" s="73">
        <v>103</v>
      </c>
      <c r="AO100" s="73">
        <v>0</v>
      </c>
      <c r="AP100" s="73">
        <v>32</v>
      </c>
      <c r="AQ100" s="73">
        <v>0</v>
      </c>
      <c r="AR100" s="73">
        <v>0</v>
      </c>
      <c r="AS100" s="73">
        <v>142</v>
      </c>
      <c r="AT100" s="73">
        <v>0</v>
      </c>
      <c r="AU100" s="73">
        <v>0</v>
      </c>
      <c r="AV100" s="320">
        <v>0</v>
      </c>
      <c r="AW100" s="320">
        <v>0</v>
      </c>
    </row>
    <row r="101" spans="2:49">
      <c r="B101" s="316" t="s">
        <v>117</v>
      </c>
      <c r="C101" s="319">
        <v>0</v>
      </c>
      <c r="D101" s="73">
        <v>0</v>
      </c>
      <c r="E101" s="73">
        <v>0</v>
      </c>
      <c r="F101" s="73">
        <v>0</v>
      </c>
      <c r="G101" s="73">
        <v>0</v>
      </c>
      <c r="H101" s="73">
        <v>0</v>
      </c>
      <c r="I101" s="73">
        <v>0</v>
      </c>
      <c r="J101" s="73">
        <v>0</v>
      </c>
      <c r="K101" s="73">
        <v>0</v>
      </c>
      <c r="L101" s="73">
        <v>0</v>
      </c>
      <c r="M101" s="73">
        <v>0</v>
      </c>
      <c r="N101" s="73">
        <v>0</v>
      </c>
      <c r="O101" s="320">
        <v>0</v>
      </c>
      <c r="P101" s="320">
        <v>0</v>
      </c>
      <c r="R101" s="5" t="s">
        <v>148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/>
      <c r="AI101" s="316" t="s">
        <v>148</v>
      </c>
      <c r="AJ101" s="319">
        <v>103</v>
      </c>
      <c r="AK101" s="73">
        <v>78</v>
      </c>
      <c r="AL101" s="73">
        <v>78</v>
      </c>
      <c r="AM101" s="73">
        <v>0</v>
      </c>
      <c r="AN101" s="73">
        <v>0</v>
      </c>
      <c r="AO101" s="73">
        <v>0</v>
      </c>
      <c r="AP101" s="73">
        <v>17</v>
      </c>
      <c r="AQ101" s="73">
        <v>0</v>
      </c>
      <c r="AR101" s="73">
        <v>0</v>
      </c>
      <c r="AS101" s="73">
        <v>0</v>
      </c>
      <c r="AT101" s="73">
        <v>0</v>
      </c>
      <c r="AU101" s="73">
        <v>0</v>
      </c>
      <c r="AV101" s="320">
        <v>0</v>
      </c>
      <c r="AW101" s="320">
        <v>0</v>
      </c>
    </row>
    <row r="102" spans="2:49">
      <c r="B102" s="316" t="s">
        <v>189</v>
      </c>
      <c r="C102" s="319">
        <v>0</v>
      </c>
      <c r="D102" s="73">
        <v>0</v>
      </c>
      <c r="E102" s="73">
        <v>0</v>
      </c>
      <c r="F102" s="73">
        <v>0</v>
      </c>
      <c r="G102" s="73">
        <v>0</v>
      </c>
      <c r="H102" s="73">
        <v>0</v>
      </c>
      <c r="I102" s="73">
        <v>0</v>
      </c>
      <c r="J102" s="73">
        <v>0</v>
      </c>
      <c r="K102" s="73">
        <v>0</v>
      </c>
      <c r="L102" s="73">
        <v>0</v>
      </c>
      <c r="M102" s="73">
        <v>0</v>
      </c>
      <c r="N102" s="73">
        <v>0</v>
      </c>
      <c r="O102" s="320">
        <v>0</v>
      </c>
      <c r="P102" s="320">
        <v>0</v>
      </c>
      <c r="R102" s="5" t="s">
        <v>181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</v>
      </c>
      <c r="AG102" s="4"/>
      <c r="AI102" s="316" t="s">
        <v>181</v>
      </c>
      <c r="AJ102" s="319">
        <v>0</v>
      </c>
      <c r="AK102" s="73">
        <v>49</v>
      </c>
      <c r="AL102" s="73">
        <v>0</v>
      </c>
      <c r="AM102" s="73">
        <v>0</v>
      </c>
      <c r="AN102" s="73">
        <v>0</v>
      </c>
      <c r="AO102" s="73">
        <v>0</v>
      </c>
      <c r="AP102" s="73">
        <v>13</v>
      </c>
      <c r="AQ102" s="73">
        <v>0</v>
      </c>
      <c r="AR102" s="73">
        <v>0</v>
      </c>
      <c r="AS102" s="73">
        <v>0</v>
      </c>
      <c r="AT102" s="73">
        <v>0</v>
      </c>
      <c r="AU102" s="73">
        <v>0</v>
      </c>
      <c r="AV102" s="320">
        <v>0</v>
      </c>
      <c r="AW102" s="320">
        <v>51</v>
      </c>
    </row>
    <row r="103" spans="2:49">
      <c r="B103" s="316" t="s">
        <v>148</v>
      </c>
      <c r="C103" s="319">
        <v>0</v>
      </c>
      <c r="D103" s="73">
        <v>0</v>
      </c>
      <c r="E103" s="73">
        <v>0</v>
      </c>
      <c r="F103" s="73">
        <v>0</v>
      </c>
      <c r="G103" s="73">
        <v>0</v>
      </c>
      <c r="H103" s="73">
        <v>0</v>
      </c>
      <c r="I103" s="73">
        <v>0</v>
      </c>
      <c r="J103" s="73">
        <v>0</v>
      </c>
      <c r="K103" s="73">
        <v>0</v>
      </c>
      <c r="L103" s="73">
        <v>0</v>
      </c>
      <c r="M103" s="73">
        <v>0</v>
      </c>
      <c r="N103" s="73">
        <v>0</v>
      </c>
      <c r="O103" s="320">
        <v>0</v>
      </c>
      <c r="P103" s="320">
        <v>0</v>
      </c>
      <c r="R103" s="5" t="s">
        <v>183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/>
      <c r="AI103" s="316" t="s">
        <v>183</v>
      </c>
      <c r="AJ103" s="319">
        <v>99</v>
      </c>
      <c r="AK103" s="73">
        <v>72</v>
      </c>
      <c r="AL103" s="73">
        <v>66</v>
      </c>
      <c r="AM103" s="73">
        <v>40</v>
      </c>
      <c r="AN103" s="73">
        <v>69</v>
      </c>
      <c r="AO103" s="73">
        <v>0</v>
      </c>
      <c r="AP103" s="73">
        <v>22</v>
      </c>
      <c r="AQ103" s="73">
        <v>0</v>
      </c>
      <c r="AR103" s="73">
        <v>0</v>
      </c>
      <c r="AS103" s="73">
        <v>0</v>
      </c>
      <c r="AT103" s="73">
        <v>0</v>
      </c>
      <c r="AU103" s="73">
        <v>0</v>
      </c>
      <c r="AV103" s="320">
        <v>0</v>
      </c>
      <c r="AW103" s="320">
        <v>0</v>
      </c>
    </row>
    <row r="104" spans="2:49">
      <c r="B104" s="316" t="s">
        <v>181</v>
      </c>
      <c r="C104" s="319">
        <v>0</v>
      </c>
      <c r="D104" s="73">
        <v>0</v>
      </c>
      <c r="E104" s="73">
        <v>0</v>
      </c>
      <c r="F104" s="73">
        <v>0</v>
      </c>
      <c r="G104" s="73">
        <v>0</v>
      </c>
      <c r="H104" s="73">
        <v>0</v>
      </c>
      <c r="I104" s="73">
        <v>0</v>
      </c>
      <c r="J104" s="73">
        <v>0</v>
      </c>
      <c r="K104" s="73">
        <v>0</v>
      </c>
      <c r="L104" s="73">
        <v>0</v>
      </c>
      <c r="M104" s="73">
        <v>0</v>
      </c>
      <c r="N104" s="73">
        <v>0</v>
      </c>
      <c r="O104" s="320">
        <v>0</v>
      </c>
      <c r="P104" s="320">
        <v>85</v>
      </c>
      <c r="R104" s="314" t="s">
        <v>239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1</v>
      </c>
      <c r="AD104" s="4">
        <v>0</v>
      </c>
      <c r="AE104" s="4">
        <v>0</v>
      </c>
      <c r="AF104" s="4">
        <v>1</v>
      </c>
      <c r="AG104" s="4"/>
      <c r="AI104" s="312" t="s">
        <v>239</v>
      </c>
      <c r="AJ104" s="321">
        <v>0</v>
      </c>
      <c r="AK104" s="240">
        <v>94</v>
      </c>
      <c r="AL104" s="240">
        <v>91</v>
      </c>
      <c r="AM104" s="240">
        <v>0</v>
      </c>
      <c r="AN104" s="240">
        <v>88</v>
      </c>
      <c r="AO104" s="240">
        <v>0</v>
      </c>
      <c r="AP104" s="240">
        <v>28</v>
      </c>
      <c r="AQ104" s="240">
        <v>0</v>
      </c>
      <c r="AR104" s="240">
        <v>0</v>
      </c>
      <c r="AS104" s="240">
        <v>98</v>
      </c>
      <c r="AT104" s="240">
        <v>108</v>
      </c>
      <c r="AU104" s="240">
        <v>88</v>
      </c>
      <c r="AV104" s="322">
        <v>0</v>
      </c>
      <c r="AW104" s="322">
        <v>97</v>
      </c>
    </row>
    <row r="105" spans="2:49" ht="15.75" thickBot="1">
      <c r="B105" s="316" t="s">
        <v>183</v>
      </c>
      <c r="C105" s="319">
        <v>0</v>
      </c>
      <c r="D105" s="73">
        <v>0</v>
      </c>
      <c r="E105" s="73">
        <v>0</v>
      </c>
      <c r="F105" s="73">
        <v>0</v>
      </c>
      <c r="G105" s="73">
        <v>0</v>
      </c>
      <c r="H105" s="73">
        <v>0</v>
      </c>
      <c r="I105" s="73">
        <v>0</v>
      </c>
      <c r="J105" s="73">
        <v>0</v>
      </c>
      <c r="K105" s="73">
        <v>0</v>
      </c>
      <c r="L105" s="73">
        <v>0</v>
      </c>
      <c r="M105" s="73">
        <v>0</v>
      </c>
      <c r="N105" s="73">
        <v>0</v>
      </c>
      <c r="O105" s="320">
        <v>0</v>
      </c>
      <c r="P105" s="320">
        <v>0</v>
      </c>
      <c r="R105" s="85" t="s">
        <v>180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</v>
      </c>
      <c r="AG105" s="4"/>
      <c r="AI105" s="313" t="s">
        <v>180</v>
      </c>
      <c r="AJ105" s="323">
        <v>116</v>
      </c>
      <c r="AK105" s="324">
        <v>97</v>
      </c>
      <c r="AL105" s="324">
        <v>129</v>
      </c>
      <c r="AM105" s="324">
        <v>0</v>
      </c>
      <c r="AN105" s="324">
        <v>135</v>
      </c>
      <c r="AO105" s="324">
        <v>27</v>
      </c>
      <c r="AP105" s="324">
        <v>0</v>
      </c>
      <c r="AQ105" s="324">
        <v>17</v>
      </c>
      <c r="AR105" s="324">
        <v>0</v>
      </c>
      <c r="AS105" s="324">
        <v>121</v>
      </c>
      <c r="AT105" s="324">
        <v>139</v>
      </c>
      <c r="AU105" s="324">
        <v>0</v>
      </c>
      <c r="AV105" s="325">
        <v>0</v>
      </c>
      <c r="AW105" s="325">
        <v>192</v>
      </c>
    </row>
    <row r="106" spans="2:49" ht="15.75" thickBot="1">
      <c r="B106" s="312" t="s">
        <v>239</v>
      </c>
      <c r="C106" s="321">
        <v>0</v>
      </c>
      <c r="D106" s="240">
        <v>0</v>
      </c>
      <c r="E106" s="240">
        <v>0</v>
      </c>
      <c r="F106" s="240">
        <v>0</v>
      </c>
      <c r="G106" s="240">
        <v>0</v>
      </c>
      <c r="H106" s="240">
        <v>0</v>
      </c>
      <c r="I106" s="240">
        <v>0</v>
      </c>
      <c r="J106" s="240">
        <v>0</v>
      </c>
      <c r="K106" s="240">
        <v>0</v>
      </c>
      <c r="L106" s="240">
        <v>0</v>
      </c>
      <c r="M106" s="240">
        <v>180</v>
      </c>
      <c r="N106" s="240">
        <v>0</v>
      </c>
      <c r="O106" s="322">
        <v>0</v>
      </c>
      <c r="P106" s="322">
        <v>162</v>
      </c>
      <c r="R106" s="86"/>
      <c r="S106" s="87">
        <f>SUBTOTAL(109,TbCountSdaia31[US])</f>
        <v>1</v>
      </c>
      <c r="T106" s="87">
        <f>SUBTOTAL(109,TbCountSdaia31[UK])</f>
        <v>0</v>
      </c>
      <c r="U106" s="87">
        <f>SUBTOTAL(109,TbCountSdaia31[DE])</f>
        <v>0</v>
      </c>
      <c r="V106" s="87">
        <f>SUBTOTAL(109,TbCountSdaia31[PL])</f>
        <v>0</v>
      </c>
      <c r="W106" s="87">
        <f>SUBTOTAL(109,TbCountSdaia31[NL])</f>
        <v>0</v>
      </c>
      <c r="X106" s="87">
        <f>SUBTOTAL(109,TbCountSdaia31[MX])</f>
        <v>0</v>
      </c>
      <c r="Y106" s="87">
        <f>SUBTOTAL(109,TbCountSdaia31[IN])</f>
        <v>3</v>
      </c>
      <c r="Z106" s="87">
        <f>SUBTOTAL(109,TbCountSdaia31[EG])</f>
        <v>0</v>
      </c>
      <c r="AA106" s="87">
        <f>SUBTOTAL(109,TbCountSdaia31[CAN])</f>
        <v>0</v>
      </c>
      <c r="AB106" s="87">
        <f>SUBTOTAL(109,TbCountSdaia31[AU])</f>
        <v>0</v>
      </c>
      <c r="AC106" s="87">
        <f>SUBTOTAL(109,TbCountSdaia31[AE])</f>
        <v>8</v>
      </c>
      <c r="AD106" s="87">
        <f>SUBTOTAL(109,TbCountSdaia31[SG])</f>
        <v>0</v>
      </c>
      <c r="AE106" s="87">
        <f>SUBTOTAL(109,TbCountSdaia31[VN])</f>
        <v>0</v>
      </c>
      <c r="AF106" s="87">
        <f>SUBTOTAL(109,TbCountSdaia31[SA])</f>
        <v>3</v>
      </c>
      <c r="AG106" s="348">
        <f>SUM(TbCountSdaia31[[#Totals],[US]:[SA]])</f>
        <v>15</v>
      </c>
    </row>
    <row r="107" spans="2:49" ht="15.75" thickBot="1">
      <c r="B107" s="313" t="s">
        <v>180</v>
      </c>
      <c r="C107" s="323">
        <v>0</v>
      </c>
      <c r="D107" s="324">
        <v>0</v>
      </c>
      <c r="E107" s="324">
        <v>0</v>
      </c>
      <c r="F107" s="324">
        <v>0</v>
      </c>
      <c r="G107" s="324">
        <v>0</v>
      </c>
      <c r="H107" s="324">
        <v>0</v>
      </c>
      <c r="I107" s="324">
        <v>0</v>
      </c>
      <c r="J107" s="324">
        <v>0</v>
      </c>
      <c r="K107" s="324">
        <v>0</v>
      </c>
      <c r="L107" s="324">
        <v>0</v>
      </c>
      <c r="M107" s="324">
        <v>0</v>
      </c>
      <c r="N107" s="324">
        <v>0</v>
      </c>
      <c r="O107" s="325">
        <v>0</v>
      </c>
      <c r="P107" s="325">
        <v>320</v>
      </c>
    </row>
    <row r="109" spans="2:49" ht="15.75" thickBot="1"/>
    <row r="110" spans="2:49" ht="15.75" thickBot="1">
      <c r="R110" s="79" t="s">
        <v>500</v>
      </c>
      <c r="S110" s="1" t="s">
        <v>98</v>
      </c>
      <c r="T110" s="1" t="s">
        <v>105</v>
      </c>
      <c r="U110" s="1" t="s">
        <v>112</v>
      </c>
      <c r="V110" s="1" t="s">
        <v>120</v>
      </c>
      <c r="W110" s="1" t="s">
        <v>125</v>
      </c>
      <c r="X110" s="1" t="s">
        <v>131</v>
      </c>
      <c r="Y110" s="1" t="s">
        <v>136</v>
      </c>
      <c r="Z110" s="1" t="s">
        <v>140</v>
      </c>
      <c r="AA110" s="1" t="s">
        <v>145</v>
      </c>
      <c r="AB110" s="1" t="s">
        <v>149</v>
      </c>
      <c r="AC110" s="71" t="s">
        <v>153</v>
      </c>
      <c r="AD110" s="71" t="s">
        <v>156</v>
      </c>
      <c r="AE110" s="71" t="s">
        <v>159</v>
      </c>
      <c r="AF110" s="71"/>
      <c r="AI110" s="28" t="s">
        <v>501</v>
      </c>
      <c r="AJ110" s="29" t="s">
        <v>98</v>
      </c>
      <c r="AK110" s="30" t="s">
        <v>105</v>
      </c>
      <c r="AL110" s="30" t="s">
        <v>112</v>
      </c>
      <c r="AM110" s="30" t="s">
        <v>120</v>
      </c>
      <c r="AN110" s="30" t="s">
        <v>125</v>
      </c>
      <c r="AO110" s="30" t="s">
        <v>131</v>
      </c>
      <c r="AP110" s="30" t="s">
        <v>136</v>
      </c>
      <c r="AQ110" s="30" t="s">
        <v>140</v>
      </c>
      <c r="AR110" s="30" t="s">
        <v>145</v>
      </c>
      <c r="AS110" s="30" t="s">
        <v>149</v>
      </c>
      <c r="AT110" s="30" t="s">
        <v>153</v>
      </c>
      <c r="AU110" s="30" t="s">
        <v>156</v>
      </c>
      <c r="AV110" s="80" t="s">
        <v>159</v>
      </c>
    </row>
    <row r="111" spans="2:49" ht="15.75" thickBot="1">
      <c r="R111" s="3" t="s">
        <v>209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/>
      <c r="AI111" s="315" t="s">
        <v>209</v>
      </c>
      <c r="AJ111" s="317">
        <v>69</v>
      </c>
      <c r="AK111" s="72">
        <v>58</v>
      </c>
      <c r="AL111" s="72">
        <v>61</v>
      </c>
      <c r="AM111" s="72">
        <v>44</v>
      </c>
      <c r="AN111" s="72">
        <v>50</v>
      </c>
      <c r="AO111" s="72">
        <v>30</v>
      </c>
      <c r="AP111" s="72">
        <v>15</v>
      </c>
      <c r="AQ111" s="72">
        <v>0</v>
      </c>
      <c r="AR111" s="72">
        <v>0</v>
      </c>
      <c r="AS111" s="72">
        <v>54</v>
      </c>
      <c r="AT111" s="72">
        <v>0</v>
      </c>
      <c r="AU111" s="72">
        <v>81</v>
      </c>
      <c r="AV111" s="318">
        <v>15</v>
      </c>
    </row>
    <row r="112" spans="2:49" ht="15.75" thickBot="1">
      <c r="B112" s="46" t="s">
        <v>461</v>
      </c>
      <c r="C112" s="47" t="s">
        <v>98</v>
      </c>
      <c r="D112" s="48" t="s">
        <v>105</v>
      </c>
      <c r="E112" s="48" t="s">
        <v>112</v>
      </c>
      <c r="F112" s="48" t="s">
        <v>120</v>
      </c>
      <c r="G112" s="48" t="s">
        <v>125</v>
      </c>
      <c r="H112" s="48" t="s">
        <v>131</v>
      </c>
      <c r="I112" s="48" t="s">
        <v>136</v>
      </c>
      <c r="J112" s="48" t="s">
        <v>140</v>
      </c>
      <c r="K112" s="48" t="s">
        <v>145</v>
      </c>
      <c r="L112" s="48" t="s">
        <v>149</v>
      </c>
      <c r="M112" s="48" t="s">
        <v>153</v>
      </c>
      <c r="N112" s="48" t="s">
        <v>156</v>
      </c>
      <c r="O112" s="359" t="s">
        <v>159</v>
      </c>
      <c r="P112" s="359" t="s">
        <v>161</v>
      </c>
      <c r="R112" s="5" t="s">
        <v>213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/>
      <c r="AI112" s="316" t="s">
        <v>213</v>
      </c>
      <c r="AJ112" s="319">
        <v>96</v>
      </c>
      <c r="AK112" s="73">
        <v>72</v>
      </c>
      <c r="AL112" s="73">
        <v>71</v>
      </c>
      <c r="AM112" s="73">
        <v>56</v>
      </c>
      <c r="AN112" s="73">
        <v>64</v>
      </c>
      <c r="AO112" s="73">
        <v>39</v>
      </c>
      <c r="AP112" s="73">
        <v>20</v>
      </c>
      <c r="AQ112" s="73">
        <v>9</v>
      </c>
      <c r="AR112" s="73">
        <v>62</v>
      </c>
      <c r="AS112" s="73">
        <v>64</v>
      </c>
      <c r="AT112" s="73">
        <v>88</v>
      </c>
      <c r="AU112" s="73">
        <v>103</v>
      </c>
      <c r="AV112" s="320">
        <v>21</v>
      </c>
    </row>
    <row r="113" spans="2:48">
      <c r="B113" s="315" t="s">
        <v>209</v>
      </c>
      <c r="C113" s="317">
        <v>0</v>
      </c>
      <c r="D113" s="72">
        <v>0</v>
      </c>
      <c r="E113" s="72">
        <v>0</v>
      </c>
      <c r="F113" s="72">
        <v>0</v>
      </c>
      <c r="G113" s="72">
        <v>0</v>
      </c>
      <c r="H113" s="72">
        <v>0</v>
      </c>
      <c r="I113" s="72">
        <v>0</v>
      </c>
      <c r="J113" s="72">
        <v>0</v>
      </c>
      <c r="K113" s="72">
        <v>0</v>
      </c>
      <c r="L113" s="72">
        <v>0</v>
      </c>
      <c r="M113" s="72">
        <v>0</v>
      </c>
      <c r="N113" s="72">
        <v>0</v>
      </c>
      <c r="O113" s="318">
        <v>0</v>
      </c>
      <c r="P113" s="318">
        <v>0</v>
      </c>
      <c r="R113" s="5" t="s">
        <v>217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/>
      <c r="AI113" s="316" t="s">
        <v>217</v>
      </c>
      <c r="AJ113" s="319">
        <v>125</v>
      </c>
      <c r="AK113" s="73">
        <v>99</v>
      </c>
      <c r="AL113" s="73">
        <v>88</v>
      </c>
      <c r="AM113" s="73">
        <v>68</v>
      </c>
      <c r="AN113" s="73">
        <v>84</v>
      </c>
      <c r="AO113" s="73">
        <v>53</v>
      </c>
      <c r="AP113" s="73">
        <v>32</v>
      </c>
      <c r="AQ113" s="73">
        <v>15</v>
      </c>
      <c r="AR113" s="73">
        <v>76</v>
      </c>
      <c r="AS113" s="73">
        <v>88</v>
      </c>
      <c r="AT113" s="73">
        <v>107</v>
      </c>
      <c r="AU113" s="73">
        <v>116</v>
      </c>
      <c r="AV113" s="320">
        <v>29</v>
      </c>
    </row>
    <row r="114" spans="2:48">
      <c r="B114" s="316" t="s">
        <v>213</v>
      </c>
      <c r="C114" s="319">
        <v>0</v>
      </c>
      <c r="D114" s="73">
        <v>0</v>
      </c>
      <c r="E114" s="73">
        <v>0</v>
      </c>
      <c r="F114" s="73">
        <v>0</v>
      </c>
      <c r="G114" s="73">
        <v>0</v>
      </c>
      <c r="H114" s="73">
        <v>0</v>
      </c>
      <c r="I114" s="73">
        <v>0</v>
      </c>
      <c r="J114" s="73">
        <v>0</v>
      </c>
      <c r="K114" s="73">
        <v>0</v>
      </c>
      <c r="L114" s="73">
        <v>0</v>
      </c>
      <c r="M114" s="73">
        <v>0</v>
      </c>
      <c r="N114" s="73">
        <v>0</v>
      </c>
      <c r="O114" s="320">
        <v>0</v>
      </c>
      <c r="P114" s="320">
        <v>0</v>
      </c>
      <c r="R114" s="5" t="s">
        <v>221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/>
      <c r="AI114" s="316" t="s">
        <v>221</v>
      </c>
      <c r="AJ114" s="319">
        <v>159</v>
      </c>
      <c r="AK114" s="73">
        <v>122</v>
      </c>
      <c r="AL114" s="73">
        <v>131</v>
      </c>
      <c r="AM114" s="73">
        <v>86</v>
      </c>
      <c r="AN114" s="73">
        <v>121</v>
      </c>
      <c r="AO114" s="73">
        <v>82</v>
      </c>
      <c r="AP114" s="73">
        <v>40</v>
      </c>
      <c r="AQ114" s="73">
        <v>19</v>
      </c>
      <c r="AR114" s="73">
        <v>96</v>
      </c>
      <c r="AS114" s="73">
        <v>132</v>
      </c>
      <c r="AT114" s="73">
        <v>160</v>
      </c>
      <c r="AU114" s="73">
        <v>135</v>
      </c>
      <c r="AV114" s="320">
        <v>34</v>
      </c>
    </row>
    <row r="115" spans="2:48">
      <c r="B115" s="316" t="s">
        <v>217</v>
      </c>
      <c r="C115" s="319">
        <v>0</v>
      </c>
      <c r="D115" s="73">
        <v>0</v>
      </c>
      <c r="E115" s="73">
        <v>0</v>
      </c>
      <c r="F115" s="73">
        <v>0</v>
      </c>
      <c r="G115" s="73">
        <v>0</v>
      </c>
      <c r="H115" s="73">
        <v>0</v>
      </c>
      <c r="I115" s="73">
        <v>0</v>
      </c>
      <c r="J115" s="73">
        <v>0</v>
      </c>
      <c r="K115" s="73">
        <v>0</v>
      </c>
      <c r="L115" s="73">
        <v>0</v>
      </c>
      <c r="M115" s="73">
        <v>0</v>
      </c>
      <c r="N115" s="73">
        <v>0</v>
      </c>
      <c r="O115" s="320">
        <v>0</v>
      </c>
      <c r="P115" s="320">
        <v>0</v>
      </c>
      <c r="R115" s="5" t="s">
        <v>127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1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/>
      <c r="AI115" s="316" t="s">
        <v>127</v>
      </c>
      <c r="AJ115" s="319">
        <v>210</v>
      </c>
      <c r="AK115" s="73">
        <v>161</v>
      </c>
      <c r="AL115" s="73">
        <v>173</v>
      </c>
      <c r="AM115" s="73">
        <v>113</v>
      </c>
      <c r="AN115" s="73">
        <v>159</v>
      </c>
      <c r="AO115" s="73">
        <v>108</v>
      </c>
      <c r="AP115" s="73">
        <v>0</v>
      </c>
      <c r="AQ115" s="73">
        <v>0</v>
      </c>
      <c r="AR115" s="73">
        <v>154</v>
      </c>
      <c r="AS115" s="73">
        <v>0</v>
      </c>
      <c r="AT115" s="73">
        <v>212</v>
      </c>
      <c r="AU115" s="73">
        <v>235</v>
      </c>
      <c r="AV115" s="320">
        <v>0</v>
      </c>
    </row>
    <row r="116" spans="2:48">
      <c r="B116" s="316" t="s">
        <v>221</v>
      </c>
      <c r="C116" s="319">
        <v>0</v>
      </c>
      <c r="D116" s="73">
        <v>0</v>
      </c>
      <c r="E116" s="73">
        <v>0</v>
      </c>
      <c r="F116" s="73">
        <v>0</v>
      </c>
      <c r="G116" s="73">
        <v>0</v>
      </c>
      <c r="H116" s="73">
        <v>0</v>
      </c>
      <c r="I116" s="73">
        <v>0</v>
      </c>
      <c r="J116" s="73">
        <v>0</v>
      </c>
      <c r="K116" s="73">
        <v>0</v>
      </c>
      <c r="L116" s="73">
        <v>0</v>
      </c>
      <c r="M116" s="73">
        <v>0</v>
      </c>
      <c r="N116" s="73">
        <v>0</v>
      </c>
      <c r="O116" s="320">
        <v>0</v>
      </c>
      <c r="P116" s="320">
        <v>0</v>
      </c>
      <c r="R116" s="5" t="s">
        <v>117</v>
      </c>
      <c r="S116" s="4">
        <v>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5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/>
      <c r="AI116" s="316" t="s">
        <v>117</v>
      </c>
      <c r="AJ116" s="319">
        <v>88</v>
      </c>
      <c r="AK116" s="73">
        <v>84</v>
      </c>
      <c r="AL116" s="73">
        <v>0</v>
      </c>
      <c r="AM116" s="73">
        <v>0</v>
      </c>
      <c r="AN116" s="73">
        <v>72</v>
      </c>
      <c r="AO116" s="73">
        <v>0</v>
      </c>
      <c r="AP116" s="73">
        <v>18</v>
      </c>
      <c r="AQ116" s="73">
        <v>0</v>
      </c>
      <c r="AR116" s="73">
        <v>0</v>
      </c>
      <c r="AS116" s="73">
        <v>0</v>
      </c>
      <c r="AT116" s="73">
        <v>0</v>
      </c>
      <c r="AU116" s="73">
        <v>0</v>
      </c>
      <c r="AV116" s="320">
        <v>0</v>
      </c>
    </row>
    <row r="117" spans="2:48">
      <c r="B117" s="316" t="s">
        <v>127</v>
      </c>
      <c r="C117" s="319">
        <v>0</v>
      </c>
      <c r="D117" s="73">
        <v>0</v>
      </c>
      <c r="E117" s="73">
        <v>0</v>
      </c>
      <c r="F117" s="73">
        <v>0</v>
      </c>
      <c r="G117" s="73">
        <v>0</v>
      </c>
      <c r="H117" s="73">
        <v>158</v>
      </c>
      <c r="I117" s="73">
        <v>0</v>
      </c>
      <c r="J117" s="73">
        <v>0</v>
      </c>
      <c r="K117" s="73">
        <v>0</v>
      </c>
      <c r="L117" s="73">
        <v>0</v>
      </c>
      <c r="M117" s="73">
        <v>0</v>
      </c>
      <c r="N117" s="73">
        <v>0</v>
      </c>
      <c r="O117" s="320">
        <v>0</v>
      </c>
      <c r="P117" s="320">
        <v>0</v>
      </c>
      <c r="R117" s="5" t="s">
        <v>189</v>
      </c>
      <c r="S117" s="4">
        <v>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15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/>
      <c r="AI117" s="316" t="s">
        <v>189</v>
      </c>
      <c r="AJ117" s="319">
        <v>136</v>
      </c>
      <c r="AK117" s="73">
        <v>190</v>
      </c>
      <c r="AL117" s="73">
        <v>0</v>
      </c>
      <c r="AM117" s="73">
        <v>0</v>
      </c>
      <c r="AN117" s="73">
        <v>103</v>
      </c>
      <c r="AO117" s="73">
        <v>0</v>
      </c>
      <c r="AP117" s="73">
        <v>34</v>
      </c>
      <c r="AQ117" s="73">
        <v>0</v>
      </c>
      <c r="AR117" s="73">
        <v>0</v>
      </c>
      <c r="AS117" s="73">
        <v>142</v>
      </c>
      <c r="AT117" s="73">
        <v>0</v>
      </c>
      <c r="AU117" s="73">
        <v>0</v>
      </c>
      <c r="AV117" s="320">
        <v>0</v>
      </c>
    </row>
    <row r="118" spans="2:48">
      <c r="B118" s="316" t="s">
        <v>117</v>
      </c>
      <c r="C118" s="319">
        <v>147</v>
      </c>
      <c r="D118" s="73">
        <v>0</v>
      </c>
      <c r="E118" s="73">
        <v>0</v>
      </c>
      <c r="F118" s="73">
        <v>0</v>
      </c>
      <c r="G118" s="73">
        <v>0</v>
      </c>
      <c r="H118" s="73">
        <v>0</v>
      </c>
      <c r="I118" s="73">
        <v>30</v>
      </c>
      <c r="J118" s="73">
        <v>0</v>
      </c>
      <c r="K118" s="73">
        <v>0</v>
      </c>
      <c r="L118" s="73">
        <v>0</v>
      </c>
      <c r="M118" s="73">
        <v>0</v>
      </c>
      <c r="N118" s="73">
        <v>0</v>
      </c>
      <c r="O118" s="320">
        <v>0</v>
      </c>
      <c r="P118" s="320">
        <v>0</v>
      </c>
      <c r="R118" s="5" t="s">
        <v>148</v>
      </c>
      <c r="S118" s="4">
        <v>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/>
      <c r="AI118" s="316" t="s">
        <v>148</v>
      </c>
      <c r="AJ118" s="319">
        <v>81</v>
      </c>
      <c r="AK118" s="73">
        <v>78</v>
      </c>
      <c r="AL118" s="73">
        <v>78</v>
      </c>
      <c r="AM118" s="73">
        <v>0</v>
      </c>
      <c r="AN118" s="73">
        <v>0</v>
      </c>
      <c r="AO118" s="73">
        <v>0</v>
      </c>
      <c r="AP118" s="73">
        <v>17</v>
      </c>
      <c r="AQ118" s="73">
        <v>0</v>
      </c>
      <c r="AR118" s="73">
        <v>0</v>
      </c>
      <c r="AS118" s="73">
        <v>0</v>
      </c>
      <c r="AT118" s="73">
        <v>0</v>
      </c>
      <c r="AU118" s="73">
        <v>0</v>
      </c>
      <c r="AV118" s="320">
        <v>0</v>
      </c>
    </row>
    <row r="119" spans="2:48">
      <c r="B119" s="316" t="s">
        <v>189</v>
      </c>
      <c r="C119" s="319">
        <v>227</v>
      </c>
      <c r="D119" s="73">
        <v>0</v>
      </c>
      <c r="E119" s="73">
        <v>0</v>
      </c>
      <c r="F119" s="73">
        <v>0</v>
      </c>
      <c r="G119" s="73">
        <v>0</v>
      </c>
      <c r="H119" s="73">
        <v>0</v>
      </c>
      <c r="I119" s="73">
        <v>57</v>
      </c>
      <c r="J119" s="73">
        <v>0</v>
      </c>
      <c r="K119" s="73">
        <v>0</v>
      </c>
      <c r="L119" s="73">
        <v>0</v>
      </c>
      <c r="M119" s="73">
        <v>0</v>
      </c>
      <c r="N119" s="73">
        <v>0</v>
      </c>
      <c r="O119" s="320">
        <v>0</v>
      </c>
      <c r="P119" s="320">
        <v>0</v>
      </c>
      <c r="R119" s="5" t="s">
        <v>181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/>
      <c r="AI119" s="316" t="s">
        <v>181</v>
      </c>
      <c r="AJ119" s="319">
        <v>0</v>
      </c>
      <c r="AK119" s="73">
        <v>49</v>
      </c>
      <c r="AL119" s="73">
        <v>0</v>
      </c>
      <c r="AM119" s="73">
        <v>0</v>
      </c>
      <c r="AN119" s="73">
        <v>0</v>
      </c>
      <c r="AO119" s="73">
        <v>0</v>
      </c>
      <c r="AP119" s="73">
        <v>13</v>
      </c>
      <c r="AQ119" s="73">
        <v>0</v>
      </c>
      <c r="AR119" s="73">
        <v>0</v>
      </c>
      <c r="AS119" s="73">
        <v>0</v>
      </c>
      <c r="AT119" s="73">
        <v>0</v>
      </c>
      <c r="AU119" s="73">
        <v>0</v>
      </c>
      <c r="AV119" s="320">
        <v>0</v>
      </c>
    </row>
    <row r="120" spans="2:48">
      <c r="B120" s="316" t="s">
        <v>148</v>
      </c>
      <c r="C120" s="319">
        <v>135</v>
      </c>
      <c r="D120" s="73">
        <v>0</v>
      </c>
      <c r="E120" s="73">
        <v>0</v>
      </c>
      <c r="F120" s="73">
        <v>0</v>
      </c>
      <c r="G120" s="73">
        <v>0</v>
      </c>
      <c r="H120" s="73">
        <v>0</v>
      </c>
      <c r="I120" s="73">
        <v>0</v>
      </c>
      <c r="J120" s="73">
        <v>0</v>
      </c>
      <c r="K120" s="73">
        <v>0</v>
      </c>
      <c r="L120" s="73">
        <v>0</v>
      </c>
      <c r="M120" s="73">
        <v>0</v>
      </c>
      <c r="N120" s="73">
        <v>0</v>
      </c>
      <c r="O120" s="320">
        <v>0</v>
      </c>
      <c r="P120" s="320">
        <v>0</v>
      </c>
      <c r="R120" s="5" t="s">
        <v>183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/>
      <c r="AI120" s="316" t="s">
        <v>183</v>
      </c>
      <c r="AJ120" s="319">
        <v>99</v>
      </c>
      <c r="AK120" s="73">
        <v>72</v>
      </c>
      <c r="AL120" s="73">
        <v>66</v>
      </c>
      <c r="AM120" s="73">
        <v>40</v>
      </c>
      <c r="AN120" s="73">
        <v>69</v>
      </c>
      <c r="AO120" s="73">
        <v>0</v>
      </c>
      <c r="AP120" s="73">
        <v>22</v>
      </c>
      <c r="AQ120" s="73">
        <v>0</v>
      </c>
      <c r="AR120" s="73">
        <v>0</v>
      </c>
      <c r="AS120" s="73">
        <v>0</v>
      </c>
      <c r="AT120" s="73">
        <v>0</v>
      </c>
      <c r="AU120" s="73">
        <v>0</v>
      </c>
      <c r="AV120" s="320">
        <v>16</v>
      </c>
    </row>
    <row r="121" spans="2:48">
      <c r="B121" s="316" t="s">
        <v>181</v>
      </c>
      <c r="C121" s="319">
        <v>0</v>
      </c>
      <c r="D121" s="73">
        <v>0</v>
      </c>
      <c r="E121" s="73">
        <v>0</v>
      </c>
      <c r="F121" s="73">
        <v>0</v>
      </c>
      <c r="G121" s="73">
        <v>0</v>
      </c>
      <c r="H121" s="73">
        <v>0</v>
      </c>
      <c r="I121" s="73">
        <v>0</v>
      </c>
      <c r="J121" s="73">
        <v>0</v>
      </c>
      <c r="K121" s="73">
        <v>0</v>
      </c>
      <c r="L121" s="73">
        <v>0</v>
      </c>
      <c r="M121" s="73">
        <v>0</v>
      </c>
      <c r="N121" s="73">
        <v>0</v>
      </c>
      <c r="O121" s="320">
        <v>0</v>
      </c>
      <c r="P121" s="320">
        <v>0</v>
      </c>
      <c r="R121" s="314" t="s">
        <v>239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/>
      <c r="AI121" s="312" t="s">
        <v>239</v>
      </c>
      <c r="AJ121" s="321">
        <v>0</v>
      </c>
      <c r="AK121" s="240">
        <v>94</v>
      </c>
      <c r="AL121" s="240">
        <v>91</v>
      </c>
      <c r="AM121" s="240">
        <v>0</v>
      </c>
      <c r="AN121" s="240">
        <v>88</v>
      </c>
      <c r="AO121" s="240">
        <v>0</v>
      </c>
      <c r="AP121" s="240">
        <v>28</v>
      </c>
      <c r="AQ121" s="240">
        <v>0</v>
      </c>
      <c r="AR121" s="240">
        <v>0</v>
      </c>
      <c r="AS121" s="240">
        <v>98</v>
      </c>
      <c r="AT121" s="240">
        <v>0</v>
      </c>
      <c r="AU121" s="240">
        <v>88</v>
      </c>
      <c r="AV121" s="322">
        <v>22</v>
      </c>
    </row>
    <row r="122" spans="2:48" ht="15.75" thickBot="1">
      <c r="B122" s="316" t="s">
        <v>183</v>
      </c>
      <c r="C122" s="319">
        <v>0</v>
      </c>
      <c r="D122" s="73">
        <v>0</v>
      </c>
      <c r="E122" s="73">
        <v>0</v>
      </c>
      <c r="F122" s="73">
        <v>0</v>
      </c>
      <c r="G122" s="73">
        <v>0</v>
      </c>
      <c r="H122" s="73">
        <v>0</v>
      </c>
      <c r="I122" s="73">
        <v>0</v>
      </c>
      <c r="J122" s="73">
        <v>0</v>
      </c>
      <c r="K122" s="73">
        <v>0</v>
      </c>
      <c r="L122" s="73">
        <v>0</v>
      </c>
      <c r="M122" s="73">
        <v>0</v>
      </c>
      <c r="N122" s="73">
        <v>0</v>
      </c>
      <c r="O122" s="320">
        <v>0</v>
      </c>
      <c r="P122" s="320">
        <v>0</v>
      </c>
      <c r="R122" s="85" t="s">
        <v>180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/>
      <c r="AI122" s="313" t="s">
        <v>180</v>
      </c>
      <c r="AJ122" s="323">
        <v>141</v>
      </c>
      <c r="AK122" s="324">
        <v>97</v>
      </c>
      <c r="AL122" s="324">
        <v>129</v>
      </c>
      <c r="AM122" s="324">
        <v>0</v>
      </c>
      <c r="AN122" s="324">
        <v>135</v>
      </c>
      <c r="AO122" s="324">
        <v>27</v>
      </c>
      <c r="AP122" s="324">
        <v>0</v>
      </c>
      <c r="AQ122" s="324">
        <v>17</v>
      </c>
      <c r="AR122" s="324">
        <v>0</v>
      </c>
      <c r="AS122" s="324">
        <v>121</v>
      </c>
      <c r="AT122" s="324">
        <v>139</v>
      </c>
      <c r="AU122" s="324">
        <v>0</v>
      </c>
      <c r="AV122" s="325">
        <v>0</v>
      </c>
    </row>
    <row r="123" spans="2:48" ht="15.75" thickBot="1">
      <c r="B123" s="312" t="s">
        <v>239</v>
      </c>
      <c r="C123" s="321">
        <v>0</v>
      </c>
      <c r="D123" s="240">
        <v>0</v>
      </c>
      <c r="E123" s="240">
        <v>0</v>
      </c>
      <c r="F123" s="240">
        <v>0</v>
      </c>
      <c r="G123" s="240">
        <v>0</v>
      </c>
      <c r="H123" s="240">
        <v>0</v>
      </c>
      <c r="I123" s="240">
        <v>0</v>
      </c>
      <c r="J123" s="240">
        <v>0</v>
      </c>
      <c r="K123" s="240">
        <v>0</v>
      </c>
      <c r="L123" s="240">
        <v>0</v>
      </c>
      <c r="M123" s="240">
        <v>0</v>
      </c>
      <c r="N123" s="240">
        <v>0</v>
      </c>
      <c r="O123" s="322">
        <v>0</v>
      </c>
      <c r="P123" s="322">
        <v>0</v>
      </c>
      <c r="R123" s="86"/>
      <c r="S123" s="87">
        <f>SUBTOTAL(109,TbCountErp29[US])</f>
        <v>12</v>
      </c>
      <c r="T123" s="87">
        <f>SUBTOTAL(109,TbCountErp29[UK])</f>
        <v>0</v>
      </c>
      <c r="U123" s="87">
        <f>SUBTOTAL(109,TbCountErp29[DE])</f>
        <v>0</v>
      </c>
      <c r="V123" s="87">
        <f>SUBTOTAL(109,TbCountErp29[PL])</f>
        <v>0</v>
      </c>
      <c r="W123" s="87">
        <f>SUBTOTAL(109,TbCountErp29[NL])</f>
        <v>0</v>
      </c>
      <c r="X123" s="87">
        <f>SUBTOTAL(109,TbCountErp29[MX])</f>
        <v>1</v>
      </c>
      <c r="Y123" s="87">
        <f>SUBTOTAL(109,TbCountErp29[IN])</f>
        <v>20</v>
      </c>
      <c r="Z123" s="87">
        <f>SUBTOTAL(109,TbCountErp29[EG])</f>
        <v>0</v>
      </c>
      <c r="AA123" s="87">
        <f>SUBTOTAL(109,TbCountErp29[CAN])</f>
        <v>0</v>
      </c>
      <c r="AB123" s="87">
        <f>SUBTOTAL(109,TbCountErp29[AU])</f>
        <v>0</v>
      </c>
      <c r="AC123" s="87">
        <f>SUBTOTAL(109,TbCountErp29[AE])</f>
        <v>0</v>
      </c>
      <c r="AD123" s="87">
        <f>SUBTOTAL(109,TbCountErp29[SG])</f>
        <v>0</v>
      </c>
      <c r="AE123" s="87">
        <f>SUBTOTAL(109,TbCountErp29[VN])</f>
        <v>0</v>
      </c>
      <c r="AF123" s="87"/>
      <c r="AG123" s="348">
        <f>SUM(TbCountErp29[[#Totals],[US]:[VN]])</f>
        <v>33</v>
      </c>
    </row>
    <row r="124" spans="2:48" ht="15.75" thickBot="1">
      <c r="B124" s="313" t="s">
        <v>180</v>
      </c>
      <c r="C124" s="323">
        <v>235</v>
      </c>
      <c r="D124" s="324">
        <v>0</v>
      </c>
      <c r="E124" s="324">
        <v>0</v>
      </c>
      <c r="F124" s="324">
        <v>0</v>
      </c>
      <c r="G124" s="324">
        <v>0</v>
      </c>
      <c r="H124" s="324">
        <v>0</v>
      </c>
      <c r="I124" s="324">
        <v>0</v>
      </c>
      <c r="J124" s="324">
        <v>0</v>
      </c>
      <c r="K124" s="324">
        <v>0</v>
      </c>
      <c r="L124" s="324">
        <v>0</v>
      </c>
      <c r="M124" s="324">
        <v>0</v>
      </c>
      <c r="N124" s="324">
        <v>0</v>
      </c>
      <c r="O124" s="325">
        <v>0</v>
      </c>
      <c r="P124" s="325">
        <v>0</v>
      </c>
    </row>
    <row r="125" spans="2:48" ht="15.75" thickBot="1">
      <c r="R125" s="38" t="s">
        <v>502</v>
      </c>
      <c r="S125" s="1" t="s">
        <v>98</v>
      </c>
      <c r="T125" s="1" t="s">
        <v>105</v>
      </c>
      <c r="U125" s="1" t="s">
        <v>112</v>
      </c>
      <c r="V125" s="1" t="s">
        <v>120</v>
      </c>
      <c r="W125" s="1" t="s">
        <v>125</v>
      </c>
      <c r="X125" s="1" t="s">
        <v>131</v>
      </c>
      <c r="Y125" s="1" t="s">
        <v>136</v>
      </c>
      <c r="Z125" s="1" t="s">
        <v>140</v>
      </c>
      <c r="AA125" s="1" t="s">
        <v>145</v>
      </c>
      <c r="AB125" s="1" t="s">
        <v>149</v>
      </c>
      <c r="AC125" s="71" t="s">
        <v>153</v>
      </c>
      <c r="AD125" s="71" t="s">
        <v>156</v>
      </c>
      <c r="AE125" s="71" t="s">
        <v>159</v>
      </c>
      <c r="AF125" s="71"/>
      <c r="AI125" s="38" t="s">
        <v>503</v>
      </c>
      <c r="AJ125" s="38" t="s">
        <v>98</v>
      </c>
      <c r="AK125" s="418" t="s">
        <v>105</v>
      </c>
      <c r="AL125" s="418" t="s">
        <v>112</v>
      </c>
      <c r="AM125" s="418" t="s">
        <v>120</v>
      </c>
      <c r="AN125" s="418" t="s">
        <v>125</v>
      </c>
      <c r="AO125" s="418" t="s">
        <v>131</v>
      </c>
      <c r="AP125" s="418" t="s">
        <v>136</v>
      </c>
      <c r="AQ125" s="418" t="s">
        <v>140</v>
      </c>
      <c r="AR125" s="418" t="s">
        <v>145</v>
      </c>
      <c r="AS125" s="418" t="s">
        <v>149</v>
      </c>
      <c r="AT125" s="418" t="s">
        <v>153</v>
      </c>
      <c r="AU125" s="418" t="s">
        <v>156</v>
      </c>
      <c r="AV125" s="419" t="s">
        <v>159</v>
      </c>
    </row>
    <row r="126" spans="2:48" ht="15.75" thickBot="1">
      <c r="R126" s="3" t="s">
        <v>210</v>
      </c>
      <c r="S126" s="425">
        <v>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/>
      <c r="AI126" s="3" t="s">
        <v>210</v>
      </c>
      <c r="AJ126" s="317">
        <v>118</v>
      </c>
      <c r="AK126" s="72">
        <v>0</v>
      </c>
      <c r="AL126" s="72">
        <v>0</v>
      </c>
      <c r="AM126" s="72">
        <v>0</v>
      </c>
      <c r="AN126" s="72">
        <v>0</v>
      </c>
      <c r="AO126" s="72">
        <v>0</v>
      </c>
      <c r="AP126" s="72">
        <v>31</v>
      </c>
      <c r="AQ126" s="72">
        <v>0</v>
      </c>
      <c r="AR126" s="72">
        <v>0</v>
      </c>
      <c r="AS126" s="72">
        <v>0</v>
      </c>
      <c r="AT126" s="72">
        <v>0</v>
      </c>
      <c r="AU126" s="72">
        <v>0</v>
      </c>
      <c r="AV126" s="318">
        <v>0</v>
      </c>
    </row>
    <row r="127" spans="2:48" ht="15.75" thickBot="1">
      <c r="B127" s="38" t="s">
        <v>462</v>
      </c>
      <c r="C127" s="38" t="s">
        <v>98</v>
      </c>
      <c r="D127" s="418" t="s">
        <v>105</v>
      </c>
      <c r="E127" s="418" t="s">
        <v>112</v>
      </c>
      <c r="F127" s="418" t="s">
        <v>120</v>
      </c>
      <c r="G127" s="418" t="s">
        <v>125</v>
      </c>
      <c r="H127" s="418" t="s">
        <v>131</v>
      </c>
      <c r="I127" s="418" t="s">
        <v>136</v>
      </c>
      <c r="J127" s="418" t="s">
        <v>140</v>
      </c>
      <c r="K127" s="418" t="s">
        <v>145</v>
      </c>
      <c r="L127" s="418" t="s">
        <v>149</v>
      </c>
      <c r="M127" s="418" t="s">
        <v>153</v>
      </c>
      <c r="N127" s="418" t="s">
        <v>156</v>
      </c>
      <c r="O127" s="419" t="s">
        <v>159</v>
      </c>
      <c r="P127" s="420" t="s">
        <v>161</v>
      </c>
      <c r="R127" s="5" t="s">
        <v>214</v>
      </c>
      <c r="S127" s="4">
        <v>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/>
      <c r="AI127" s="5" t="s">
        <v>214</v>
      </c>
      <c r="AJ127" s="319">
        <v>135</v>
      </c>
      <c r="AK127" s="73">
        <v>0</v>
      </c>
      <c r="AL127" s="73">
        <v>0</v>
      </c>
      <c r="AM127" s="73">
        <v>0</v>
      </c>
      <c r="AN127" s="73">
        <v>0</v>
      </c>
      <c r="AO127" s="73">
        <v>0</v>
      </c>
      <c r="AP127" s="73">
        <v>0</v>
      </c>
      <c r="AQ127" s="73">
        <v>0</v>
      </c>
      <c r="AR127" s="73">
        <v>0</v>
      </c>
      <c r="AS127" s="73">
        <v>0</v>
      </c>
      <c r="AT127" s="73">
        <v>0</v>
      </c>
      <c r="AU127" s="73">
        <v>0</v>
      </c>
      <c r="AV127" s="320">
        <v>0</v>
      </c>
    </row>
    <row r="128" spans="2:48">
      <c r="B128" s="3" t="s">
        <v>210</v>
      </c>
      <c r="C128" s="150">
        <v>197</v>
      </c>
      <c r="D128" s="72">
        <v>0</v>
      </c>
      <c r="E128" s="72">
        <v>0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421">
        <v>0</v>
      </c>
      <c r="R128" s="5" t="s">
        <v>218</v>
      </c>
      <c r="S128" s="4">
        <v>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/>
      <c r="AI128" s="5" t="s">
        <v>218</v>
      </c>
      <c r="AJ128" s="319">
        <v>119</v>
      </c>
      <c r="AK128" s="73">
        <v>0</v>
      </c>
      <c r="AL128" s="73">
        <v>0</v>
      </c>
      <c r="AM128" s="73">
        <v>0</v>
      </c>
      <c r="AN128" s="73">
        <v>0</v>
      </c>
      <c r="AO128" s="73">
        <v>0</v>
      </c>
      <c r="AP128" s="73">
        <v>28</v>
      </c>
      <c r="AQ128" s="73">
        <v>13</v>
      </c>
      <c r="AR128" s="73">
        <v>79</v>
      </c>
      <c r="AS128" s="73">
        <v>0</v>
      </c>
      <c r="AT128" s="73">
        <v>0</v>
      </c>
      <c r="AU128" s="73">
        <v>121</v>
      </c>
      <c r="AV128" s="320">
        <v>29</v>
      </c>
    </row>
    <row r="129" spans="2:48">
      <c r="B129" s="5" t="s">
        <v>214</v>
      </c>
      <c r="C129" s="73">
        <v>225</v>
      </c>
      <c r="D129" s="73">
        <v>0</v>
      </c>
      <c r="E129" s="73">
        <v>0</v>
      </c>
      <c r="F129" s="73">
        <v>0</v>
      </c>
      <c r="G129" s="73">
        <v>0</v>
      </c>
      <c r="H129" s="73">
        <v>0</v>
      </c>
      <c r="I129" s="73">
        <v>0</v>
      </c>
      <c r="J129" s="73">
        <v>0</v>
      </c>
      <c r="K129" s="73">
        <v>0</v>
      </c>
      <c r="L129" s="73">
        <v>0</v>
      </c>
      <c r="M129" s="73">
        <v>0</v>
      </c>
      <c r="N129" s="73">
        <v>0</v>
      </c>
      <c r="O129" s="73">
        <v>0</v>
      </c>
      <c r="P129" s="422">
        <v>0</v>
      </c>
      <c r="R129" s="5" t="s">
        <v>222</v>
      </c>
      <c r="S129" s="4">
        <v>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/>
      <c r="AI129" s="5" t="s">
        <v>222</v>
      </c>
      <c r="AJ129" s="319">
        <v>151</v>
      </c>
      <c r="AK129" s="73">
        <v>0</v>
      </c>
      <c r="AL129" s="73">
        <v>0</v>
      </c>
      <c r="AM129" s="73">
        <v>0</v>
      </c>
      <c r="AN129" s="73">
        <v>0</v>
      </c>
      <c r="AO129" s="73">
        <v>0</v>
      </c>
      <c r="AP129" s="73">
        <v>0</v>
      </c>
      <c r="AQ129" s="73">
        <v>0</v>
      </c>
      <c r="AR129" s="73">
        <v>0</v>
      </c>
      <c r="AS129" s="73">
        <v>0</v>
      </c>
      <c r="AT129" s="73">
        <v>0</v>
      </c>
      <c r="AU129" s="73">
        <v>0</v>
      </c>
      <c r="AV129" s="320">
        <v>0</v>
      </c>
    </row>
    <row r="130" spans="2:48">
      <c r="B130" s="5" t="s">
        <v>218</v>
      </c>
      <c r="C130" s="73">
        <v>198</v>
      </c>
      <c r="D130" s="73">
        <v>0</v>
      </c>
      <c r="E130" s="73">
        <v>0</v>
      </c>
      <c r="F130" s="73">
        <v>0</v>
      </c>
      <c r="G130" s="73">
        <v>0</v>
      </c>
      <c r="H130" s="73">
        <v>0</v>
      </c>
      <c r="I130" s="73">
        <v>0</v>
      </c>
      <c r="J130" s="73">
        <v>0</v>
      </c>
      <c r="K130" s="73">
        <v>0</v>
      </c>
      <c r="L130" s="73">
        <v>0</v>
      </c>
      <c r="M130" s="73">
        <v>0</v>
      </c>
      <c r="N130" s="73">
        <v>0</v>
      </c>
      <c r="O130" s="73">
        <v>0</v>
      </c>
      <c r="P130" s="422">
        <v>0</v>
      </c>
      <c r="R130" s="5" t="s">
        <v>225</v>
      </c>
      <c r="S130" s="4">
        <v>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/>
      <c r="AI130" s="5" t="s">
        <v>225</v>
      </c>
      <c r="AJ130" s="319">
        <v>131</v>
      </c>
      <c r="AK130" s="73">
        <v>0</v>
      </c>
      <c r="AL130" s="73">
        <v>0</v>
      </c>
      <c r="AM130" s="73">
        <v>0</v>
      </c>
      <c r="AN130" s="73">
        <v>0</v>
      </c>
      <c r="AO130" s="73">
        <v>0</v>
      </c>
      <c r="AP130" s="73">
        <v>25</v>
      </c>
      <c r="AQ130" s="73">
        <v>0</v>
      </c>
      <c r="AR130" s="73">
        <v>0</v>
      </c>
      <c r="AS130" s="73">
        <v>0</v>
      </c>
      <c r="AT130" s="73">
        <v>0</v>
      </c>
      <c r="AU130" s="73">
        <v>0</v>
      </c>
      <c r="AV130" s="320">
        <v>0</v>
      </c>
    </row>
    <row r="131" spans="2:48">
      <c r="B131" s="5" t="s">
        <v>222</v>
      </c>
      <c r="C131" s="73">
        <v>252</v>
      </c>
      <c r="D131" s="73">
        <v>0</v>
      </c>
      <c r="E131" s="73">
        <v>0</v>
      </c>
      <c r="F131" s="73">
        <v>0</v>
      </c>
      <c r="G131" s="73">
        <v>0</v>
      </c>
      <c r="H131" s="73">
        <v>0</v>
      </c>
      <c r="I131" s="73">
        <v>0</v>
      </c>
      <c r="J131" s="73">
        <v>0</v>
      </c>
      <c r="K131" s="73">
        <v>0</v>
      </c>
      <c r="L131" s="73">
        <v>0</v>
      </c>
      <c r="M131" s="73">
        <v>0</v>
      </c>
      <c r="N131" s="73">
        <v>0</v>
      </c>
      <c r="O131" s="73">
        <v>0</v>
      </c>
      <c r="P131" s="422">
        <v>0</v>
      </c>
      <c r="R131" s="5" t="s">
        <v>227</v>
      </c>
      <c r="S131" s="4">
        <v>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/>
      <c r="AI131" s="5" t="s">
        <v>227</v>
      </c>
      <c r="AJ131" s="319">
        <v>169</v>
      </c>
      <c r="AK131" s="73">
        <v>0</v>
      </c>
      <c r="AL131" s="73">
        <v>0</v>
      </c>
      <c r="AM131" s="73">
        <v>0</v>
      </c>
      <c r="AN131" s="73">
        <v>0</v>
      </c>
      <c r="AO131" s="73">
        <v>0</v>
      </c>
      <c r="AP131" s="73">
        <v>36</v>
      </c>
      <c r="AQ131" s="73">
        <v>0</v>
      </c>
      <c r="AR131" s="73">
        <v>0</v>
      </c>
      <c r="AS131" s="73">
        <v>0</v>
      </c>
      <c r="AT131" s="73">
        <v>0</v>
      </c>
      <c r="AU131" s="73">
        <v>0</v>
      </c>
      <c r="AV131" s="320">
        <v>0</v>
      </c>
    </row>
    <row r="132" spans="2:48">
      <c r="B132" s="5" t="s">
        <v>225</v>
      </c>
      <c r="C132" s="73">
        <v>218</v>
      </c>
      <c r="D132" s="73">
        <v>0</v>
      </c>
      <c r="E132" s="73">
        <v>0</v>
      </c>
      <c r="F132" s="73">
        <v>0</v>
      </c>
      <c r="G132" s="73">
        <v>0</v>
      </c>
      <c r="H132" s="73">
        <v>0</v>
      </c>
      <c r="I132" s="73">
        <v>0</v>
      </c>
      <c r="J132" s="73">
        <v>0</v>
      </c>
      <c r="K132" s="73">
        <v>0</v>
      </c>
      <c r="L132" s="73">
        <v>0</v>
      </c>
      <c r="M132" s="73">
        <v>0</v>
      </c>
      <c r="N132" s="73">
        <v>0</v>
      </c>
      <c r="O132" s="73">
        <v>0</v>
      </c>
      <c r="P132" s="422">
        <v>0</v>
      </c>
      <c r="R132" s="5" t="s">
        <v>229</v>
      </c>
      <c r="S132" s="4">
        <v>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/>
      <c r="AI132" s="5" t="s">
        <v>229</v>
      </c>
      <c r="AJ132" s="319">
        <v>120</v>
      </c>
      <c r="AK132" s="73">
        <v>0</v>
      </c>
      <c r="AL132" s="73">
        <v>0</v>
      </c>
      <c r="AM132" s="73">
        <v>0</v>
      </c>
      <c r="AN132" s="73">
        <v>0</v>
      </c>
      <c r="AO132" s="73">
        <v>0</v>
      </c>
      <c r="AP132" s="73">
        <v>0</v>
      </c>
      <c r="AQ132" s="73">
        <v>0</v>
      </c>
      <c r="AR132" s="73">
        <v>0</v>
      </c>
      <c r="AS132" s="73">
        <v>0</v>
      </c>
      <c r="AT132" s="73">
        <v>0</v>
      </c>
      <c r="AU132" s="73">
        <v>0</v>
      </c>
      <c r="AV132" s="320">
        <v>0</v>
      </c>
    </row>
    <row r="133" spans="2:48">
      <c r="B133" s="5" t="s">
        <v>227</v>
      </c>
      <c r="C133" s="73">
        <v>282</v>
      </c>
      <c r="D133" s="73">
        <v>0</v>
      </c>
      <c r="E133" s="73">
        <v>0</v>
      </c>
      <c r="F133" s="73">
        <v>0</v>
      </c>
      <c r="G133" s="73">
        <v>0</v>
      </c>
      <c r="H133" s="73">
        <v>0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3">
        <v>0</v>
      </c>
      <c r="P133" s="422">
        <v>0</v>
      </c>
      <c r="R133" s="5" t="s">
        <v>232</v>
      </c>
      <c r="S133" s="4">
        <v>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/>
      <c r="AI133" s="5" t="s">
        <v>232</v>
      </c>
      <c r="AJ133" s="319">
        <v>138</v>
      </c>
      <c r="AK133" s="73">
        <v>0</v>
      </c>
      <c r="AL133" s="73">
        <v>0</v>
      </c>
      <c r="AM133" s="73">
        <v>0</v>
      </c>
      <c r="AN133" s="73">
        <v>0</v>
      </c>
      <c r="AO133" s="73">
        <v>0</v>
      </c>
      <c r="AP133" s="73">
        <v>0</v>
      </c>
      <c r="AQ133" s="73">
        <v>0</v>
      </c>
      <c r="AR133" s="73">
        <v>0</v>
      </c>
      <c r="AS133" s="73">
        <v>0</v>
      </c>
      <c r="AT133" s="73">
        <v>0</v>
      </c>
      <c r="AU133" s="73">
        <v>0</v>
      </c>
      <c r="AV133" s="320">
        <v>0</v>
      </c>
    </row>
    <row r="134" spans="2:48">
      <c r="B134" s="5" t="s">
        <v>229</v>
      </c>
      <c r="C134" s="73">
        <v>200</v>
      </c>
      <c r="D134" s="73">
        <v>0</v>
      </c>
      <c r="E134" s="73">
        <v>0</v>
      </c>
      <c r="F134" s="73">
        <v>0</v>
      </c>
      <c r="G134" s="73">
        <v>0</v>
      </c>
      <c r="H134" s="73">
        <v>0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3">
        <v>0</v>
      </c>
      <c r="O134" s="73">
        <v>0</v>
      </c>
      <c r="P134" s="422">
        <v>0</v>
      </c>
      <c r="R134" s="5" t="s">
        <v>234</v>
      </c>
      <c r="S134" s="4">
        <v>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/>
      <c r="AI134" s="5" t="s">
        <v>234</v>
      </c>
      <c r="AJ134" s="319">
        <v>152</v>
      </c>
      <c r="AK134" s="73">
        <v>0</v>
      </c>
      <c r="AL134" s="73">
        <v>0</v>
      </c>
      <c r="AM134" s="73">
        <v>0</v>
      </c>
      <c r="AN134" s="73">
        <v>0</v>
      </c>
      <c r="AO134" s="73">
        <v>0</v>
      </c>
      <c r="AP134" s="73">
        <v>0</v>
      </c>
      <c r="AQ134" s="73">
        <v>0</v>
      </c>
      <c r="AR134" s="73">
        <v>0</v>
      </c>
      <c r="AS134" s="73">
        <v>0</v>
      </c>
      <c r="AT134" s="73">
        <v>0</v>
      </c>
      <c r="AU134" s="73">
        <v>0</v>
      </c>
      <c r="AV134" s="320">
        <v>0</v>
      </c>
    </row>
    <row r="135" spans="2:48">
      <c r="B135" s="5" t="s">
        <v>232</v>
      </c>
      <c r="C135" s="73">
        <v>230</v>
      </c>
      <c r="D135" s="73">
        <v>0</v>
      </c>
      <c r="E135" s="73">
        <v>0</v>
      </c>
      <c r="F135" s="73">
        <v>0</v>
      </c>
      <c r="G135" s="73">
        <v>0</v>
      </c>
      <c r="H135" s="73">
        <v>0</v>
      </c>
      <c r="I135" s="73">
        <v>0</v>
      </c>
      <c r="J135" s="73">
        <v>0</v>
      </c>
      <c r="K135" s="73">
        <v>0</v>
      </c>
      <c r="L135" s="73">
        <v>0</v>
      </c>
      <c r="M135" s="73">
        <v>0</v>
      </c>
      <c r="N135" s="73">
        <v>0</v>
      </c>
      <c r="O135" s="73">
        <v>0</v>
      </c>
      <c r="P135" s="422">
        <v>0</v>
      </c>
      <c r="R135" s="5" t="s">
        <v>236</v>
      </c>
      <c r="S135" s="4">
        <v>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/>
      <c r="AI135" s="5" t="s">
        <v>236</v>
      </c>
      <c r="AJ135" s="319">
        <v>141</v>
      </c>
      <c r="AK135" s="73">
        <v>0</v>
      </c>
      <c r="AL135" s="73">
        <v>0</v>
      </c>
      <c r="AM135" s="73">
        <v>0</v>
      </c>
      <c r="AN135" s="73">
        <v>0</v>
      </c>
      <c r="AO135" s="73">
        <v>0</v>
      </c>
      <c r="AP135" s="73">
        <v>36</v>
      </c>
      <c r="AQ135" s="73">
        <v>0</v>
      </c>
      <c r="AR135" s="73">
        <v>0</v>
      </c>
      <c r="AS135" s="73">
        <v>0</v>
      </c>
      <c r="AT135" s="73">
        <v>0</v>
      </c>
      <c r="AU135" s="73">
        <v>112</v>
      </c>
      <c r="AV135" s="320">
        <v>0</v>
      </c>
    </row>
    <row r="136" spans="2:48">
      <c r="B136" s="5" t="s">
        <v>234</v>
      </c>
      <c r="C136" s="73">
        <v>253</v>
      </c>
      <c r="D136" s="73">
        <v>0</v>
      </c>
      <c r="E136" s="73">
        <v>0</v>
      </c>
      <c r="F136" s="73">
        <v>0</v>
      </c>
      <c r="G136" s="73">
        <v>0</v>
      </c>
      <c r="H136" s="73">
        <v>0</v>
      </c>
      <c r="I136" s="73">
        <v>0</v>
      </c>
      <c r="J136" s="73">
        <v>0</v>
      </c>
      <c r="K136" s="73">
        <v>0</v>
      </c>
      <c r="L136" s="73">
        <v>0</v>
      </c>
      <c r="M136" s="73">
        <v>0</v>
      </c>
      <c r="N136" s="73">
        <v>0</v>
      </c>
      <c r="O136" s="73">
        <v>0</v>
      </c>
      <c r="P136" s="422">
        <v>0</v>
      </c>
      <c r="R136" s="314" t="s">
        <v>240</v>
      </c>
      <c r="S136" s="4">
        <v>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/>
      <c r="AI136" s="314" t="s">
        <v>240</v>
      </c>
      <c r="AJ136" s="321">
        <v>175</v>
      </c>
      <c r="AK136" s="240">
        <v>0</v>
      </c>
      <c r="AL136" s="240">
        <v>0</v>
      </c>
      <c r="AM136" s="240">
        <v>0</v>
      </c>
      <c r="AN136" s="240">
        <v>95</v>
      </c>
      <c r="AO136" s="240">
        <v>61</v>
      </c>
      <c r="AP136" s="240">
        <v>0</v>
      </c>
      <c r="AQ136" s="240">
        <v>0</v>
      </c>
      <c r="AR136" s="240">
        <v>0</v>
      </c>
      <c r="AS136" s="240">
        <v>0</v>
      </c>
      <c r="AT136" s="240">
        <v>126</v>
      </c>
      <c r="AU136" s="240">
        <v>0</v>
      </c>
      <c r="AV136" s="322">
        <v>0</v>
      </c>
    </row>
    <row r="137" spans="2:48">
      <c r="B137" s="5" t="s">
        <v>236</v>
      </c>
      <c r="C137" s="73">
        <v>235</v>
      </c>
      <c r="D137" s="73">
        <v>0</v>
      </c>
      <c r="E137" s="73">
        <v>0</v>
      </c>
      <c r="F137" s="73">
        <v>0</v>
      </c>
      <c r="G137" s="73">
        <v>0</v>
      </c>
      <c r="H137" s="73">
        <v>0</v>
      </c>
      <c r="I137" s="73">
        <v>0</v>
      </c>
      <c r="J137" s="73">
        <v>0</v>
      </c>
      <c r="K137" s="73">
        <v>0</v>
      </c>
      <c r="L137" s="73">
        <v>0</v>
      </c>
      <c r="M137" s="73">
        <v>0</v>
      </c>
      <c r="N137" s="73">
        <v>0</v>
      </c>
      <c r="O137" s="73">
        <v>0</v>
      </c>
      <c r="P137" s="422">
        <v>0</v>
      </c>
      <c r="R137" s="314" t="s">
        <v>126</v>
      </c>
      <c r="S137" s="4">
        <v>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/>
      <c r="AI137" s="314" t="s">
        <v>126</v>
      </c>
      <c r="AJ137" s="321">
        <v>182</v>
      </c>
      <c r="AK137" s="240">
        <v>0</v>
      </c>
      <c r="AL137" s="240">
        <v>0</v>
      </c>
      <c r="AM137" s="240">
        <v>0</v>
      </c>
      <c r="AN137" s="240">
        <v>0</v>
      </c>
      <c r="AO137" s="240">
        <v>0</v>
      </c>
      <c r="AP137" s="240">
        <v>0</v>
      </c>
      <c r="AQ137" s="240">
        <v>0</v>
      </c>
      <c r="AR137" s="240">
        <v>0</v>
      </c>
      <c r="AS137" s="240">
        <v>0</v>
      </c>
      <c r="AT137" s="240">
        <v>0</v>
      </c>
      <c r="AU137" s="240">
        <v>0</v>
      </c>
      <c r="AV137" s="322">
        <v>0</v>
      </c>
    </row>
    <row r="138" spans="2:48">
      <c r="B138" s="314" t="s">
        <v>240</v>
      </c>
      <c r="C138" s="240">
        <v>292</v>
      </c>
      <c r="D138" s="240">
        <v>0</v>
      </c>
      <c r="E138" s="240">
        <v>0</v>
      </c>
      <c r="F138" s="240">
        <v>0</v>
      </c>
      <c r="G138" s="240">
        <v>0</v>
      </c>
      <c r="H138" s="240">
        <v>0</v>
      </c>
      <c r="I138" s="240">
        <v>0</v>
      </c>
      <c r="J138" s="240">
        <v>0</v>
      </c>
      <c r="K138" s="240">
        <v>0</v>
      </c>
      <c r="L138" s="240">
        <v>0</v>
      </c>
      <c r="M138" s="240">
        <v>0</v>
      </c>
      <c r="N138" s="240">
        <v>0</v>
      </c>
      <c r="O138" s="240">
        <v>0</v>
      </c>
      <c r="P138" s="423">
        <v>0</v>
      </c>
      <c r="R138" s="314" t="s">
        <v>242</v>
      </c>
      <c r="S138" s="4">
        <v>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87"/>
      <c r="AI138" s="314" t="s">
        <v>242</v>
      </c>
      <c r="AJ138" s="321">
        <v>145</v>
      </c>
      <c r="AV138" s="411"/>
    </row>
    <row r="139" spans="2:48" ht="15.75" thickBot="1">
      <c r="B139" s="314" t="s">
        <v>126</v>
      </c>
      <c r="C139" s="240">
        <v>303</v>
      </c>
      <c r="D139" s="240">
        <v>0</v>
      </c>
      <c r="E139" s="240">
        <v>0</v>
      </c>
      <c r="F139" s="240">
        <v>0</v>
      </c>
      <c r="G139" s="240">
        <v>0</v>
      </c>
      <c r="H139" s="240">
        <v>0</v>
      </c>
      <c r="I139" s="240">
        <v>0</v>
      </c>
      <c r="J139" s="240">
        <v>0</v>
      </c>
      <c r="K139" s="240">
        <v>0</v>
      </c>
      <c r="L139" s="240">
        <v>0</v>
      </c>
      <c r="M139" s="240">
        <v>0</v>
      </c>
      <c r="N139" s="240">
        <v>0</v>
      </c>
      <c r="O139" s="240">
        <v>0</v>
      </c>
      <c r="P139" s="423">
        <v>0</v>
      </c>
      <c r="R139" s="85" t="s">
        <v>239</v>
      </c>
      <c r="S139" s="4">
        <v>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I139" s="85" t="s">
        <v>239</v>
      </c>
      <c r="AJ139" s="323">
        <v>173</v>
      </c>
      <c r="AK139" s="416"/>
      <c r="AL139" s="416"/>
      <c r="AM139" s="416"/>
      <c r="AN139" s="416"/>
      <c r="AO139" s="416"/>
      <c r="AP139" s="416"/>
      <c r="AQ139" s="416"/>
      <c r="AR139" s="416"/>
      <c r="AS139" s="416"/>
      <c r="AT139" s="416"/>
      <c r="AU139" s="416"/>
      <c r="AV139" s="417"/>
    </row>
    <row r="140" spans="2:48" ht="15.75" thickBot="1">
      <c r="B140" s="314" t="s">
        <v>242</v>
      </c>
      <c r="C140" s="240">
        <v>242</v>
      </c>
      <c r="D140" s="240">
        <v>0</v>
      </c>
      <c r="E140" s="240">
        <v>0</v>
      </c>
      <c r="F140" s="240">
        <v>0</v>
      </c>
      <c r="G140" s="240">
        <v>0</v>
      </c>
      <c r="H140" s="240">
        <v>0</v>
      </c>
      <c r="I140" s="240">
        <v>0</v>
      </c>
      <c r="J140" s="240">
        <v>0</v>
      </c>
      <c r="K140" s="240">
        <v>0</v>
      </c>
      <c r="L140" s="240">
        <v>0</v>
      </c>
      <c r="M140" s="240">
        <v>0</v>
      </c>
      <c r="N140" s="240">
        <v>0</v>
      </c>
      <c r="O140" s="240">
        <v>0</v>
      </c>
      <c r="P140" s="423">
        <v>0</v>
      </c>
      <c r="R140" s="86"/>
      <c r="S140" s="87">
        <f>SUBTOTAL(109,TbCountHealth32[US])</f>
        <v>48</v>
      </c>
      <c r="T140" s="87">
        <f>SUBTOTAL(109,TbCountHealth32[UK])</f>
        <v>0</v>
      </c>
      <c r="U140" s="87">
        <f>SUBTOTAL(109,TbCountHealth32[DE])</f>
        <v>0</v>
      </c>
      <c r="V140" s="87">
        <f>SUBTOTAL(109,TbCountHealth32[PL])</f>
        <v>0</v>
      </c>
      <c r="W140" s="87">
        <f>SUBTOTAL(109,TbCountHealth32[NL])</f>
        <v>0</v>
      </c>
      <c r="X140" s="87">
        <f>SUBTOTAL(109,TbCountHealth32[MX])</f>
        <v>0</v>
      </c>
      <c r="Y140" s="87">
        <f>SUBTOTAL(109,TbCountHealth32[IN])</f>
        <v>0</v>
      </c>
      <c r="Z140" s="87">
        <f>SUBTOTAL(109,TbCountHealth32[EG])</f>
        <v>0</v>
      </c>
      <c r="AA140" s="87">
        <f>SUBTOTAL(109,TbCountHealth32[CAN])</f>
        <v>0</v>
      </c>
      <c r="AB140" s="87">
        <f>SUBTOTAL(109,TbCountHealth32[AU])</f>
        <v>0</v>
      </c>
      <c r="AC140" s="87">
        <f>SUBTOTAL(109,TbCountHealth32[AE])</f>
        <v>0</v>
      </c>
      <c r="AD140" s="87">
        <f>SUBTOTAL(109,TbCountHealth32[SG])</f>
        <v>0</v>
      </c>
      <c r="AE140" s="87">
        <f>SUBTOTAL(109,TbCountHealth32[VN])</f>
        <v>0</v>
      </c>
      <c r="AG140" s="348">
        <f>SUM(TbCountHealth32[[#Totals],[US]:[VN]])</f>
        <v>48</v>
      </c>
    </row>
    <row r="141" spans="2:48" ht="15.75" thickBot="1">
      <c r="B141" s="85" t="s">
        <v>239</v>
      </c>
      <c r="C141" s="324">
        <v>288</v>
      </c>
      <c r="D141" s="324">
        <v>0</v>
      </c>
      <c r="E141" s="324">
        <v>0</v>
      </c>
      <c r="F141" s="324">
        <v>0</v>
      </c>
      <c r="G141" s="324">
        <v>0</v>
      </c>
      <c r="H141" s="324">
        <v>0</v>
      </c>
      <c r="I141" s="324">
        <v>0</v>
      </c>
      <c r="J141" s="324">
        <v>0</v>
      </c>
      <c r="K141" s="324">
        <v>0</v>
      </c>
      <c r="L141" s="324">
        <v>0</v>
      </c>
      <c r="M141" s="324">
        <v>0</v>
      </c>
      <c r="N141" s="324">
        <v>0</v>
      </c>
      <c r="O141" s="324">
        <v>0</v>
      </c>
      <c r="P141" s="424">
        <v>0</v>
      </c>
    </row>
  </sheetData>
  <sheetProtection algorithmName="SHA-512" hashValue="YJFrHLXGjGn30YF4eSNrfK3nwSy8VcRo8YzGb19L7lvE4ruZWlhAmB13M6onEa/U43t/7YsivmbVnoxWnhAFXg==" saltValue="pUYjFoVGbMVHY3GGvE0fDw==" spinCount="100000" sheet="1" selectLockedCells="1" selectUnlockedCells="1"/>
  <pageMargins left="0.7" right="0.7" top="0.75" bottom="0.75" header="0.3" footer="0.3"/>
  <pageSetup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9851-D416-4373-857F-11BEF680A056}">
  <sheetPr codeName="Sheet9"/>
  <dimension ref="A1:CW78"/>
  <sheetViews>
    <sheetView topLeftCell="A17" zoomScaleNormal="100" workbookViewId="0">
      <pane xSplit="4" topLeftCell="H1" activePane="topRight" state="frozen"/>
      <selection pane="topRight" activeCell="N49" sqref="N49"/>
    </sheetView>
  </sheetViews>
  <sheetFormatPr defaultColWidth="4.42578125" defaultRowHeight="15" customHeight="1" outlineLevelRow="1"/>
  <cols>
    <col min="1" max="1" width="2.42578125" customWidth="1"/>
    <col min="2" max="2" width="20" customWidth="1"/>
    <col min="3" max="3" width="24.140625" customWidth="1"/>
    <col min="4" max="4" width="8.85546875" customWidth="1"/>
    <col min="5" max="5" width="12.85546875" customWidth="1"/>
    <col min="6" max="6" width="8.42578125" customWidth="1"/>
    <col min="7" max="7" width="11.42578125" style="11" customWidth="1"/>
    <col min="8" max="8" width="15.42578125" style="11" customWidth="1"/>
    <col min="9" max="9" width="6.42578125" style="11" customWidth="1"/>
    <col min="10" max="33" width="5.42578125" style="11" customWidth="1"/>
    <col min="34" max="45" width="5.42578125" style="62" customWidth="1"/>
    <col min="46" max="59" width="5.42578125" customWidth="1"/>
    <col min="100" max="100" width="4" customWidth="1"/>
  </cols>
  <sheetData>
    <row r="1" spans="1:101" ht="23.1" customHeight="1">
      <c r="A1" s="62"/>
      <c r="B1" s="62"/>
      <c r="C1" s="263" t="s">
        <v>504</v>
      </c>
      <c r="D1" s="263"/>
      <c r="E1" s="263"/>
      <c r="F1" s="263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CV1" t="s">
        <v>505</v>
      </c>
    </row>
    <row r="2" spans="1:101">
      <c r="A2" s="62"/>
      <c r="B2" s="265" t="s">
        <v>506</v>
      </c>
      <c r="C2" s="265" t="s">
        <v>507</v>
      </c>
      <c r="D2" s="266" t="s">
        <v>508</v>
      </c>
      <c r="E2" s="266" t="s">
        <v>509</v>
      </c>
      <c r="F2" s="265"/>
      <c r="G2" s="265" t="s">
        <v>510</v>
      </c>
      <c r="H2" s="266">
        <v>1</v>
      </c>
      <c r="I2" s="266">
        <v>2</v>
      </c>
      <c r="J2" s="266">
        <v>3</v>
      </c>
      <c r="K2" s="266">
        <v>4</v>
      </c>
      <c r="L2" s="266">
        <v>5</v>
      </c>
      <c r="M2" s="266">
        <f t="shared" ref="M2:AG2" si="0">L2+1</f>
        <v>6</v>
      </c>
      <c r="N2" s="266">
        <f t="shared" si="0"/>
        <v>7</v>
      </c>
      <c r="O2" s="266">
        <f t="shared" si="0"/>
        <v>8</v>
      </c>
      <c r="P2" s="266">
        <f t="shared" si="0"/>
        <v>9</v>
      </c>
      <c r="Q2" s="266">
        <f t="shared" si="0"/>
        <v>10</v>
      </c>
      <c r="R2" s="266">
        <f t="shared" si="0"/>
        <v>11</v>
      </c>
      <c r="S2" s="266">
        <f t="shared" si="0"/>
        <v>12</v>
      </c>
      <c r="T2" s="266">
        <f t="shared" si="0"/>
        <v>13</v>
      </c>
      <c r="U2" s="266">
        <f t="shared" si="0"/>
        <v>14</v>
      </c>
      <c r="V2" s="266">
        <f t="shared" si="0"/>
        <v>15</v>
      </c>
      <c r="W2" s="266">
        <f t="shared" si="0"/>
        <v>16</v>
      </c>
      <c r="X2" s="266">
        <f t="shared" si="0"/>
        <v>17</v>
      </c>
      <c r="Y2" s="266">
        <f t="shared" si="0"/>
        <v>18</v>
      </c>
      <c r="Z2" s="266">
        <f t="shared" si="0"/>
        <v>19</v>
      </c>
      <c r="AA2" s="266">
        <f t="shared" si="0"/>
        <v>20</v>
      </c>
      <c r="AB2" s="266">
        <f t="shared" si="0"/>
        <v>21</v>
      </c>
      <c r="AC2" s="266">
        <f t="shared" si="0"/>
        <v>22</v>
      </c>
      <c r="AD2" s="266">
        <f t="shared" si="0"/>
        <v>23</v>
      </c>
      <c r="AE2" s="266">
        <f t="shared" si="0"/>
        <v>24</v>
      </c>
      <c r="AF2" s="266">
        <f t="shared" si="0"/>
        <v>25</v>
      </c>
      <c r="AG2" s="266">
        <f t="shared" si="0"/>
        <v>26</v>
      </c>
      <c r="AH2" s="266">
        <f t="shared" ref="AH2" si="1">AG2+1</f>
        <v>27</v>
      </c>
      <c r="AI2" s="266">
        <f t="shared" ref="AI2" si="2">AH2+1</f>
        <v>28</v>
      </c>
      <c r="AJ2" s="266">
        <f t="shared" ref="AJ2" si="3">AI2+1</f>
        <v>29</v>
      </c>
      <c r="AK2" s="266">
        <f t="shared" ref="AK2" si="4">AJ2+1</f>
        <v>30</v>
      </c>
      <c r="AL2" s="266">
        <f t="shared" ref="AL2" si="5">AK2+1</f>
        <v>31</v>
      </c>
      <c r="AM2" s="266">
        <f t="shared" ref="AM2" si="6">AL2+1</f>
        <v>32</v>
      </c>
      <c r="AN2" s="266">
        <f t="shared" ref="AN2" si="7">AM2+1</f>
        <v>33</v>
      </c>
      <c r="AO2" s="266">
        <f t="shared" ref="AO2" si="8">AN2+1</f>
        <v>34</v>
      </c>
      <c r="AP2" s="266">
        <f t="shared" ref="AP2" si="9">AO2+1</f>
        <v>35</v>
      </c>
      <c r="AQ2" s="266">
        <f t="shared" ref="AQ2" si="10">AP2+1</f>
        <v>36</v>
      </c>
      <c r="AR2" s="266">
        <f t="shared" ref="AR2" si="11">AQ2+1</f>
        <v>37</v>
      </c>
      <c r="AS2" s="266">
        <f t="shared" ref="AS2" si="12">AR2+1</f>
        <v>38</v>
      </c>
      <c r="AT2" s="266">
        <f t="shared" ref="AT2" si="13">AS2+1</f>
        <v>39</v>
      </c>
      <c r="AU2" s="266">
        <f t="shared" ref="AU2" si="14">AT2+1</f>
        <v>40</v>
      </c>
      <c r="AV2" s="266">
        <f t="shared" ref="AV2" si="15">AU2+1</f>
        <v>41</v>
      </c>
      <c r="AW2" s="266">
        <f t="shared" ref="AW2" si="16">AV2+1</f>
        <v>42</v>
      </c>
      <c r="AX2" s="266">
        <f t="shared" ref="AX2" si="17">AW2+1</f>
        <v>43</v>
      </c>
      <c r="AY2" s="266">
        <f t="shared" ref="AY2" si="18">AX2+1</f>
        <v>44</v>
      </c>
      <c r="AZ2" s="266">
        <f t="shared" ref="AZ2" si="19">AY2+1</f>
        <v>45</v>
      </c>
      <c r="BA2" s="266">
        <f t="shared" ref="BA2" si="20">AZ2+1</f>
        <v>46</v>
      </c>
      <c r="BB2" s="266">
        <f t="shared" ref="BB2" si="21">BA2+1</f>
        <v>47</v>
      </c>
      <c r="BC2" s="266">
        <f t="shared" ref="BC2" si="22">BB2+1</f>
        <v>48</v>
      </c>
      <c r="BD2" s="266">
        <f t="shared" ref="BD2" si="23">BC2+1</f>
        <v>49</v>
      </c>
      <c r="BE2" s="266">
        <f t="shared" ref="BE2" si="24">BD2+1</f>
        <v>50</v>
      </c>
      <c r="BF2" s="266">
        <f t="shared" ref="BF2" si="25">BE2+1</f>
        <v>51</v>
      </c>
      <c r="BG2" s="266">
        <f t="shared" ref="BG2" si="26">BF2+1</f>
        <v>52</v>
      </c>
      <c r="CV2" t="s">
        <v>511</v>
      </c>
      <c r="CW2" t="s">
        <v>512</v>
      </c>
    </row>
    <row r="3" spans="1:101">
      <c r="A3" s="62"/>
      <c r="B3" s="263"/>
      <c r="C3" s="263"/>
      <c r="D3" s="263"/>
      <c r="E3" s="263"/>
      <c r="F3" s="263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4"/>
      <c r="AT3" s="264"/>
      <c r="AU3" s="264"/>
      <c r="AV3" s="264"/>
      <c r="AW3" s="264"/>
      <c r="AX3" s="264"/>
      <c r="AY3" s="264"/>
      <c r="AZ3" s="264"/>
      <c r="BA3" s="264"/>
      <c r="BB3" s="264"/>
      <c r="BC3" s="264"/>
      <c r="BD3" s="264"/>
      <c r="BE3" s="264"/>
      <c r="BF3" s="264"/>
      <c r="BG3" s="264"/>
    </row>
    <row r="4" spans="1:101">
      <c r="A4" s="62"/>
      <c r="B4" s="267" t="s">
        <v>513</v>
      </c>
      <c r="C4" s="267" t="s">
        <v>514</v>
      </c>
      <c r="D4" s="296" t="s">
        <v>246</v>
      </c>
      <c r="E4" s="296" t="s">
        <v>255</v>
      </c>
      <c r="F4" s="264"/>
      <c r="G4" s="264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3"/>
      <c r="Y4" s="303"/>
      <c r="Z4" s="303"/>
      <c r="AA4" s="303"/>
      <c r="AB4" s="303"/>
      <c r="AC4" s="303"/>
      <c r="AD4" s="303"/>
      <c r="AE4" s="303"/>
      <c r="AF4" s="303"/>
      <c r="AG4" s="303"/>
      <c r="AH4" s="303"/>
      <c r="AI4" s="303"/>
      <c r="AJ4" s="303"/>
      <c r="AK4" s="303"/>
      <c r="AL4" s="303"/>
      <c r="AM4" s="303"/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  <c r="BE4" s="303"/>
      <c r="BF4" s="303"/>
      <c r="BG4" s="303"/>
      <c r="CV4">
        <f>IFERROR(VALUE(MID(D4,4,LEN(D4)-3)),0)</f>
        <v>1</v>
      </c>
      <c r="CW4">
        <f>IFERROR(VALUE(MID(E4,4,LEN(E4)-3)),0)</f>
        <v>10</v>
      </c>
    </row>
    <row r="5" spans="1:101">
      <c r="A5" s="62"/>
      <c r="B5" s="62"/>
      <c r="C5" s="62"/>
      <c r="D5" s="264"/>
      <c r="E5" s="264"/>
      <c r="F5" s="264"/>
      <c r="G5" s="264"/>
      <c r="H5" s="268"/>
      <c r="I5" s="268"/>
      <c r="J5" s="269"/>
      <c r="K5" s="269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9"/>
      <c r="AK5" s="269"/>
      <c r="AL5" s="268"/>
      <c r="AM5" s="268"/>
      <c r="AN5" s="268"/>
      <c r="AO5" s="268"/>
      <c r="AP5" s="268"/>
      <c r="AQ5" s="268"/>
      <c r="AR5" s="268"/>
      <c r="AS5" s="268"/>
      <c r="AT5" s="268"/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8"/>
      <c r="BF5" s="268"/>
      <c r="BG5" s="268"/>
    </row>
    <row r="6" spans="1:101">
      <c r="A6" s="62"/>
      <c r="B6" s="267" t="s">
        <v>515</v>
      </c>
      <c r="C6" s="267" t="s">
        <v>516</v>
      </c>
      <c r="D6" s="296" t="s">
        <v>260</v>
      </c>
      <c r="E6" s="296" t="s">
        <v>266</v>
      </c>
      <c r="F6" s="264"/>
      <c r="G6" s="264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03"/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CV6">
        <f>IFERROR(VALUE(MID(D6,4,LEN(D6)-3)),0)</f>
        <v>15</v>
      </c>
      <c r="CW6">
        <f>IFERROR(VALUE(MID(E6,4,LEN(E6)-3)),0)</f>
        <v>21</v>
      </c>
    </row>
    <row r="7" spans="1:101" hidden="1">
      <c r="A7" s="62"/>
      <c r="B7" s="62"/>
      <c r="C7" s="62"/>
      <c r="D7" s="264"/>
      <c r="E7" s="264"/>
      <c r="F7" s="264"/>
      <c r="G7" s="264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8"/>
      <c r="BG7" s="268"/>
    </row>
    <row r="8" spans="1:101" hidden="1">
      <c r="A8" s="62"/>
      <c r="B8" s="62"/>
      <c r="C8" s="62"/>
      <c r="D8" s="264"/>
      <c r="E8" s="264"/>
      <c r="F8" s="264"/>
      <c r="G8" s="264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268"/>
      <c r="BF8" s="268"/>
      <c r="BG8" s="268"/>
    </row>
    <row r="9" spans="1:101">
      <c r="A9" s="62"/>
      <c r="B9" s="62"/>
      <c r="C9" s="62"/>
      <c r="D9" s="264"/>
      <c r="E9" s="264"/>
      <c r="F9" s="264"/>
      <c r="G9" s="264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68"/>
      <c r="AK9" s="268"/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8"/>
      <c r="AW9" s="268"/>
      <c r="AX9" s="268"/>
      <c r="AY9" s="268"/>
      <c r="AZ9" s="268"/>
      <c r="BA9" s="268"/>
      <c r="BB9" s="268"/>
      <c r="BC9" s="268"/>
      <c r="BD9" s="268"/>
      <c r="BE9" s="268"/>
      <c r="BF9" s="268"/>
      <c r="BG9" s="268"/>
    </row>
    <row r="10" spans="1:101">
      <c r="A10" s="62"/>
      <c r="B10" s="267" t="s">
        <v>517</v>
      </c>
      <c r="C10" s="267"/>
      <c r="D10" s="296"/>
      <c r="E10" s="296"/>
      <c r="F10" s="264"/>
      <c r="G10" s="264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CV10">
        <f>IFERROR(VALUE(MID(D10,4,LEN(D10)-3)),0)</f>
        <v>0</v>
      </c>
      <c r="CW10">
        <f>IFERROR(VALUE(MID(E10,4,LEN(E10)-3)),0)</f>
        <v>0</v>
      </c>
    </row>
    <row r="11" spans="1:101">
      <c r="A11" s="62"/>
      <c r="D11" s="11"/>
      <c r="E11" s="11"/>
      <c r="F11" s="264"/>
      <c r="G11" s="264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8"/>
      <c r="AF11" s="268"/>
      <c r="AG11" s="268"/>
      <c r="AH11" s="268"/>
      <c r="AI11" s="268"/>
      <c r="AJ11" s="268"/>
      <c r="AK11" s="268"/>
      <c r="AL11" s="268"/>
      <c r="AM11" s="268"/>
      <c r="AN11" s="268"/>
      <c r="AO11" s="268"/>
      <c r="AP11" s="268"/>
      <c r="AQ11" s="268"/>
      <c r="AR11" s="268"/>
      <c r="AS11" s="268"/>
      <c r="AT11" s="268"/>
      <c r="AU11" s="268"/>
      <c r="AV11" s="268"/>
      <c r="AW11" s="268"/>
      <c r="AX11" s="268"/>
      <c r="AY11" s="268"/>
      <c r="AZ11" s="268"/>
      <c r="BA11" s="268"/>
      <c r="BB11" s="268"/>
      <c r="BC11" s="268"/>
      <c r="BD11" s="268"/>
      <c r="BE11" s="268"/>
      <c r="BF11" s="268"/>
      <c r="BG11" s="268"/>
    </row>
    <row r="12" spans="1:101">
      <c r="A12" s="62"/>
      <c r="B12" s="267" t="s">
        <v>518</v>
      </c>
      <c r="C12" s="267"/>
      <c r="D12" s="296"/>
      <c r="E12" s="296"/>
      <c r="F12" s="264"/>
      <c r="G12" s="264"/>
      <c r="H12" s="303"/>
      <c r="I12" s="303"/>
      <c r="J12" s="303"/>
      <c r="K12" s="303"/>
      <c r="L12" s="303"/>
      <c r="M12" s="303"/>
      <c r="N12" s="303"/>
      <c r="O12" s="303"/>
      <c r="P12" s="303"/>
      <c r="Q12" s="303"/>
      <c r="R12" s="303"/>
      <c r="S12" s="303"/>
      <c r="T12" s="303"/>
      <c r="U12" s="303"/>
      <c r="V12" s="303"/>
      <c r="W12" s="303"/>
      <c r="X12" s="303"/>
      <c r="Y12" s="303"/>
      <c r="Z12" s="303"/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CV12">
        <f>IFERROR(VALUE(MID(D12,4,LEN(D12)-3)),0)</f>
        <v>0</v>
      </c>
      <c r="CW12">
        <f>IFERROR(VALUE(MID(E12,4,LEN(E12)-3)),0)</f>
        <v>0</v>
      </c>
    </row>
    <row r="13" spans="1:101">
      <c r="A13" s="62"/>
      <c r="B13" s="62"/>
      <c r="C13" s="62"/>
      <c r="D13" s="264"/>
      <c r="E13" s="264"/>
      <c r="F13" s="264"/>
      <c r="G13" s="264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8"/>
      <c r="AF13" s="268"/>
      <c r="AG13" s="268"/>
      <c r="AH13" s="268"/>
      <c r="AI13" s="268"/>
      <c r="AJ13" s="268"/>
      <c r="AK13" s="268"/>
      <c r="AL13" s="268"/>
      <c r="AM13" s="268"/>
      <c r="AN13" s="268"/>
      <c r="AO13" s="268"/>
      <c r="AP13" s="268"/>
      <c r="AQ13" s="268"/>
      <c r="AR13" s="268"/>
      <c r="AS13" s="268"/>
      <c r="AT13" s="268"/>
      <c r="AU13" s="268"/>
      <c r="AV13" s="268"/>
      <c r="AW13" s="268"/>
      <c r="AX13" s="268"/>
      <c r="AY13" s="268"/>
      <c r="AZ13" s="268"/>
      <c r="BA13" s="268"/>
      <c r="BB13" s="268"/>
      <c r="BC13" s="268"/>
      <c r="BD13" s="268"/>
      <c r="BE13" s="268"/>
      <c r="BF13" s="268"/>
      <c r="BG13" s="268"/>
    </row>
    <row r="14" spans="1:101">
      <c r="A14" s="62"/>
      <c r="B14" s="267" t="s">
        <v>519</v>
      </c>
      <c r="C14" s="267"/>
      <c r="D14" s="296"/>
      <c r="E14" s="296"/>
      <c r="F14" s="264"/>
      <c r="G14" s="264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CV14">
        <f>IFERROR(VALUE(MID(D14,4,LEN(D14)-3)),0)</f>
        <v>0</v>
      </c>
      <c r="CW14">
        <f>IFERROR(VALUE(MID(E14,4,LEN(E14)-3)),0)</f>
        <v>0</v>
      </c>
    </row>
    <row r="15" spans="1:101">
      <c r="A15" s="62"/>
      <c r="B15" s="62"/>
      <c r="C15" s="62"/>
      <c r="D15" s="264"/>
      <c r="E15" s="264"/>
      <c r="F15" s="264"/>
      <c r="G15" s="264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11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68"/>
    </row>
    <row r="16" spans="1:101">
      <c r="A16" s="62"/>
      <c r="B16" s="267" t="s">
        <v>520</v>
      </c>
      <c r="C16" s="267"/>
      <c r="D16" s="296"/>
      <c r="E16" s="296"/>
      <c r="F16" s="264"/>
      <c r="G16" s="264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CV16">
        <f>IFERROR(VALUE(MID(D16,4,LEN(D16)-3)),0)</f>
        <v>0</v>
      </c>
      <c r="CW16">
        <f>IFERROR(VALUE(MID(E16,4,LEN(E16)-3)),0)</f>
        <v>0</v>
      </c>
    </row>
    <row r="17" spans="1:101" ht="14.1" customHeight="1">
      <c r="A17" s="62"/>
      <c r="D17" s="11"/>
      <c r="E17" s="11"/>
      <c r="F17" s="270"/>
      <c r="G17" s="270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8"/>
      <c r="AB17" s="268"/>
      <c r="AC17" s="268"/>
      <c r="AD17" s="268"/>
      <c r="AE17" s="268"/>
      <c r="AF17" s="268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8"/>
      <c r="BD17" s="268"/>
      <c r="BE17" s="268"/>
      <c r="BF17" s="268"/>
      <c r="BG17" s="268"/>
    </row>
    <row r="18" spans="1:101">
      <c r="A18" s="62"/>
      <c r="B18" s="267" t="s">
        <v>521</v>
      </c>
      <c r="C18" s="267"/>
      <c r="D18" s="296"/>
      <c r="E18" s="296"/>
      <c r="F18" s="264"/>
      <c r="G18" s="264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CV18">
        <f>IFERROR(VALUE(MID(D18,4,LEN(D18)-3)),0)</f>
        <v>0</v>
      </c>
      <c r="CW18">
        <f>IFERROR(VALUE(MID(E18,4,LEN(E18)-3)),0)</f>
        <v>0</v>
      </c>
    </row>
    <row r="19" spans="1:101">
      <c r="A19" s="62"/>
      <c r="B19" s="62"/>
      <c r="C19" s="62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8"/>
      <c r="S19" s="268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4"/>
      <c r="AE19" s="264"/>
      <c r="AF19" s="264"/>
      <c r="AG19" s="264"/>
      <c r="AH19" s="264"/>
      <c r="AI19" s="264"/>
      <c r="AJ19" s="264"/>
      <c r="AK19" s="264"/>
      <c r="AL19" s="264"/>
      <c r="AM19" s="264"/>
      <c r="AN19" s="264"/>
      <c r="AO19" s="264"/>
      <c r="AP19" s="264"/>
      <c r="AQ19" s="264"/>
      <c r="AR19" s="268"/>
      <c r="AS19" s="268"/>
      <c r="AT19" s="268"/>
      <c r="AU19" s="268"/>
      <c r="AV19" s="268"/>
      <c r="AW19" s="268"/>
      <c r="AX19" s="268"/>
      <c r="AY19" s="268"/>
      <c r="AZ19" s="268"/>
      <c r="BA19" s="268"/>
      <c r="BB19" s="268"/>
      <c r="BC19" s="268"/>
      <c r="BD19" s="264"/>
      <c r="BE19" s="264"/>
      <c r="BF19" s="264"/>
      <c r="BG19" s="264"/>
    </row>
    <row r="20" spans="1:101">
      <c r="A20" s="62"/>
      <c r="B20" s="267" t="s">
        <v>522</v>
      </c>
      <c r="C20" s="267"/>
      <c r="D20" s="296"/>
      <c r="E20" s="296"/>
      <c r="F20" s="264"/>
      <c r="G20" s="264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CV20">
        <f>IFERROR(VALUE(MID(D20,4,LEN(D20)-3)),0)</f>
        <v>0</v>
      </c>
      <c r="CW20">
        <f>IFERROR(VALUE(MID(E20,4,LEN(E20)-3)),0)</f>
        <v>0</v>
      </c>
    </row>
    <row r="21" spans="1:101">
      <c r="A21" s="62"/>
      <c r="B21" s="62"/>
      <c r="C21" s="62"/>
      <c r="D21" s="62"/>
      <c r="E21" s="62"/>
      <c r="F21" s="62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4"/>
      <c r="AE21" s="264"/>
      <c r="AF21" s="264"/>
      <c r="AG21" s="264"/>
      <c r="AH21" s="264"/>
      <c r="AI21" s="264"/>
      <c r="AJ21" s="264"/>
      <c r="AK21" s="264"/>
      <c r="AL21" s="264"/>
      <c r="AM21" s="264"/>
      <c r="AN21" s="264"/>
      <c r="AO21" s="264"/>
      <c r="AP21" s="264"/>
      <c r="AQ21" s="264"/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268"/>
      <c r="BC21" s="268"/>
      <c r="BD21" s="264"/>
      <c r="BE21" s="264"/>
      <c r="BF21" s="264"/>
      <c r="BG21" s="264"/>
    </row>
    <row r="22" spans="1:101" hidden="1">
      <c r="A22" s="62"/>
      <c r="B22" s="62"/>
      <c r="C22" s="62"/>
      <c r="D22" s="62"/>
      <c r="E22" s="62"/>
      <c r="F22" s="62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64"/>
      <c r="AL22" s="264"/>
      <c r="AM22" s="264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4"/>
      <c r="AY22" s="264"/>
      <c r="AZ22" s="264"/>
      <c r="BA22" s="264"/>
      <c r="BB22" s="264"/>
      <c r="BC22" s="264"/>
      <c r="BD22" s="264"/>
      <c r="BE22" s="264"/>
      <c r="BF22" s="264"/>
      <c r="BG22" s="264"/>
    </row>
    <row r="23" spans="1:101" hidden="1">
      <c r="A23" s="62"/>
      <c r="B23" s="62"/>
      <c r="C23" s="62"/>
      <c r="D23" s="62"/>
      <c r="E23" s="62"/>
      <c r="F23" s="62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  <c r="AK23" s="264"/>
      <c r="AL23" s="264"/>
      <c r="AM23" s="264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264"/>
      <c r="BF23" s="264"/>
      <c r="BG23" s="264"/>
    </row>
    <row r="24" spans="1:101" hidden="1">
      <c r="A24" s="62"/>
      <c r="B24" s="62"/>
      <c r="C24" s="62"/>
      <c r="D24" s="62"/>
      <c r="E24" s="62"/>
      <c r="F24" s="62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4"/>
      <c r="AK24" s="264"/>
      <c r="AL24" s="264"/>
      <c r="AM24" s="264"/>
      <c r="AN24" s="264"/>
      <c r="AO24" s="264"/>
      <c r="AP24" s="264"/>
      <c r="AQ24" s="264"/>
      <c r="AR24" s="264"/>
      <c r="AS24" s="264"/>
      <c r="AT24" s="264"/>
      <c r="AU24" s="264"/>
      <c r="AV24" s="264"/>
      <c r="AW24" s="264"/>
      <c r="AX24" s="264"/>
      <c r="AY24" s="264"/>
      <c r="AZ24" s="264"/>
      <c r="BA24" s="264"/>
      <c r="BB24" s="264"/>
      <c r="BC24" s="264"/>
      <c r="BD24" s="264"/>
      <c r="BE24" s="264"/>
      <c r="BF24" s="264"/>
      <c r="BG24" s="264"/>
    </row>
    <row r="25" spans="1:101" hidden="1">
      <c r="A25" s="62"/>
      <c r="B25" s="62"/>
      <c r="C25" s="62"/>
      <c r="D25" s="62"/>
      <c r="E25" s="62"/>
      <c r="F25" s="62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4"/>
      <c r="AG25" s="264"/>
      <c r="AH25" s="264"/>
      <c r="AI25" s="264"/>
      <c r="AJ25" s="264"/>
      <c r="AK25" s="264"/>
      <c r="AL25" s="264"/>
      <c r="AM25" s="264"/>
      <c r="AN25" s="264"/>
      <c r="AO25" s="264"/>
      <c r="AP25" s="264"/>
      <c r="AQ25" s="264"/>
      <c r="AR25" s="264"/>
      <c r="AS25" s="264"/>
      <c r="AT25" s="264"/>
      <c r="AU25" s="264"/>
      <c r="AV25" s="264"/>
      <c r="AW25" s="264"/>
      <c r="AX25" s="264"/>
      <c r="AY25" s="264"/>
      <c r="AZ25" s="264"/>
      <c r="BA25" s="264"/>
      <c r="BB25" s="264"/>
      <c r="BC25" s="264"/>
      <c r="BD25" s="264"/>
      <c r="BE25" s="264"/>
      <c r="BF25" s="264"/>
      <c r="BG25" s="264"/>
    </row>
    <row r="26" spans="1:101" hidden="1">
      <c r="A26" s="62"/>
      <c r="B26" s="62"/>
      <c r="C26" s="62"/>
      <c r="D26" s="62"/>
      <c r="E26" s="62"/>
      <c r="F26" s="62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  <c r="AA26" s="264"/>
      <c r="AB26" s="264"/>
      <c r="AC26" s="264"/>
      <c r="AD26" s="264"/>
      <c r="AE26" s="264"/>
      <c r="AF26" s="264"/>
      <c r="AG26" s="264"/>
      <c r="AH26" s="264"/>
      <c r="AI26" s="264"/>
      <c r="AJ26" s="264"/>
      <c r="AK26" s="264"/>
      <c r="AL26" s="264"/>
      <c r="AM26" s="264"/>
      <c r="AN26" s="264"/>
      <c r="AO26" s="264"/>
      <c r="AP26" s="264"/>
      <c r="AQ26" s="264"/>
      <c r="AR26" s="264"/>
      <c r="AS26" s="264"/>
      <c r="AT26" s="264"/>
      <c r="AU26" s="264"/>
      <c r="AV26" s="264"/>
      <c r="AW26" s="264"/>
      <c r="AX26" s="264"/>
      <c r="AY26" s="264"/>
      <c r="AZ26" s="264"/>
      <c r="BA26" s="264"/>
      <c r="BB26" s="264"/>
      <c r="BC26" s="264"/>
      <c r="BD26" s="264"/>
      <c r="BE26" s="264"/>
      <c r="BF26" s="264"/>
      <c r="BG26" s="264"/>
    </row>
    <row r="27" spans="1:101" hidden="1">
      <c r="A27" s="62"/>
      <c r="B27" s="62"/>
      <c r="C27" s="62"/>
      <c r="D27" s="62"/>
      <c r="E27" s="62"/>
      <c r="F27" s="62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64"/>
      <c r="AM27" s="264"/>
      <c r="AN27" s="264"/>
      <c r="AO27" s="264"/>
      <c r="AP27" s="264"/>
      <c r="AQ27" s="264"/>
      <c r="AR27" s="264"/>
      <c r="AS27" s="264"/>
      <c r="AT27" s="264"/>
      <c r="AU27" s="264"/>
      <c r="AV27" s="264"/>
      <c r="AW27" s="264"/>
      <c r="AX27" s="264"/>
      <c r="AY27" s="264"/>
      <c r="AZ27" s="264"/>
      <c r="BA27" s="264"/>
      <c r="BB27" s="264"/>
      <c r="BC27" s="264"/>
      <c r="BD27" s="264"/>
      <c r="BE27" s="264"/>
      <c r="BF27" s="264"/>
      <c r="BG27" s="264"/>
    </row>
    <row r="28" spans="1:101" hidden="1">
      <c r="A28" s="62"/>
      <c r="B28" s="62"/>
      <c r="C28" s="62"/>
      <c r="D28" s="62"/>
      <c r="E28" s="62"/>
      <c r="F28" s="62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64"/>
      <c r="AL28" s="264"/>
      <c r="AM28" s="264"/>
      <c r="AN28" s="264"/>
      <c r="AO28" s="264"/>
      <c r="AP28" s="264"/>
      <c r="AQ28" s="264"/>
      <c r="AR28" s="264"/>
      <c r="AS28" s="264"/>
      <c r="AT28" s="264"/>
      <c r="AU28" s="264"/>
      <c r="AV28" s="264"/>
      <c r="AW28" s="264"/>
      <c r="AX28" s="264"/>
      <c r="AY28" s="264"/>
      <c r="AZ28" s="264"/>
      <c r="BA28" s="264"/>
      <c r="BB28" s="264"/>
      <c r="BC28" s="264"/>
      <c r="BD28" s="264"/>
      <c r="BE28" s="264"/>
      <c r="BF28" s="264"/>
      <c r="BG28" s="264"/>
    </row>
    <row r="29" spans="1:101" hidden="1">
      <c r="A29" s="62"/>
      <c r="B29" s="62"/>
      <c r="C29" s="62"/>
      <c r="D29" s="62"/>
      <c r="E29" s="62"/>
      <c r="F29" s="62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  <c r="AK29" s="264"/>
      <c r="AL29" s="264"/>
      <c r="AM29" s="264"/>
      <c r="AN29" s="264"/>
      <c r="AO29" s="264"/>
      <c r="AP29" s="264"/>
      <c r="AQ29" s="264"/>
      <c r="AR29" s="264"/>
      <c r="AS29" s="264"/>
      <c r="AT29" s="264"/>
      <c r="AU29" s="264"/>
      <c r="AV29" s="264"/>
      <c r="AW29" s="264"/>
      <c r="AX29" s="264"/>
      <c r="AY29" s="264"/>
      <c r="AZ29" s="264"/>
      <c r="BA29" s="264"/>
      <c r="BB29" s="264"/>
      <c r="BC29" s="264"/>
      <c r="BD29" s="264"/>
      <c r="BE29" s="264"/>
      <c r="BF29" s="264"/>
      <c r="BG29" s="264"/>
    </row>
    <row r="30" spans="1:101" hidden="1">
      <c r="A30" s="62"/>
      <c r="B30" s="62"/>
      <c r="C30" s="62"/>
      <c r="D30" s="62"/>
      <c r="E30" s="62"/>
      <c r="F30" s="62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  <c r="AR30" s="264"/>
      <c r="AS30" s="264"/>
      <c r="AT30" s="264"/>
      <c r="AU30" s="264"/>
      <c r="AV30" s="264"/>
      <c r="AW30" s="264"/>
      <c r="AX30" s="264"/>
      <c r="AY30" s="264"/>
      <c r="AZ30" s="264"/>
      <c r="BA30" s="264"/>
      <c r="BB30" s="264"/>
      <c r="BC30" s="264"/>
      <c r="BD30" s="264"/>
      <c r="BE30" s="264"/>
      <c r="BF30" s="264"/>
      <c r="BG30" s="264"/>
    </row>
    <row r="31" spans="1:101" s="62" customFormat="1" hidden="1"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  <c r="AR31" s="264"/>
      <c r="AS31" s="264"/>
      <c r="AT31" s="264"/>
      <c r="AU31" s="264"/>
      <c r="AV31" s="264"/>
      <c r="AW31" s="264"/>
      <c r="AX31" s="264"/>
      <c r="AY31" s="264"/>
      <c r="AZ31" s="264"/>
      <c r="BA31" s="264"/>
      <c r="BB31" s="264"/>
      <c r="BC31" s="264"/>
      <c r="BD31" s="264"/>
      <c r="BE31" s="264"/>
      <c r="BF31" s="264"/>
      <c r="BG31" s="264"/>
    </row>
    <row r="32" spans="1:101" s="62" customFormat="1" hidden="1"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  <c r="AA32" s="264"/>
      <c r="AB32" s="264"/>
      <c r="AC32" s="264"/>
      <c r="AD32" s="264"/>
      <c r="AE32" s="264"/>
      <c r="AF32" s="264"/>
      <c r="AG32" s="264"/>
      <c r="AH32" s="264"/>
      <c r="AI32" s="264"/>
      <c r="AJ32" s="264"/>
      <c r="AK32" s="264"/>
      <c r="AL32" s="264"/>
      <c r="AM32" s="264"/>
      <c r="AN32" s="264"/>
      <c r="AO32" s="264"/>
      <c r="AP32" s="264"/>
      <c r="AQ32" s="264"/>
      <c r="AR32" s="264"/>
      <c r="AS32" s="264"/>
      <c r="AT32" s="264"/>
      <c r="AU32" s="264"/>
      <c r="AV32" s="264"/>
      <c r="AW32" s="264"/>
      <c r="AX32" s="264"/>
      <c r="AY32" s="264"/>
      <c r="AZ32" s="264"/>
      <c r="BA32" s="264"/>
      <c r="BB32" s="264"/>
      <c r="BC32" s="264"/>
      <c r="BD32" s="264"/>
      <c r="BE32" s="264"/>
      <c r="BF32" s="264"/>
      <c r="BG32" s="264"/>
    </row>
    <row r="33" spans="1:59" s="62" customFormat="1" hidden="1"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64"/>
      <c r="AA33" s="264"/>
      <c r="AB33" s="264"/>
      <c r="AC33" s="264"/>
      <c r="AD33" s="264"/>
      <c r="AE33" s="264"/>
      <c r="AF33" s="264"/>
      <c r="AG33" s="264"/>
      <c r="AH33" s="264"/>
      <c r="AI33" s="264"/>
      <c r="AJ33" s="264"/>
      <c r="AK33" s="264"/>
      <c r="AL33" s="264"/>
      <c r="AM33" s="264"/>
      <c r="AN33" s="264"/>
      <c r="AO33" s="264"/>
      <c r="AP33" s="264"/>
      <c r="AQ33" s="264"/>
      <c r="AR33" s="264"/>
      <c r="AS33" s="264"/>
      <c r="AT33" s="264"/>
      <c r="AU33" s="264"/>
      <c r="AV33" s="264"/>
      <c r="AW33" s="264"/>
      <c r="AX33" s="264"/>
      <c r="AY33" s="264"/>
      <c r="AZ33" s="264"/>
      <c r="BA33" s="264"/>
      <c r="BB33" s="264"/>
      <c r="BC33" s="264"/>
      <c r="BD33" s="264"/>
      <c r="BE33" s="264"/>
      <c r="BF33" s="264"/>
      <c r="BG33" s="264"/>
    </row>
    <row r="34" spans="1:59" s="62" customFormat="1" hidden="1"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  <c r="AA34" s="264"/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264"/>
      <c r="AZ34" s="264"/>
      <c r="BA34" s="264"/>
      <c r="BB34" s="264"/>
      <c r="BC34" s="264"/>
      <c r="BD34" s="264"/>
      <c r="BE34" s="264"/>
      <c r="BF34" s="264"/>
      <c r="BG34" s="264"/>
    </row>
    <row r="35" spans="1:59" s="62" customFormat="1" hidden="1"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264"/>
      <c r="AZ35" s="264"/>
      <c r="BA35" s="264"/>
      <c r="BB35" s="264"/>
      <c r="BC35" s="264"/>
      <c r="BD35" s="264"/>
      <c r="BE35" s="264"/>
      <c r="BF35" s="264"/>
      <c r="BG35" s="264"/>
    </row>
    <row r="36" spans="1:59" s="62" customFormat="1" hidden="1"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264"/>
      <c r="AZ36" s="264"/>
      <c r="BA36" s="264"/>
      <c r="BB36" s="264"/>
      <c r="BC36" s="264"/>
      <c r="BD36" s="264"/>
      <c r="BE36" s="264"/>
      <c r="BF36" s="264"/>
      <c r="BG36" s="264"/>
    </row>
    <row r="37" spans="1:59" s="62" customFormat="1" hidden="1"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  <c r="AA37" s="264"/>
      <c r="AB37" s="264"/>
      <c r="AC37" s="264"/>
      <c r="AD37" s="264"/>
      <c r="AE37" s="264"/>
      <c r="AF37" s="264"/>
      <c r="AG37" s="264"/>
      <c r="AH37" s="264"/>
      <c r="AI37" s="264"/>
      <c r="AJ37" s="264"/>
      <c r="AK37" s="264"/>
      <c r="AL37" s="264"/>
      <c r="AM37" s="264"/>
      <c r="AN37" s="264"/>
      <c r="AO37" s="264"/>
      <c r="AP37" s="264"/>
      <c r="AQ37" s="264"/>
      <c r="AR37" s="264"/>
      <c r="AS37" s="264"/>
      <c r="AT37" s="264"/>
      <c r="AU37" s="264"/>
      <c r="AV37" s="264"/>
      <c r="AW37" s="264"/>
      <c r="AX37" s="264"/>
      <c r="AY37" s="264"/>
      <c r="AZ37" s="264"/>
      <c r="BA37" s="264"/>
      <c r="BB37" s="264"/>
      <c r="BC37" s="264"/>
      <c r="BD37" s="264"/>
      <c r="BE37" s="264"/>
      <c r="BF37" s="264"/>
      <c r="BG37" s="264"/>
    </row>
    <row r="38" spans="1:59" s="62" customFormat="1" hidden="1"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  <c r="AI38" s="264"/>
      <c r="AJ38" s="264"/>
      <c r="AK38" s="264"/>
      <c r="AL38" s="264"/>
      <c r="AM38" s="264"/>
      <c r="AN38" s="264"/>
      <c r="AO38" s="264"/>
      <c r="AP38" s="264"/>
      <c r="AQ38" s="264"/>
      <c r="AR38" s="264"/>
      <c r="AS38" s="264"/>
      <c r="AT38" s="264"/>
      <c r="AU38" s="264"/>
      <c r="AV38" s="264"/>
      <c r="AW38" s="264"/>
      <c r="AX38" s="264"/>
      <c r="AY38" s="264"/>
      <c r="AZ38" s="264"/>
      <c r="BA38" s="264"/>
      <c r="BB38" s="264"/>
      <c r="BC38" s="264"/>
      <c r="BD38" s="264"/>
      <c r="BE38" s="264"/>
      <c r="BF38" s="264"/>
      <c r="BG38" s="264"/>
    </row>
    <row r="39" spans="1:59" s="62" customFormat="1" hidden="1"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  <c r="AA39" s="264"/>
      <c r="AB39" s="264"/>
      <c r="AC39" s="264"/>
      <c r="AD39" s="264"/>
      <c r="AE39" s="264"/>
      <c r="AF39" s="264"/>
      <c r="AG39" s="264"/>
      <c r="AH39" s="264"/>
      <c r="AI39" s="264"/>
      <c r="AJ39" s="264"/>
      <c r="AK39" s="264"/>
      <c r="AL39" s="264"/>
      <c r="AM39" s="264"/>
      <c r="AN39" s="264"/>
      <c r="AO39" s="264"/>
      <c r="AP39" s="264"/>
      <c r="AQ39" s="264"/>
      <c r="AR39" s="264"/>
      <c r="AS39" s="264"/>
      <c r="AT39" s="264"/>
      <c r="AU39" s="264"/>
      <c r="AV39" s="264"/>
      <c r="AW39" s="264"/>
      <c r="AX39" s="264"/>
      <c r="AY39" s="264"/>
      <c r="AZ39" s="264"/>
      <c r="BA39" s="264"/>
      <c r="BB39" s="264"/>
      <c r="BC39" s="264"/>
      <c r="BD39" s="264"/>
      <c r="BE39" s="264"/>
      <c r="BF39" s="264"/>
      <c r="BG39" s="264"/>
    </row>
    <row r="40" spans="1:59" s="62" customFormat="1">
      <c r="F40" s="503" t="s">
        <v>523</v>
      </c>
      <c r="G40" s="92" t="s">
        <v>101</v>
      </c>
      <c r="H40" s="265" t="s">
        <v>524</v>
      </c>
      <c r="I40" s="365" t="s">
        <v>315</v>
      </c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  <c r="AA40" s="264"/>
      <c r="AB40" s="264"/>
      <c r="AC40" s="264"/>
      <c r="AD40" s="264"/>
      <c r="AE40" s="264"/>
      <c r="AF40" s="264"/>
      <c r="AG40" s="264"/>
      <c r="AH40" s="264"/>
      <c r="AI40" s="264"/>
      <c r="AJ40" s="264"/>
      <c r="AK40" s="264"/>
      <c r="AL40" s="264"/>
      <c r="AM40" s="264"/>
      <c r="AN40" s="264"/>
      <c r="AO40" s="264"/>
      <c r="AP40" s="264"/>
      <c r="AQ40" s="264"/>
      <c r="AR40" s="264"/>
      <c r="AS40" s="264"/>
      <c r="AT40" s="264"/>
      <c r="AU40" s="264"/>
      <c r="AV40" s="264"/>
      <c r="AW40" s="264"/>
      <c r="AX40" s="264"/>
      <c r="AY40" s="264"/>
      <c r="AZ40" s="264"/>
      <c r="BA40" s="264"/>
      <c r="BB40" s="264"/>
      <c r="BC40" s="264"/>
      <c r="BD40" s="264"/>
      <c r="BE40" s="264"/>
      <c r="BF40" s="264"/>
      <c r="BG40" s="264"/>
    </row>
    <row r="41" spans="1:59" s="62" customFormat="1"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  <c r="Z41" s="264"/>
      <c r="AA41" s="264"/>
      <c r="AB41" s="264"/>
      <c r="AC41" s="264"/>
      <c r="AD41" s="264"/>
      <c r="AE41" s="264"/>
      <c r="AF41" s="264"/>
      <c r="AG41" s="264"/>
      <c r="AH41" s="264"/>
      <c r="AI41" s="264"/>
      <c r="AJ41" s="264"/>
      <c r="AK41" s="264"/>
      <c r="AL41" s="264"/>
      <c r="AM41" s="264"/>
      <c r="AN41" s="264"/>
      <c r="AO41" s="264"/>
      <c r="AP41" s="264"/>
      <c r="AQ41" s="264"/>
      <c r="AR41" s="264"/>
      <c r="AS41" s="264"/>
      <c r="AT41" s="264"/>
      <c r="AU41" s="264"/>
      <c r="AV41" s="264"/>
      <c r="AW41" s="264"/>
      <c r="AX41" s="264"/>
      <c r="AY41" s="264"/>
      <c r="AZ41" s="264"/>
      <c r="BA41" s="264"/>
      <c r="BB41" s="264"/>
      <c r="BC41" s="264"/>
      <c r="BD41" s="264"/>
      <c r="BE41" s="264"/>
      <c r="BF41" s="264"/>
      <c r="BG41" s="264"/>
    </row>
    <row r="42" spans="1:59" s="62" customFormat="1">
      <c r="A42"/>
      <c r="B42" s="265" t="s">
        <v>86</v>
      </c>
      <c r="C42" s="265" t="s">
        <v>525</v>
      </c>
      <c r="D42" s="265" t="s">
        <v>526</v>
      </c>
      <c r="F42" s="265" t="str">
        <f>"Cost/" &amp; IF(I40="Hours","hr","day")</f>
        <v>Cost/day</v>
      </c>
      <c r="G42" s="265" t="str">
        <f>"TOTAL " &amp; I40</f>
        <v>TOTAL Days</v>
      </c>
      <c r="H42" s="266">
        <v>1</v>
      </c>
      <c r="I42" s="266">
        <v>2</v>
      </c>
      <c r="J42" s="266">
        <v>3</v>
      </c>
      <c r="K42" s="266">
        <v>4</v>
      </c>
      <c r="L42" s="266">
        <v>5</v>
      </c>
      <c r="M42" s="266">
        <f t="shared" ref="M42" si="27">L42+1</f>
        <v>6</v>
      </c>
      <c r="N42" s="266">
        <f t="shared" ref="N42" si="28">M42+1</f>
        <v>7</v>
      </c>
      <c r="O42" s="266">
        <f t="shared" ref="O42" si="29">N42+1</f>
        <v>8</v>
      </c>
      <c r="P42" s="266">
        <f t="shared" ref="P42" si="30">O42+1</f>
        <v>9</v>
      </c>
      <c r="Q42" s="266">
        <f t="shared" ref="Q42" si="31">P42+1</f>
        <v>10</v>
      </c>
      <c r="R42" s="266">
        <f t="shared" ref="R42" si="32">Q42+1</f>
        <v>11</v>
      </c>
      <c r="S42" s="266">
        <f t="shared" ref="S42" si="33">R42+1</f>
        <v>12</v>
      </c>
      <c r="T42" s="266">
        <f t="shared" ref="T42" si="34">S42+1</f>
        <v>13</v>
      </c>
      <c r="U42" s="266">
        <f t="shared" ref="U42" si="35">T42+1</f>
        <v>14</v>
      </c>
      <c r="V42" s="266">
        <f t="shared" ref="V42" si="36">U42+1</f>
        <v>15</v>
      </c>
      <c r="W42" s="266">
        <f t="shared" ref="W42" si="37">V42+1</f>
        <v>16</v>
      </c>
      <c r="X42" s="266">
        <f t="shared" ref="X42" si="38">W42+1</f>
        <v>17</v>
      </c>
      <c r="Y42" s="266">
        <f t="shared" ref="Y42" si="39">X42+1</f>
        <v>18</v>
      </c>
      <c r="Z42" s="266">
        <f t="shared" ref="Z42" si="40">Y42+1</f>
        <v>19</v>
      </c>
      <c r="AA42" s="266">
        <f t="shared" ref="AA42" si="41">Z42+1</f>
        <v>20</v>
      </c>
      <c r="AB42" s="266">
        <f t="shared" ref="AB42" si="42">AA42+1</f>
        <v>21</v>
      </c>
      <c r="AC42" s="266">
        <f t="shared" ref="AC42" si="43">AB42+1</f>
        <v>22</v>
      </c>
      <c r="AD42" s="266">
        <f t="shared" ref="AD42" si="44">AC42+1</f>
        <v>23</v>
      </c>
      <c r="AE42" s="266">
        <f t="shared" ref="AE42" si="45">AD42+1</f>
        <v>24</v>
      </c>
      <c r="AF42" s="266">
        <f t="shared" ref="AF42" si="46">AE42+1</f>
        <v>25</v>
      </c>
      <c r="AG42" s="266">
        <f t="shared" ref="AG42" si="47">AF42+1</f>
        <v>26</v>
      </c>
      <c r="AH42" s="266">
        <f t="shared" ref="AH42" si="48">AG42+1</f>
        <v>27</v>
      </c>
      <c r="AI42" s="266">
        <f t="shared" ref="AI42" si="49">AH42+1</f>
        <v>28</v>
      </c>
      <c r="AJ42" s="266">
        <f t="shared" ref="AJ42" si="50">AI42+1</f>
        <v>29</v>
      </c>
      <c r="AK42" s="266">
        <f t="shared" ref="AK42" si="51">AJ42+1</f>
        <v>30</v>
      </c>
      <c r="AL42" s="266">
        <f t="shared" ref="AL42" si="52">AK42+1</f>
        <v>31</v>
      </c>
      <c r="AM42" s="266">
        <f t="shared" ref="AM42" si="53">AL42+1</f>
        <v>32</v>
      </c>
      <c r="AN42" s="266">
        <f t="shared" ref="AN42" si="54">AM42+1</f>
        <v>33</v>
      </c>
      <c r="AO42" s="266">
        <f t="shared" ref="AO42" si="55">AN42+1</f>
        <v>34</v>
      </c>
      <c r="AP42" s="266">
        <f t="shared" ref="AP42" si="56">AO42+1</f>
        <v>35</v>
      </c>
      <c r="AQ42" s="266">
        <f t="shared" ref="AQ42" si="57">AP42+1</f>
        <v>36</v>
      </c>
      <c r="AR42" s="266">
        <f t="shared" ref="AR42" si="58">AQ42+1</f>
        <v>37</v>
      </c>
      <c r="AS42" s="266">
        <f t="shared" ref="AS42" si="59">AR42+1</f>
        <v>38</v>
      </c>
      <c r="AT42" s="266">
        <f t="shared" ref="AT42" si="60">AS42+1</f>
        <v>39</v>
      </c>
      <c r="AU42" s="266">
        <f t="shared" ref="AU42" si="61">AT42+1</f>
        <v>40</v>
      </c>
      <c r="AV42" s="266">
        <f t="shared" ref="AV42" si="62">AU42+1</f>
        <v>41</v>
      </c>
      <c r="AW42" s="266">
        <f t="shared" ref="AW42" si="63">AV42+1</f>
        <v>42</v>
      </c>
      <c r="AX42" s="266">
        <f t="shared" ref="AX42" si="64">AW42+1</f>
        <v>43</v>
      </c>
      <c r="AY42" s="266">
        <f t="shared" ref="AY42" si="65">AX42+1</f>
        <v>44</v>
      </c>
      <c r="AZ42" s="266">
        <f t="shared" ref="AZ42" si="66">AY42+1</f>
        <v>45</v>
      </c>
      <c r="BA42" s="266">
        <f t="shared" ref="BA42" si="67">AZ42+1</f>
        <v>46</v>
      </c>
      <c r="BB42" s="266">
        <f t="shared" ref="BB42" si="68">BA42+1</f>
        <v>47</v>
      </c>
      <c r="BC42" s="266">
        <f t="shared" ref="BC42" si="69">BB42+1</f>
        <v>48</v>
      </c>
      <c r="BD42" s="266">
        <f t="shared" ref="BD42" si="70">BC42+1</f>
        <v>49</v>
      </c>
      <c r="BE42" s="266">
        <f t="shared" ref="BE42" si="71">BD42+1</f>
        <v>50</v>
      </c>
      <c r="BF42" s="266">
        <f t="shared" ref="BF42" si="72">BE42+1</f>
        <v>51</v>
      </c>
      <c r="BG42" s="266">
        <f t="shared" ref="BG42" si="73">BF42+1</f>
        <v>52</v>
      </c>
    </row>
    <row r="43" spans="1:59" s="62" customFormat="1">
      <c r="A43"/>
      <c r="B43" s="14"/>
      <c r="C43" s="14"/>
      <c r="D43" s="14"/>
      <c r="F43"/>
      <c r="G43" s="11"/>
      <c r="H43" s="133"/>
      <c r="I43" s="133"/>
      <c r="J43" s="11"/>
      <c r="K43" s="11"/>
      <c r="L43" s="133"/>
      <c r="M43" s="133"/>
      <c r="N43" s="133"/>
      <c r="O43" s="133"/>
      <c r="P43" s="133"/>
      <c r="Q43" s="11"/>
      <c r="R43" s="11"/>
      <c r="S43" s="11"/>
      <c r="T43" s="11"/>
      <c r="U43" s="133"/>
      <c r="V43" s="133"/>
      <c r="W43" s="133"/>
      <c r="X43" s="133"/>
      <c r="Y43" s="11"/>
      <c r="Z43" s="11"/>
      <c r="AA43" s="11"/>
      <c r="AB43" s="11"/>
      <c r="AC43" s="11"/>
      <c r="AD43" s="11"/>
      <c r="AE43" s="11"/>
      <c r="AF43" s="133"/>
      <c r="AG43" s="133"/>
      <c r="AH43" s="133"/>
      <c r="AI43" s="133"/>
      <c r="AJ43" s="11"/>
      <c r="AK43" s="11"/>
      <c r="AL43" s="133"/>
      <c r="AM43" s="133"/>
      <c r="AN43" s="133"/>
      <c r="AO43" s="133"/>
      <c r="AP43" s="133"/>
      <c r="AQ43" s="11"/>
      <c r="AR43" s="11"/>
      <c r="AS43" s="11"/>
      <c r="AT43" s="11"/>
      <c r="AU43" s="133"/>
      <c r="AV43" s="133"/>
      <c r="AW43" s="133"/>
      <c r="AX43" s="133"/>
      <c r="AY43" s="11"/>
      <c r="AZ43" s="11"/>
      <c r="BA43" s="11"/>
      <c r="BB43" s="11"/>
      <c r="BC43" s="11"/>
      <c r="BD43" s="11"/>
      <c r="BE43" s="11"/>
      <c r="BF43" s="133"/>
      <c r="BG43" s="133"/>
    </row>
    <row r="44" spans="1:59" s="62" customFormat="1" outlineLevel="1">
      <c r="A44"/>
      <c r="B44" s="279" t="s">
        <v>97</v>
      </c>
      <c r="C44" s="304" t="s">
        <v>132</v>
      </c>
      <c r="D44" s="280" t="s">
        <v>105</v>
      </c>
      <c r="F44" s="255">
        <f ca="1">'Autopopulated_resource plan'!B23</f>
        <v>1275.9837578378379</v>
      </c>
      <c r="G44" s="271">
        <f>SUM(H44:BG44)</f>
        <v>46</v>
      </c>
      <c r="H44" s="395">
        <v>1</v>
      </c>
      <c r="I44" s="395">
        <v>5</v>
      </c>
      <c r="J44" s="395">
        <v>5</v>
      </c>
      <c r="K44" s="395">
        <v>5</v>
      </c>
      <c r="L44" s="395">
        <v>5</v>
      </c>
      <c r="M44" s="395">
        <v>5</v>
      </c>
      <c r="N44" s="395">
        <v>5</v>
      </c>
      <c r="O44" s="395">
        <v>5</v>
      </c>
      <c r="P44" s="395">
        <v>5</v>
      </c>
      <c r="Q44" s="395">
        <v>5</v>
      </c>
      <c r="R44" s="395"/>
      <c r="S44" s="395"/>
      <c r="T44" s="395"/>
      <c r="U44" s="395"/>
      <c r="V44" s="395"/>
      <c r="W44" s="395"/>
      <c r="X44" s="395"/>
      <c r="Y44" s="395"/>
      <c r="Z44" s="395"/>
      <c r="AA44" s="395"/>
      <c r="AB44" s="395"/>
      <c r="AC44" s="395"/>
      <c r="AD44" s="395"/>
      <c r="AE44" s="395"/>
      <c r="AF44" s="395"/>
      <c r="AG44" s="395"/>
      <c r="AH44" s="395"/>
      <c r="AI44" s="395"/>
      <c r="AJ44" s="395"/>
      <c r="AK44" s="395"/>
      <c r="AL44" s="395"/>
      <c r="AM44" s="395"/>
      <c r="AN44" s="395"/>
      <c r="AO44" s="395"/>
      <c r="AP44" s="395"/>
      <c r="AQ44" s="395"/>
      <c r="AR44" s="395"/>
      <c r="AS44" s="395"/>
      <c r="AT44" s="395"/>
      <c r="AU44" s="395"/>
      <c r="AV44" s="395"/>
      <c r="AW44" s="395"/>
      <c r="AX44" s="395"/>
      <c r="AY44" s="395"/>
      <c r="AZ44" s="395"/>
      <c r="BA44" s="395"/>
      <c r="BB44" s="395"/>
      <c r="BC44" s="395"/>
      <c r="BD44" s="395"/>
      <c r="BE44" s="395"/>
      <c r="BF44" s="395"/>
      <c r="BG44" s="395"/>
    </row>
    <row r="45" spans="1:59" ht="15" customHeight="1" outlineLevel="1">
      <c r="B45" s="279" t="s">
        <v>130</v>
      </c>
      <c r="C45" s="304" t="s">
        <v>213</v>
      </c>
      <c r="D45" s="280" t="s">
        <v>98</v>
      </c>
      <c r="F45" s="255">
        <f ca="1">'Autopopulated_resource plan'!B24</f>
        <v>896</v>
      </c>
      <c r="G45" s="271">
        <f t="shared" ref="G45:G55" si="74">SUM(H45:BG45)</f>
        <v>0</v>
      </c>
      <c r="H45" s="395"/>
      <c r="I45" s="395"/>
      <c r="J45" s="395"/>
      <c r="K45" s="395"/>
      <c r="L45" s="395"/>
      <c r="M45" s="395"/>
      <c r="N45" s="395"/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395"/>
      <c r="AG45" s="395"/>
      <c r="AH45" s="395"/>
      <c r="AI45" s="395"/>
      <c r="AJ45" s="395"/>
      <c r="AK45" s="395"/>
      <c r="AL45" s="395"/>
      <c r="AM45" s="395"/>
      <c r="AN45" s="395"/>
      <c r="AO45" s="395"/>
      <c r="AP45" s="395"/>
      <c r="AQ45" s="395"/>
      <c r="AR45" s="395"/>
      <c r="AS45" s="395"/>
      <c r="AT45" s="395"/>
      <c r="AU45" s="395"/>
      <c r="AV45" s="395"/>
      <c r="AW45" s="395"/>
      <c r="AX45" s="395"/>
      <c r="AY45" s="395"/>
      <c r="AZ45" s="395"/>
      <c r="BA45" s="395"/>
      <c r="BB45" s="395"/>
      <c r="BC45" s="395"/>
      <c r="BD45" s="395"/>
      <c r="BE45" s="395"/>
      <c r="BF45" s="395"/>
      <c r="BG45" s="395"/>
    </row>
    <row r="46" spans="1:59" ht="15" customHeight="1" outlineLevel="1">
      <c r="B46" s="279" t="s">
        <v>130</v>
      </c>
      <c r="C46" s="304" t="s">
        <v>213</v>
      </c>
      <c r="D46" s="280" t="s">
        <v>98</v>
      </c>
      <c r="F46" s="255">
        <f ca="1">'Autopopulated_resource plan'!B25</f>
        <v>896</v>
      </c>
      <c r="G46" s="271">
        <f t="shared" si="74"/>
        <v>0</v>
      </c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</row>
    <row r="47" spans="1:59" ht="15" customHeight="1" outlineLevel="1">
      <c r="B47" s="279" t="s">
        <v>130</v>
      </c>
      <c r="C47" s="304" t="s">
        <v>221</v>
      </c>
      <c r="D47" s="280" t="s">
        <v>98</v>
      </c>
      <c r="F47" s="255">
        <f ca="1">'Autopopulated_resource plan'!B26</f>
        <v>1200</v>
      </c>
      <c r="G47" s="271">
        <f t="shared" si="74"/>
        <v>0</v>
      </c>
      <c r="H47" s="395"/>
      <c r="I47" s="395"/>
      <c r="J47" s="395"/>
      <c r="K47" s="395"/>
      <c r="L47" s="395"/>
      <c r="M47" s="395"/>
      <c r="N47" s="395"/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  <c r="AH47" s="395"/>
      <c r="AI47" s="395"/>
      <c r="AJ47" s="395"/>
      <c r="AK47" s="395"/>
      <c r="AL47" s="395"/>
      <c r="AM47" s="395"/>
      <c r="AN47" s="395"/>
      <c r="AO47" s="395"/>
      <c r="AP47" s="395"/>
      <c r="AQ47" s="395"/>
      <c r="AR47" s="395"/>
      <c r="AS47" s="395"/>
      <c r="AT47" s="395"/>
      <c r="AU47" s="395"/>
      <c r="AV47" s="395"/>
      <c r="AW47" s="395"/>
      <c r="AX47" s="395"/>
      <c r="AY47" s="395"/>
      <c r="AZ47" s="395"/>
      <c r="BA47" s="395"/>
      <c r="BB47" s="395"/>
      <c r="BC47" s="395"/>
      <c r="BD47" s="395"/>
      <c r="BE47" s="395"/>
      <c r="BF47" s="395"/>
      <c r="BG47" s="395"/>
    </row>
    <row r="48" spans="1:59" ht="15" customHeight="1" outlineLevel="1">
      <c r="B48" s="279" t="s">
        <v>97</v>
      </c>
      <c r="C48" s="304" t="s">
        <v>106</v>
      </c>
      <c r="D48" s="280"/>
      <c r="F48" s="255" t="str">
        <f ca="1">'Autopopulated_resource plan'!B27</f>
        <v/>
      </c>
      <c r="G48" s="271">
        <f t="shared" si="74"/>
        <v>0</v>
      </c>
      <c r="H48" s="395"/>
      <c r="I48" s="395"/>
      <c r="J48" s="395"/>
      <c r="K48" s="395"/>
      <c r="L48" s="395"/>
      <c r="M48" s="395"/>
      <c r="N48" s="395"/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  <c r="AA48" s="395"/>
      <c r="AB48" s="395"/>
      <c r="AC48" s="395"/>
      <c r="AD48" s="395"/>
      <c r="AE48" s="395"/>
      <c r="AF48" s="395"/>
      <c r="AG48" s="395"/>
      <c r="AH48" s="395"/>
      <c r="AI48" s="395"/>
      <c r="AJ48" s="395"/>
      <c r="AK48" s="395"/>
      <c r="AL48" s="395"/>
      <c r="AM48" s="395"/>
      <c r="AN48" s="395"/>
      <c r="AO48" s="395"/>
      <c r="AP48" s="395"/>
      <c r="AQ48" s="395"/>
      <c r="AR48" s="395"/>
      <c r="AS48" s="395"/>
      <c r="AT48" s="395"/>
      <c r="AU48" s="395"/>
      <c r="AV48" s="395"/>
      <c r="AW48" s="395"/>
      <c r="AX48" s="395"/>
      <c r="AY48" s="395"/>
      <c r="AZ48" s="395"/>
      <c r="BA48" s="395"/>
      <c r="BB48" s="395"/>
      <c r="BC48" s="395"/>
      <c r="BD48" s="395"/>
      <c r="BE48" s="395"/>
      <c r="BF48" s="395"/>
      <c r="BG48" s="395"/>
    </row>
    <row r="49" spans="2:59" ht="15" customHeight="1" outlineLevel="1">
      <c r="B49" s="279"/>
      <c r="C49" s="304"/>
      <c r="D49" s="280"/>
      <c r="F49" s="255" t="str">
        <f ca="1">'Autopopulated_resource plan'!B28</f>
        <v/>
      </c>
      <c r="G49" s="271">
        <f t="shared" si="74"/>
        <v>0</v>
      </c>
      <c r="H49" s="395"/>
      <c r="I49" s="395"/>
      <c r="J49" s="395"/>
      <c r="K49" s="395"/>
      <c r="L49" s="395"/>
      <c r="M49" s="395"/>
      <c r="N49" s="395"/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5"/>
      <c r="AF49" s="395"/>
      <c r="AG49" s="395"/>
      <c r="AH49" s="395"/>
      <c r="AI49" s="395"/>
      <c r="AJ49" s="395"/>
      <c r="AK49" s="395"/>
      <c r="AL49" s="395"/>
      <c r="AM49" s="395"/>
      <c r="AN49" s="395"/>
      <c r="AO49" s="395"/>
      <c r="AP49" s="395"/>
      <c r="AQ49" s="395"/>
      <c r="AR49" s="395"/>
      <c r="AS49" s="395"/>
      <c r="AT49" s="395"/>
      <c r="AU49" s="395"/>
      <c r="AV49" s="395"/>
      <c r="AW49" s="395"/>
      <c r="AX49" s="395"/>
      <c r="AY49" s="395"/>
      <c r="AZ49" s="395"/>
      <c r="BA49" s="395"/>
      <c r="BB49" s="395"/>
      <c r="BC49" s="395"/>
      <c r="BD49" s="395"/>
      <c r="BE49" s="395"/>
      <c r="BF49" s="395"/>
      <c r="BG49" s="395"/>
    </row>
    <row r="50" spans="2:59" ht="15" customHeight="1" outlineLevel="1">
      <c r="B50" s="279"/>
      <c r="C50" s="304"/>
      <c r="D50" s="280"/>
      <c r="F50" s="255" t="str">
        <f ca="1">'Autopopulated_resource plan'!B29</f>
        <v/>
      </c>
      <c r="G50" s="271">
        <f t="shared" si="74"/>
        <v>0</v>
      </c>
      <c r="H50" s="395"/>
      <c r="I50" s="395"/>
      <c r="J50" s="395"/>
      <c r="K50" s="395"/>
      <c r="L50" s="395"/>
      <c r="M50" s="395"/>
      <c r="N50" s="395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  <c r="AA50" s="395"/>
      <c r="AB50" s="395"/>
      <c r="AC50" s="395"/>
      <c r="AD50" s="395"/>
      <c r="AE50" s="395"/>
      <c r="AF50" s="395"/>
      <c r="AG50" s="395"/>
      <c r="AH50" s="395"/>
      <c r="AI50" s="395"/>
      <c r="AJ50" s="395"/>
      <c r="AK50" s="395"/>
      <c r="AL50" s="395"/>
      <c r="AM50" s="395"/>
      <c r="AN50" s="395"/>
      <c r="AO50" s="395"/>
      <c r="AP50" s="395"/>
      <c r="AQ50" s="395"/>
      <c r="AR50" s="395"/>
      <c r="AS50" s="395"/>
      <c r="AT50" s="395"/>
      <c r="AU50" s="395"/>
      <c r="AV50" s="395"/>
      <c r="AW50" s="395"/>
      <c r="AX50" s="395"/>
      <c r="AY50" s="395"/>
      <c r="AZ50" s="395"/>
      <c r="BA50" s="395"/>
      <c r="BB50" s="395"/>
      <c r="BC50" s="395"/>
      <c r="BD50" s="395"/>
      <c r="BE50" s="395"/>
      <c r="BF50" s="395"/>
      <c r="BG50" s="395"/>
    </row>
    <row r="51" spans="2:59" ht="15" customHeight="1" outlineLevel="1">
      <c r="B51" s="279"/>
      <c r="C51" s="304"/>
      <c r="D51" s="280"/>
      <c r="F51" s="255" t="str">
        <f ca="1">'Autopopulated_resource plan'!B30</f>
        <v/>
      </c>
      <c r="G51" s="271">
        <f t="shared" si="74"/>
        <v>0</v>
      </c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  <c r="AA51" s="395"/>
      <c r="AB51" s="395"/>
      <c r="AC51" s="395"/>
      <c r="AD51" s="395"/>
      <c r="AE51" s="395"/>
      <c r="AF51" s="395"/>
      <c r="AG51" s="395"/>
      <c r="AH51" s="395"/>
      <c r="AI51" s="395"/>
      <c r="AJ51" s="395"/>
      <c r="AK51" s="395"/>
      <c r="AL51" s="395"/>
      <c r="AM51" s="395"/>
      <c r="AN51" s="395"/>
      <c r="AO51" s="395"/>
      <c r="AP51" s="395"/>
      <c r="AQ51" s="395"/>
      <c r="AR51" s="395"/>
      <c r="AS51" s="395"/>
      <c r="AT51" s="395"/>
      <c r="AU51" s="395"/>
      <c r="AV51" s="395"/>
      <c r="AW51" s="395"/>
      <c r="AX51" s="395"/>
      <c r="AY51" s="395"/>
      <c r="AZ51" s="395"/>
      <c r="BA51" s="395"/>
      <c r="BB51" s="395"/>
      <c r="BC51" s="395"/>
      <c r="BD51" s="395"/>
      <c r="BE51" s="395"/>
      <c r="BF51" s="395"/>
      <c r="BG51" s="395"/>
    </row>
    <row r="52" spans="2:59" ht="15" customHeight="1" outlineLevel="1">
      <c r="B52" s="279"/>
      <c r="C52" s="304"/>
      <c r="D52" s="280"/>
      <c r="F52" s="255" t="str">
        <f ca="1">'Autopopulated_resource plan'!B31</f>
        <v/>
      </c>
      <c r="G52" s="271">
        <f t="shared" si="74"/>
        <v>0</v>
      </c>
      <c r="H52" s="395"/>
      <c r="I52" s="395"/>
      <c r="J52" s="395"/>
      <c r="K52" s="395"/>
      <c r="L52" s="395"/>
      <c r="M52" s="395"/>
      <c r="N52" s="395"/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  <c r="AA52" s="395"/>
      <c r="AB52" s="395"/>
      <c r="AC52" s="395"/>
      <c r="AD52" s="395"/>
      <c r="AE52" s="395"/>
      <c r="AF52" s="395"/>
      <c r="AG52" s="395"/>
      <c r="AH52" s="395"/>
      <c r="AI52" s="395"/>
      <c r="AJ52" s="395"/>
      <c r="AK52" s="395"/>
      <c r="AL52" s="395"/>
      <c r="AM52" s="395"/>
      <c r="AN52" s="395"/>
      <c r="AO52" s="395"/>
      <c r="AP52" s="395"/>
      <c r="AQ52" s="395"/>
      <c r="AR52" s="395"/>
      <c r="AS52" s="395"/>
      <c r="AT52" s="395"/>
      <c r="AU52" s="395"/>
      <c r="AV52" s="395"/>
      <c r="AW52" s="395"/>
      <c r="AX52" s="395"/>
      <c r="AY52" s="395"/>
      <c r="AZ52" s="395"/>
      <c r="BA52" s="395"/>
      <c r="BB52" s="395"/>
      <c r="BC52" s="395"/>
      <c r="BD52" s="395"/>
      <c r="BE52" s="395"/>
      <c r="BF52" s="395"/>
      <c r="BG52" s="395"/>
    </row>
    <row r="53" spans="2:59" ht="15" customHeight="1" outlineLevel="1">
      <c r="B53" s="279"/>
      <c r="C53" s="304"/>
      <c r="D53" s="280"/>
      <c r="F53" s="255" t="str">
        <f ca="1">'Autopopulated_resource plan'!B32</f>
        <v/>
      </c>
      <c r="G53" s="271">
        <f t="shared" si="74"/>
        <v>0</v>
      </c>
      <c r="H53" s="395"/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  <c r="AA53" s="395"/>
      <c r="AB53" s="395"/>
      <c r="AC53" s="395"/>
      <c r="AD53" s="395"/>
      <c r="AE53" s="395"/>
      <c r="AF53" s="395"/>
      <c r="AG53" s="395"/>
      <c r="AH53" s="395"/>
      <c r="AI53" s="395"/>
      <c r="AJ53" s="395"/>
      <c r="AK53" s="395"/>
      <c r="AL53" s="395"/>
      <c r="AM53" s="395"/>
      <c r="AN53" s="395"/>
      <c r="AO53" s="395"/>
      <c r="AP53" s="395"/>
      <c r="AQ53" s="395"/>
      <c r="AR53" s="395"/>
      <c r="AS53" s="395"/>
      <c r="AT53" s="395"/>
      <c r="AU53" s="395"/>
      <c r="AV53" s="395"/>
      <c r="AW53" s="395"/>
      <c r="AX53" s="395"/>
      <c r="AY53" s="395"/>
      <c r="AZ53" s="395"/>
      <c r="BA53" s="395"/>
      <c r="BB53" s="395"/>
      <c r="BC53" s="395"/>
      <c r="BD53" s="395"/>
      <c r="BE53" s="395"/>
      <c r="BF53" s="395"/>
      <c r="BG53" s="395"/>
    </row>
    <row r="54" spans="2:59" ht="15" customHeight="1" outlineLevel="1">
      <c r="B54" s="279"/>
      <c r="C54" s="304"/>
      <c r="D54" s="280"/>
      <c r="F54" s="255" t="str">
        <f ca="1">'Autopopulated_resource plan'!B33</f>
        <v/>
      </c>
      <c r="G54" s="271">
        <f t="shared" si="74"/>
        <v>0</v>
      </c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  <c r="AA54" s="395"/>
      <c r="AB54" s="395"/>
      <c r="AC54" s="395"/>
      <c r="AD54" s="395"/>
      <c r="AE54" s="395"/>
      <c r="AF54" s="395"/>
      <c r="AG54" s="395"/>
      <c r="AH54" s="395"/>
      <c r="AI54" s="395"/>
      <c r="AJ54" s="395"/>
      <c r="AK54" s="395"/>
      <c r="AL54" s="395"/>
      <c r="AM54" s="395"/>
      <c r="AN54" s="395"/>
      <c r="AO54" s="395"/>
      <c r="AP54" s="395"/>
      <c r="AQ54" s="395"/>
      <c r="AR54" s="395"/>
      <c r="AS54" s="395"/>
      <c r="AT54" s="395"/>
      <c r="AU54" s="395"/>
      <c r="AV54" s="395"/>
      <c r="AW54" s="395"/>
      <c r="AX54" s="395"/>
      <c r="AY54" s="395"/>
      <c r="AZ54" s="395"/>
      <c r="BA54" s="395"/>
      <c r="BB54" s="395"/>
      <c r="BC54" s="395"/>
      <c r="BD54" s="395"/>
      <c r="BE54" s="395"/>
      <c r="BF54" s="395"/>
      <c r="BG54" s="395"/>
    </row>
    <row r="55" spans="2:59" ht="15" customHeight="1" outlineLevel="1">
      <c r="B55" s="279"/>
      <c r="C55" s="304"/>
      <c r="D55" s="280"/>
      <c r="F55" s="255" t="str">
        <f ca="1">'Autopopulated_resource plan'!B34</f>
        <v/>
      </c>
      <c r="G55" s="271">
        <f t="shared" si="74"/>
        <v>0</v>
      </c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  <c r="AA55" s="395"/>
      <c r="AB55" s="395"/>
      <c r="AC55" s="395"/>
      <c r="AD55" s="395"/>
      <c r="AE55" s="395"/>
      <c r="AF55" s="395"/>
      <c r="AG55" s="395"/>
      <c r="AH55" s="395"/>
      <c r="AI55" s="395"/>
      <c r="AJ55" s="395"/>
      <c r="AK55" s="395"/>
      <c r="AL55" s="395"/>
      <c r="AM55" s="395"/>
      <c r="AN55" s="395"/>
      <c r="AO55" s="395"/>
      <c r="AP55" s="395"/>
      <c r="AQ55" s="395"/>
      <c r="AR55" s="395"/>
      <c r="AS55" s="395"/>
      <c r="AT55" s="395"/>
      <c r="AU55" s="395"/>
      <c r="AV55" s="395"/>
      <c r="AW55" s="395"/>
      <c r="AX55" s="395"/>
      <c r="AY55" s="395"/>
      <c r="AZ55" s="395"/>
      <c r="BA55" s="395"/>
      <c r="BB55" s="395"/>
      <c r="BC55" s="395"/>
      <c r="BD55" s="395"/>
      <c r="BE55" s="395"/>
      <c r="BF55" s="395"/>
      <c r="BG55" s="395"/>
    </row>
    <row r="56" spans="2:59" ht="15" customHeight="1" outlineLevel="1">
      <c r="G56" s="271"/>
      <c r="H56" s="272"/>
      <c r="I56" s="272"/>
      <c r="J56" s="271"/>
      <c r="K56" s="271"/>
      <c r="L56" s="272"/>
      <c r="M56" s="272"/>
      <c r="N56" s="272"/>
      <c r="O56" s="272"/>
      <c r="P56" s="272"/>
      <c r="Q56" s="271"/>
      <c r="R56" s="271"/>
      <c r="S56" s="271"/>
      <c r="T56" s="271"/>
      <c r="U56" s="272"/>
      <c r="V56" s="272"/>
      <c r="W56" s="272"/>
      <c r="X56" s="272"/>
      <c r="Y56" s="271"/>
      <c r="Z56" s="271"/>
      <c r="AA56" s="271"/>
      <c r="AB56" s="271"/>
      <c r="AC56" s="271"/>
      <c r="AD56" s="271"/>
      <c r="AE56" s="271"/>
      <c r="AF56" s="272"/>
      <c r="AG56" s="272"/>
      <c r="AH56" s="272"/>
      <c r="AI56" s="272"/>
      <c r="AJ56" s="271"/>
      <c r="AK56" s="271"/>
      <c r="AL56" s="272"/>
      <c r="AM56" s="272"/>
      <c r="AN56" s="272"/>
      <c r="AO56" s="272"/>
      <c r="AP56" s="272"/>
      <c r="AQ56" s="271"/>
      <c r="AR56" s="271"/>
      <c r="AS56" s="271"/>
      <c r="AT56" s="271"/>
      <c r="AU56" s="272"/>
      <c r="AV56" s="272"/>
      <c r="AW56" s="272"/>
      <c r="AX56" s="272"/>
      <c r="AY56" s="271"/>
      <c r="AZ56" s="271"/>
      <c r="BA56" s="271"/>
      <c r="BB56" s="271"/>
      <c r="BC56" s="271"/>
      <c r="BD56" s="271"/>
      <c r="BE56" s="271"/>
      <c r="BF56" s="272"/>
      <c r="BG56" s="272"/>
    </row>
    <row r="57" spans="2:59" ht="15" customHeight="1" outlineLevel="1">
      <c r="C57" s="14" t="s">
        <v>527</v>
      </c>
      <c r="D57" s="14"/>
      <c r="E57" s="14"/>
      <c r="F57" s="281">
        <f ca="1">SUMPRODUCT(F44:F55,G44:G55)</f>
        <v>58695.252860540539</v>
      </c>
      <c r="G57" s="271">
        <f t="shared" ref="G57:AG57" si="75">SUM(G44:G55)</f>
        <v>46</v>
      </c>
      <c r="H57" s="272">
        <f t="shared" si="75"/>
        <v>1</v>
      </c>
      <c r="I57" s="272">
        <f t="shared" si="75"/>
        <v>5</v>
      </c>
      <c r="J57" s="271">
        <f t="shared" si="75"/>
        <v>5</v>
      </c>
      <c r="K57" s="271">
        <f t="shared" si="75"/>
        <v>5</v>
      </c>
      <c r="L57" s="272">
        <f t="shared" si="75"/>
        <v>5</v>
      </c>
      <c r="M57" s="272">
        <f t="shared" si="75"/>
        <v>5</v>
      </c>
      <c r="N57" s="272">
        <f t="shared" si="75"/>
        <v>5</v>
      </c>
      <c r="O57" s="272">
        <f t="shared" si="75"/>
        <v>5</v>
      </c>
      <c r="P57" s="272">
        <f t="shared" si="75"/>
        <v>5</v>
      </c>
      <c r="Q57" s="271">
        <f t="shared" si="75"/>
        <v>5</v>
      </c>
      <c r="R57" s="271">
        <f t="shared" si="75"/>
        <v>0</v>
      </c>
      <c r="S57" s="271">
        <f t="shared" si="75"/>
        <v>0</v>
      </c>
      <c r="T57" s="271">
        <f t="shared" si="75"/>
        <v>0</v>
      </c>
      <c r="U57" s="272">
        <f t="shared" si="75"/>
        <v>0</v>
      </c>
      <c r="V57" s="272">
        <f t="shared" si="75"/>
        <v>0</v>
      </c>
      <c r="W57" s="272">
        <f t="shared" si="75"/>
        <v>0</v>
      </c>
      <c r="X57" s="272">
        <f t="shared" si="75"/>
        <v>0</v>
      </c>
      <c r="Y57" s="271">
        <f t="shared" si="75"/>
        <v>0</v>
      </c>
      <c r="Z57" s="271">
        <f t="shared" si="75"/>
        <v>0</v>
      </c>
      <c r="AA57" s="271">
        <f t="shared" si="75"/>
        <v>0</v>
      </c>
      <c r="AB57" s="271">
        <f t="shared" si="75"/>
        <v>0</v>
      </c>
      <c r="AC57" s="271">
        <f t="shared" si="75"/>
        <v>0</v>
      </c>
      <c r="AD57" s="271">
        <f t="shared" si="75"/>
        <v>0</v>
      </c>
      <c r="AE57" s="271">
        <f t="shared" si="75"/>
        <v>0</v>
      </c>
      <c r="AF57" s="272">
        <f t="shared" si="75"/>
        <v>0</v>
      </c>
      <c r="AG57" s="272">
        <f t="shared" si="75"/>
        <v>0</v>
      </c>
      <c r="AH57" s="272">
        <f t="shared" ref="AH57:BG57" si="76">SUM(AH44:AH55)</f>
        <v>0</v>
      </c>
      <c r="AI57" s="272">
        <f t="shared" si="76"/>
        <v>0</v>
      </c>
      <c r="AJ57" s="271">
        <f t="shared" si="76"/>
        <v>0</v>
      </c>
      <c r="AK57" s="271">
        <f t="shared" si="76"/>
        <v>0</v>
      </c>
      <c r="AL57" s="272">
        <f t="shared" si="76"/>
        <v>0</v>
      </c>
      <c r="AM57" s="272">
        <f t="shared" si="76"/>
        <v>0</v>
      </c>
      <c r="AN57" s="272">
        <f t="shared" si="76"/>
        <v>0</v>
      </c>
      <c r="AO57" s="272">
        <f t="shared" si="76"/>
        <v>0</v>
      </c>
      <c r="AP57" s="272">
        <f t="shared" si="76"/>
        <v>0</v>
      </c>
      <c r="AQ57" s="271">
        <f t="shared" si="76"/>
        <v>0</v>
      </c>
      <c r="AR57" s="271">
        <f t="shared" si="76"/>
        <v>0</v>
      </c>
      <c r="AS57" s="271">
        <f t="shared" si="76"/>
        <v>0</v>
      </c>
      <c r="AT57" s="271">
        <f t="shared" si="76"/>
        <v>0</v>
      </c>
      <c r="AU57" s="272">
        <f t="shared" si="76"/>
        <v>0</v>
      </c>
      <c r="AV57" s="272">
        <f t="shared" si="76"/>
        <v>0</v>
      </c>
      <c r="AW57" s="272">
        <f t="shared" si="76"/>
        <v>0</v>
      </c>
      <c r="AX57" s="272">
        <f t="shared" si="76"/>
        <v>0</v>
      </c>
      <c r="AY57" s="271">
        <f t="shared" si="76"/>
        <v>0</v>
      </c>
      <c r="AZ57" s="271">
        <f t="shared" si="76"/>
        <v>0</v>
      </c>
      <c r="BA57" s="271">
        <f t="shared" si="76"/>
        <v>0</v>
      </c>
      <c r="BB57" s="271">
        <f t="shared" si="76"/>
        <v>0</v>
      </c>
      <c r="BC57" s="271">
        <f t="shared" si="76"/>
        <v>0</v>
      </c>
      <c r="BD57" s="271">
        <f t="shared" si="76"/>
        <v>0</v>
      </c>
      <c r="BE57" s="271">
        <f t="shared" si="76"/>
        <v>0</v>
      </c>
      <c r="BF57" s="272">
        <f t="shared" si="76"/>
        <v>0</v>
      </c>
      <c r="BG57" s="272">
        <f t="shared" si="76"/>
        <v>0</v>
      </c>
    </row>
    <row r="58" spans="2:59" ht="15" customHeight="1">
      <c r="C58" s="250" t="s">
        <v>528</v>
      </c>
      <c r="G58" s="271"/>
      <c r="H58" s="272"/>
      <c r="I58" s="272"/>
      <c r="J58" s="271"/>
      <c r="K58" s="271"/>
      <c r="L58" s="272"/>
      <c r="M58" s="272"/>
      <c r="N58" s="272"/>
      <c r="O58" s="272"/>
      <c r="P58" s="272"/>
      <c r="Q58" s="271"/>
      <c r="R58" s="271"/>
      <c r="S58" s="271"/>
      <c r="T58" s="271"/>
      <c r="U58" s="272"/>
      <c r="V58" s="272"/>
      <c r="W58" s="272"/>
      <c r="X58" s="272"/>
      <c r="Y58" s="271"/>
      <c r="Z58" s="271"/>
      <c r="AA58" s="271"/>
      <c r="AB58" s="271"/>
      <c r="AC58" s="271"/>
      <c r="AD58" s="271"/>
      <c r="AE58" s="271"/>
      <c r="AF58" s="272"/>
      <c r="AG58" s="272"/>
      <c r="AH58" s="272"/>
      <c r="AI58" s="272"/>
      <c r="AJ58" s="271"/>
      <c r="AK58" s="271"/>
      <c r="AL58" s="272"/>
      <c r="AM58" s="272"/>
      <c r="AN58" s="272"/>
      <c r="AO58" s="272"/>
      <c r="AP58" s="272"/>
      <c r="AQ58" s="271"/>
      <c r="AR58" s="271"/>
      <c r="AS58" s="271"/>
      <c r="AT58" s="271"/>
      <c r="AU58" s="272"/>
      <c r="AV58" s="272"/>
      <c r="AW58" s="272"/>
      <c r="AX58" s="272"/>
      <c r="AY58" s="271"/>
      <c r="AZ58" s="271"/>
      <c r="BA58" s="271"/>
      <c r="BB58" s="271"/>
      <c r="BC58" s="271"/>
      <c r="BD58" s="271"/>
      <c r="BE58" s="271"/>
      <c r="BF58" s="272"/>
      <c r="BG58" s="272"/>
    </row>
    <row r="59" spans="2:59" ht="15" customHeight="1">
      <c r="D59" s="14"/>
      <c r="E59" s="14"/>
      <c r="F59" s="14"/>
      <c r="G59" s="271"/>
      <c r="H59" s="272"/>
      <c r="I59" s="272"/>
      <c r="J59" s="271"/>
      <c r="K59" s="271"/>
      <c r="L59" s="272"/>
      <c r="M59" s="272"/>
      <c r="N59" s="272"/>
      <c r="O59" s="272"/>
      <c r="P59" s="272"/>
      <c r="Q59" s="271"/>
      <c r="R59" s="271"/>
      <c r="S59" s="271"/>
      <c r="T59" s="271"/>
      <c r="U59" s="272"/>
      <c r="V59" s="272"/>
      <c r="W59" s="272"/>
      <c r="X59" s="272"/>
      <c r="Y59" s="271"/>
      <c r="Z59" s="271"/>
      <c r="AA59" s="271"/>
      <c r="AB59" s="271"/>
      <c r="AC59" s="271"/>
      <c r="AD59" s="271"/>
      <c r="AE59" s="271"/>
      <c r="AF59" s="272"/>
      <c r="AG59" s="272"/>
      <c r="AH59" s="272"/>
      <c r="AI59" s="272"/>
      <c r="AJ59" s="271"/>
      <c r="AK59" s="271"/>
      <c r="AL59" s="272"/>
      <c r="AM59" s="272"/>
      <c r="AN59" s="272"/>
      <c r="AO59" s="272"/>
      <c r="AP59" s="272"/>
      <c r="AQ59" s="271"/>
      <c r="AR59" s="271"/>
      <c r="AS59" s="271"/>
      <c r="AT59" s="271"/>
      <c r="AU59" s="272"/>
      <c r="AV59" s="272"/>
      <c r="AW59" s="272"/>
      <c r="AX59" s="272"/>
      <c r="AY59" s="271"/>
      <c r="AZ59" s="271"/>
      <c r="BA59" s="271"/>
      <c r="BB59" s="271"/>
      <c r="BC59" s="271"/>
      <c r="BD59" s="271"/>
      <c r="BE59" s="271"/>
      <c r="BF59" s="272"/>
      <c r="BG59" s="272"/>
    </row>
    <row r="60" spans="2:59" ht="15" customHeight="1">
      <c r="C60" s="14" t="s">
        <v>529</v>
      </c>
      <c r="F60" s="394">
        <v>10000</v>
      </c>
      <c r="G60" s="271">
        <f>SUM(H60:AS60)</f>
        <v>40</v>
      </c>
      <c r="H60" s="272">
        <v>40</v>
      </c>
      <c r="I60" s="272"/>
      <c r="J60" s="272"/>
      <c r="K60" s="272"/>
      <c r="L60" s="272"/>
      <c r="M60" s="272"/>
      <c r="N60" s="272"/>
      <c r="O60" s="272"/>
      <c r="P60" s="272"/>
      <c r="Q60" s="271"/>
      <c r="R60" s="271"/>
      <c r="S60" s="271"/>
      <c r="T60" s="271"/>
      <c r="U60" s="272"/>
      <c r="V60" s="272"/>
      <c r="W60" s="272"/>
      <c r="X60" s="272"/>
      <c r="Y60" s="271"/>
      <c r="Z60" s="271"/>
      <c r="AA60" s="271"/>
      <c r="AB60" s="271"/>
      <c r="AC60" s="271"/>
      <c r="AD60" s="271"/>
      <c r="AE60" s="271"/>
      <c r="AF60" s="272"/>
      <c r="AG60" s="272"/>
      <c r="AH60" s="272"/>
      <c r="AI60" s="272"/>
      <c r="AJ60" s="271"/>
      <c r="AK60" s="271"/>
      <c r="AL60" s="272"/>
      <c r="AM60" s="272"/>
      <c r="AN60" s="272"/>
      <c r="AO60" s="272"/>
      <c r="AP60" s="272"/>
      <c r="AQ60" s="271"/>
      <c r="AR60" s="271"/>
      <c r="AS60" s="271"/>
      <c r="AT60" s="271"/>
      <c r="AU60" s="272"/>
      <c r="AV60" s="272"/>
      <c r="AW60" s="272"/>
      <c r="AX60" s="272"/>
      <c r="AY60" s="271"/>
      <c r="AZ60" s="271"/>
      <c r="BA60" s="271"/>
      <c r="BB60" s="271"/>
      <c r="BC60" s="271"/>
      <c r="BD60" s="271"/>
      <c r="BE60" s="271"/>
      <c r="BF60" s="272"/>
      <c r="BG60" s="272"/>
    </row>
    <row r="61" spans="2:59" ht="15" customHeight="1">
      <c r="F61" s="297"/>
      <c r="G61" s="271">
        <f>SUM(H61:AS61)</f>
        <v>0</v>
      </c>
      <c r="H61" s="272"/>
      <c r="I61" s="272"/>
      <c r="J61" s="271"/>
      <c r="K61" s="271"/>
      <c r="L61" s="272"/>
      <c r="M61" s="272"/>
      <c r="N61" s="272"/>
      <c r="O61" s="272"/>
      <c r="P61" s="272"/>
      <c r="Q61" s="271"/>
      <c r="R61" s="271"/>
      <c r="S61" s="271"/>
      <c r="T61" s="271"/>
      <c r="U61" s="272"/>
      <c r="V61" s="272"/>
      <c r="W61" s="272"/>
      <c r="X61" s="272"/>
      <c r="Y61" s="271"/>
      <c r="Z61" s="271"/>
      <c r="AA61" s="271"/>
      <c r="AB61" s="271"/>
      <c r="AC61" s="271"/>
      <c r="AD61" s="271"/>
      <c r="AE61" s="271"/>
      <c r="AF61" s="272"/>
      <c r="AG61" s="272"/>
      <c r="AH61" s="272"/>
      <c r="AI61" s="272"/>
      <c r="AJ61" s="271"/>
      <c r="AK61" s="271"/>
      <c r="AL61" s="272"/>
      <c r="AM61" s="272"/>
      <c r="AN61" s="272"/>
      <c r="AO61" s="272"/>
      <c r="AP61" s="272"/>
      <c r="AQ61" s="271"/>
      <c r="AR61" s="271"/>
      <c r="AS61" s="271"/>
      <c r="AT61" s="271"/>
      <c r="AU61" s="272"/>
      <c r="AV61" s="272"/>
      <c r="AW61" s="272"/>
      <c r="AX61" s="272"/>
      <c r="AY61" s="271"/>
      <c r="AZ61" s="271"/>
      <c r="BA61" s="271"/>
      <c r="BB61" s="271"/>
      <c r="BC61" s="271"/>
      <c r="BD61" s="271"/>
      <c r="BE61" s="271"/>
      <c r="BF61" s="272"/>
      <c r="BG61" s="272"/>
    </row>
    <row r="62" spans="2:59" ht="15" customHeight="1">
      <c r="C62" s="14"/>
      <c r="D62" s="14"/>
      <c r="E62" s="14"/>
      <c r="F62" s="394"/>
      <c r="G62" s="271"/>
      <c r="H62" s="272"/>
      <c r="I62" s="272"/>
      <c r="J62" s="271"/>
      <c r="K62" s="271"/>
      <c r="L62" s="272"/>
      <c r="M62" s="272"/>
      <c r="N62" s="272"/>
      <c r="O62" s="272"/>
      <c r="P62" s="272"/>
      <c r="Q62" s="271"/>
      <c r="R62" s="271"/>
      <c r="S62" s="271"/>
      <c r="T62" s="271"/>
      <c r="U62" s="272"/>
      <c r="V62" s="272"/>
      <c r="W62" s="272"/>
      <c r="X62" s="272"/>
      <c r="Y62" s="271"/>
      <c r="Z62" s="271"/>
      <c r="AA62" s="271"/>
      <c r="AB62" s="271"/>
      <c r="AC62" s="271"/>
      <c r="AD62" s="271"/>
      <c r="AE62" s="271"/>
      <c r="AF62" s="272"/>
      <c r="AG62" s="272"/>
      <c r="AH62" s="272"/>
      <c r="AI62" s="272"/>
      <c r="AJ62" s="271"/>
      <c r="AK62" s="271"/>
      <c r="AL62" s="272"/>
      <c r="AM62" s="272"/>
      <c r="AN62" s="272"/>
      <c r="AO62" s="272"/>
      <c r="AP62" s="272"/>
      <c r="AQ62" s="271"/>
      <c r="AR62" s="271"/>
      <c r="AS62" s="271"/>
      <c r="AT62" s="271"/>
      <c r="AU62" s="272"/>
      <c r="AV62" s="272"/>
      <c r="AW62" s="272"/>
      <c r="AX62" s="272"/>
      <c r="AY62" s="271"/>
      <c r="AZ62" s="271"/>
      <c r="BA62" s="271"/>
      <c r="BB62" s="271"/>
      <c r="BC62" s="271"/>
      <c r="BD62" s="271"/>
      <c r="BE62" s="271"/>
      <c r="BF62" s="272"/>
      <c r="BG62" s="272"/>
    </row>
    <row r="63" spans="2:59" ht="15" customHeight="1">
      <c r="F63" s="297"/>
      <c r="G63" s="271">
        <f>SUM(H63:AS63)</f>
        <v>0</v>
      </c>
      <c r="H63" s="272"/>
      <c r="I63" s="272"/>
      <c r="J63" s="271"/>
      <c r="K63" s="271"/>
      <c r="L63" s="272"/>
      <c r="M63" s="272"/>
      <c r="N63" s="272"/>
      <c r="O63" s="272"/>
      <c r="P63" s="272"/>
      <c r="Q63" s="271"/>
      <c r="R63" s="271"/>
      <c r="S63" s="271"/>
      <c r="T63" s="271"/>
      <c r="U63" s="272"/>
      <c r="V63" s="272"/>
      <c r="W63" s="272"/>
      <c r="X63" s="272"/>
      <c r="Y63" s="271"/>
      <c r="Z63" s="271"/>
      <c r="AA63" s="271"/>
      <c r="AB63" s="271"/>
      <c r="AC63" s="271"/>
      <c r="AD63" s="271"/>
      <c r="AE63" s="271"/>
      <c r="AF63" s="272"/>
      <c r="AG63" s="272"/>
      <c r="AH63" s="272"/>
      <c r="AI63" s="272"/>
      <c r="AJ63" s="271"/>
      <c r="AK63" s="271"/>
      <c r="AL63" s="272"/>
      <c r="AM63" s="272"/>
      <c r="AN63" s="272"/>
      <c r="AO63" s="272"/>
      <c r="AP63" s="272"/>
      <c r="AQ63" s="271"/>
      <c r="AR63" s="271"/>
      <c r="AS63" s="271"/>
      <c r="AT63" s="271"/>
      <c r="AU63" s="272"/>
      <c r="AV63" s="272"/>
      <c r="AW63" s="272"/>
      <c r="AX63" s="272"/>
      <c r="AY63" s="271"/>
      <c r="AZ63" s="271"/>
      <c r="BA63" s="271"/>
      <c r="BB63" s="271"/>
      <c r="BC63" s="271"/>
      <c r="BD63" s="271"/>
      <c r="BE63" s="271"/>
      <c r="BF63" s="272"/>
      <c r="BG63" s="272"/>
    </row>
    <row r="64" spans="2:59" ht="15" customHeight="1">
      <c r="F64" s="297"/>
      <c r="G64" s="271"/>
      <c r="H64" s="272"/>
      <c r="I64" s="272"/>
      <c r="J64" s="271"/>
      <c r="K64" s="271"/>
      <c r="L64" s="272"/>
      <c r="M64" s="272"/>
      <c r="N64" s="272"/>
      <c r="O64" s="272"/>
      <c r="P64" s="272"/>
      <c r="Q64" s="271"/>
      <c r="R64" s="271"/>
      <c r="S64" s="271"/>
      <c r="T64" s="271"/>
      <c r="U64" s="272"/>
      <c r="V64" s="272"/>
      <c r="W64" s="272"/>
      <c r="X64" s="272"/>
      <c r="Y64" s="271"/>
      <c r="Z64" s="271"/>
      <c r="AA64" s="271"/>
      <c r="AB64" s="271"/>
      <c r="AC64" s="271"/>
      <c r="AD64" s="271"/>
      <c r="AE64" s="271"/>
      <c r="AF64" s="272"/>
      <c r="AG64" s="272"/>
      <c r="AH64" s="272"/>
      <c r="AI64" s="272"/>
      <c r="AJ64" s="271"/>
      <c r="AK64" s="271"/>
      <c r="AL64" s="272"/>
      <c r="AM64" s="272"/>
      <c r="AN64" s="272"/>
      <c r="AO64" s="272"/>
      <c r="AP64" s="272"/>
      <c r="AQ64" s="271"/>
      <c r="AR64" s="271"/>
      <c r="AS64" s="271"/>
      <c r="AT64" s="271"/>
      <c r="AU64" s="272"/>
      <c r="AV64" s="272"/>
      <c r="AW64" s="272"/>
      <c r="AX64" s="272"/>
      <c r="AY64" s="271"/>
      <c r="AZ64" s="271"/>
      <c r="BA64" s="271"/>
      <c r="BB64" s="271"/>
      <c r="BC64" s="271"/>
      <c r="BD64" s="271"/>
      <c r="BE64" s="271"/>
      <c r="BF64" s="272"/>
      <c r="BG64" s="272"/>
    </row>
    <row r="65" spans="3:59" ht="15" customHeight="1">
      <c r="C65" s="14"/>
      <c r="D65" s="14"/>
      <c r="E65" s="14"/>
      <c r="F65" s="394"/>
      <c r="G65" s="271"/>
      <c r="H65" s="272"/>
      <c r="I65" s="272"/>
      <c r="J65" s="271"/>
      <c r="K65" s="271"/>
      <c r="L65" s="272"/>
      <c r="M65" s="272"/>
      <c r="N65" s="272"/>
      <c r="O65" s="272"/>
      <c r="P65" s="272"/>
      <c r="Q65" s="271"/>
      <c r="R65" s="271"/>
      <c r="S65" s="271"/>
      <c r="T65" s="271"/>
      <c r="U65" s="272"/>
      <c r="V65" s="272"/>
      <c r="W65" s="272"/>
      <c r="X65" s="272"/>
      <c r="Y65" s="271"/>
      <c r="Z65" s="271"/>
      <c r="AA65" s="271"/>
      <c r="AB65" s="271"/>
      <c r="AC65" s="271"/>
      <c r="AD65" s="271"/>
      <c r="AE65" s="271"/>
      <c r="AF65" s="272"/>
      <c r="AG65" s="272"/>
      <c r="AH65" s="272"/>
      <c r="AI65" s="272"/>
      <c r="AJ65" s="271"/>
      <c r="AK65" s="271"/>
      <c r="AL65" s="272"/>
      <c r="AM65" s="272"/>
      <c r="AN65" s="272"/>
      <c r="AO65" s="272"/>
      <c r="AP65" s="272"/>
      <c r="AQ65" s="271"/>
      <c r="AR65" s="271"/>
      <c r="AS65" s="271"/>
      <c r="AT65" s="271"/>
      <c r="AU65" s="272"/>
      <c r="AV65" s="272"/>
      <c r="AW65" s="272"/>
      <c r="AX65" s="272"/>
      <c r="AY65" s="271"/>
      <c r="AZ65" s="271"/>
      <c r="BA65" s="271"/>
      <c r="BB65" s="271"/>
      <c r="BC65" s="271"/>
      <c r="BD65" s="271"/>
      <c r="BE65" s="271"/>
      <c r="BF65" s="272"/>
      <c r="BG65" s="272"/>
    </row>
    <row r="66" spans="3:59" ht="15" customHeight="1">
      <c r="F66" s="297"/>
      <c r="G66" s="271">
        <f>SUM(H66:AS66)</f>
        <v>0</v>
      </c>
      <c r="H66" s="272"/>
      <c r="I66" s="272"/>
      <c r="J66" s="271"/>
      <c r="K66" s="271"/>
      <c r="L66" s="272"/>
      <c r="M66" s="272"/>
      <c r="N66" s="272"/>
      <c r="O66" s="272"/>
      <c r="P66" s="272"/>
      <c r="Q66" s="271"/>
      <c r="R66" s="271"/>
      <c r="S66" s="271"/>
      <c r="T66" s="271"/>
      <c r="U66" s="272"/>
      <c r="V66" s="272"/>
      <c r="W66" s="272"/>
      <c r="X66" s="272"/>
      <c r="Y66" s="271"/>
      <c r="Z66" s="271"/>
      <c r="AA66" s="271"/>
      <c r="AB66" s="271"/>
      <c r="AC66" s="271"/>
      <c r="AD66" s="271"/>
      <c r="AE66" s="271"/>
      <c r="AF66" s="272"/>
      <c r="AG66" s="272"/>
      <c r="AH66" s="272"/>
      <c r="AI66" s="272"/>
      <c r="AJ66" s="271"/>
      <c r="AK66" s="271"/>
      <c r="AL66" s="272"/>
      <c r="AM66" s="272"/>
      <c r="AN66" s="272"/>
      <c r="AO66" s="272"/>
      <c r="AP66" s="272"/>
      <c r="AQ66" s="271"/>
      <c r="AR66" s="271"/>
      <c r="AS66" s="271"/>
      <c r="AT66" s="271"/>
      <c r="AU66" s="272"/>
      <c r="AV66" s="272"/>
      <c r="AW66" s="272"/>
      <c r="AX66" s="272"/>
      <c r="AY66" s="271"/>
      <c r="AZ66" s="271"/>
      <c r="BA66" s="271"/>
      <c r="BB66" s="271"/>
      <c r="BC66" s="271"/>
      <c r="BD66" s="271"/>
      <c r="BE66" s="271"/>
      <c r="BF66" s="272"/>
      <c r="BG66" s="272"/>
    </row>
    <row r="67" spans="3:59" ht="15" customHeight="1">
      <c r="F67" s="297"/>
      <c r="G67" s="271"/>
      <c r="H67" s="272"/>
      <c r="I67" s="272"/>
      <c r="J67" s="271"/>
      <c r="K67" s="271"/>
      <c r="L67" s="272"/>
      <c r="M67" s="272"/>
      <c r="N67" s="272"/>
      <c r="O67" s="272"/>
      <c r="P67" s="272"/>
      <c r="Q67" s="271"/>
      <c r="R67" s="271"/>
      <c r="S67" s="271"/>
      <c r="T67" s="271"/>
      <c r="U67" s="272"/>
      <c r="V67" s="272"/>
      <c r="W67" s="272"/>
      <c r="X67" s="272"/>
      <c r="Y67" s="271"/>
      <c r="Z67" s="271"/>
      <c r="AA67" s="271"/>
      <c r="AB67" s="271"/>
      <c r="AC67" s="271"/>
      <c r="AD67" s="271"/>
      <c r="AE67" s="271"/>
      <c r="AF67" s="272"/>
      <c r="AG67" s="272"/>
      <c r="AH67" s="272"/>
      <c r="AI67" s="272"/>
      <c r="AJ67" s="271"/>
      <c r="AK67" s="271"/>
      <c r="AL67" s="272"/>
      <c r="AM67" s="272"/>
      <c r="AN67" s="272"/>
      <c r="AO67" s="272"/>
      <c r="AP67" s="272"/>
      <c r="AQ67" s="271"/>
      <c r="AR67" s="271"/>
      <c r="AS67" s="271"/>
      <c r="AT67" s="271"/>
      <c r="AU67" s="272"/>
      <c r="AV67" s="272"/>
      <c r="AW67" s="272"/>
      <c r="AX67" s="272"/>
      <c r="AY67" s="271"/>
      <c r="AZ67" s="271"/>
      <c r="BA67" s="271"/>
      <c r="BB67" s="271"/>
      <c r="BC67" s="271"/>
      <c r="BD67" s="271"/>
      <c r="BE67" s="271"/>
      <c r="BF67" s="272"/>
      <c r="BG67" s="272"/>
    </row>
    <row r="68" spans="3:59" ht="15" customHeight="1">
      <c r="C68" s="14"/>
      <c r="D68" s="14"/>
      <c r="E68" s="14"/>
      <c r="F68" s="394"/>
      <c r="G68" s="271"/>
      <c r="H68" s="272"/>
      <c r="I68" s="272"/>
      <c r="J68" s="271"/>
      <c r="K68" s="271"/>
      <c r="L68" s="272"/>
      <c r="M68" s="272"/>
      <c r="N68" s="272"/>
      <c r="O68" s="272"/>
      <c r="P68" s="272"/>
      <c r="Q68" s="271"/>
      <c r="R68" s="271"/>
      <c r="S68" s="271"/>
      <c r="T68" s="271"/>
      <c r="U68" s="272"/>
      <c r="V68" s="272"/>
      <c r="W68" s="272"/>
      <c r="X68" s="272"/>
      <c r="Y68" s="271"/>
      <c r="Z68" s="271"/>
      <c r="AA68" s="271"/>
      <c r="AB68" s="271"/>
      <c r="AC68" s="271"/>
      <c r="AD68" s="271"/>
      <c r="AE68" s="271"/>
      <c r="AF68" s="272"/>
      <c r="AG68" s="272"/>
      <c r="AH68" s="272"/>
      <c r="AI68" s="272"/>
      <c r="AJ68" s="271"/>
      <c r="AK68" s="271"/>
      <c r="AL68" s="272"/>
      <c r="AM68" s="272"/>
      <c r="AN68" s="272"/>
      <c r="AO68" s="272"/>
      <c r="AP68" s="272"/>
      <c r="AQ68" s="271"/>
      <c r="AR68" s="271"/>
      <c r="AS68" s="271"/>
      <c r="AT68" s="271"/>
      <c r="AU68" s="272"/>
      <c r="AV68" s="272"/>
      <c r="AW68" s="272"/>
      <c r="AX68" s="272"/>
      <c r="AY68" s="271"/>
      <c r="AZ68" s="271"/>
      <c r="BA68" s="271"/>
      <c r="BB68" s="271"/>
      <c r="BC68" s="271"/>
      <c r="BD68" s="271"/>
      <c r="BE68" s="271"/>
      <c r="BF68" s="272"/>
      <c r="BG68" s="272"/>
    </row>
    <row r="69" spans="3:59" ht="15" customHeight="1">
      <c r="F69" s="297"/>
      <c r="G69" s="271">
        <f>SUM(H69:AS69)</f>
        <v>0</v>
      </c>
      <c r="H69" s="272"/>
      <c r="I69" s="272"/>
      <c r="J69" s="271"/>
      <c r="K69" s="271"/>
      <c r="L69" s="272"/>
      <c r="M69" s="272"/>
      <c r="N69" s="272"/>
      <c r="O69" s="272"/>
      <c r="P69" s="272"/>
      <c r="Q69" s="271"/>
      <c r="R69" s="271"/>
      <c r="S69" s="271"/>
      <c r="T69" s="271"/>
      <c r="U69" s="272"/>
      <c r="V69" s="272"/>
      <c r="W69" s="272"/>
      <c r="X69" s="272"/>
      <c r="Y69" s="271"/>
      <c r="Z69" s="271"/>
      <c r="AA69" s="271"/>
      <c r="AB69" s="271"/>
      <c r="AC69" s="271"/>
      <c r="AD69" s="271"/>
      <c r="AE69" s="271"/>
      <c r="AF69" s="272"/>
      <c r="AG69" s="272"/>
      <c r="AH69" s="272"/>
      <c r="AI69" s="272"/>
      <c r="AJ69" s="271"/>
      <c r="AK69" s="271"/>
      <c r="AL69" s="272"/>
      <c r="AM69" s="272"/>
      <c r="AN69" s="272"/>
      <c r="AO69" s="272"/>
      <c r="AP69" s="272"/>
      <c r="AQ69" s="271"/>
      <c r="AR69" s="271"/>
      <c r="AS69" s="271"/>
      <c r="AT69" s="271"/>
      <c r="AU69" s="272"/>
      <c r="AV69" s="272"/>
      <c r="AW69" s="272"/>
      <c r="AX69" s="272"/>
      <c r="AY69" s="271"/>
      <c r="AZ69" s="271"/>
      <c r="BA69" s="271"/>
      <c r="BB69" s="271"/>
      <c r="BC69" s="271"/>
      <c r="BD69" s="271"/>
      <c r="BE69" s="271"/>
      <c r="BF69" s="272"/>
      <c r="BG69" s="272"/>
    </row>
    <row r="70" spans="3:59" ht="15" customHeight="1">
      <c r="G70" s="271"/>
      <c r="H70" s="272"/>
      <c r="I70" s="272"/>
      <c r="J70" s="271"/>
      <c r="K70" s="271"/>
      <c r="L70" s="272"/>
      <c r="M70" s="272"/>
      <c r="N70" s="272"/>
      <c r="O70" s="272"/>
      <c r="P70" s="272"/>
      <c r="Q70" s="271"/>
      <c r="R70" s="271"/>
      <c r="S70" s="271"/>
      <c r="T70" s="271"/>
      <c r="U70" s="272"/>
      <c r="V70" s="272"/>
      <c r="W70" s="272"/>
      <c r="X70" s="272"/>
      <c r="Y70" s="271"/>
      <c r="Z70" s="271"/>
      <c r="AA70" s="271"/>
      <c r="AB70" s="271"/>
      <c r="AC70" s="271"/>
      <c r="AD70" s="271"/>
      <c r="AE70" s="271"/>
      <c r="AF70" s="272"/>
      <c r="AG70" s="272"/>
      <c r="AH70" s="272"/>
      <c r="AI70" s="272"/>
      <c r="AJ70" s="271"/>
      <c r="AK70" s="271"/>
      <c r="AL70" s="272"/>
      <c r="AM70" s="272"/>
      <c r="AN70" s="272"/>
      <c r="AO70" s="272"/>
      <c r="AP70" s="272"/>
      <c r="AQ70" s="271"/>
      <c r="AR70" s="271"/>
      <c r="AS70" s="271"/>
      <c r="AT70" s="271"/>
      <c r="AU70" s="272"/>
      <c r="AV70" s="272"/>
      <c r="AW70" s="272"/>
      <c r="AX70" s="272"/>
      <c r="AY70" s="271"/>
      <c r="AZ70" s="271"/>
      <c r="BA70" s="271"/>
      <c r="BB70" s="271"/>
      <c r="BC70" s="271"/>
      <c r="BD70" s="271"/>
      <c r="BE70" s="271"/>
      <c r="BF70" s="272"/>
      <c r="BG70" s="272"/>
    </row>
    <row r="71" spans="3:59" ht="15" customHeight="1">
      <c r="C71" s="14" t="s">
        <v>530</v>
      </c>
      <c r="D71" s="14"/>
      <c r="E71" s="14"/>
      <c r="F71" s="14"/>
      <c r="G71" s="271"/>
      <c r="H71" s="272"/>
      <c r="I71" s="272"/>
      <c r="J71" s="271"/>
      <c r="K71" s="271"/>
      <c r="L71" s="272"/>
      <c r="M71" s="272"/>
      <c r="N71" s="272"/>
      <c r="O71" s="272"/>
      <c r="P71" s="272"/>
      <c r="Q71" s="271"/>
      <c r="R71" s="271"/>
      <c r="S71" s="271"/>
      <c r="T71" s="271"/>
      <c r="U71" s="272"/>
      <c r="V71" s="272"/>
      <c r="W71" s="272"/>
      <c r="X71" s="272"/>
      <c r="Y71" s="271"/>
      <c r="Z71" s="271"/>
      <c r="AA71" s="271"/>
      <c r="AB71" s="271"/>
      <c r="AC71" s="271"/>
      <c r="AD71" s="271"/>
      <c r="AE71" s="271"/>
      <c r="AF71" s="272"/>
      <c r="AG71" s="272"/>
      <c r="AH71" s="272"/>
      <c r="AI71" s="272"/>
      <c r="AJ71" s="271"/>
      <c r="AK71" s="271"/>
      <c r="AL71" s="272"/>
      <c r="AM71" s="272"/>
      <c r="AN71" s="272"/>
      <c r="AO71" s="272"/>
      <c r="AP71" s="272"/>
      <c r="AQ71" s="271"/>
      <c r="AR71" s="271"/>
      <c r="AS71" s="271"/>
      <c r="AT71" s="271"/>
      <c r="AU71" s="272"/>
      <c r="AV71" s="272"/>
      <c r="AW71" s="272"/>
      <c r="AX71" s="272"/>
      <c r="AY71" s="271"/>
      <c r="AZ71" s="271"/>
      <c r="BA71" s="271"/>
      <c r="BB71" s="271"/>
      <c r="BC71" s="271"/>
      <c r="BD71" s="271"/>
      <c r="BE71" s="271"/>
      <c r="BF71" s="272"/>
      <c r="BG71" s="272"/>
    </row>
    <row r="72" spans="3:59" ht="15" customHeight="1">
      <c r="C72" t="s">
        <v>531</v>
      </c>
      <c r="F72">
        <v>0</v>
      </c>
      <c r="G72" s="271">
        <f>SUM(H72:AS72)</f>
        <v>0</v>
      </c>
      <c r="H72" s="272"/>
      <c r="I72" s="272"/>
      <c r="J72" s="271"/>
      <c r="K72" s="271"/>
      <c r="L72" s="272"/>
      <c r="M72" s="272"/>
      <c r="N72" s="272"/>
      <c r="O72" s="272"/>
      <c r="P72" s="272"/>
      <c r="Q72" s="271"/>
      <c r="R72" s="271"/>
      <c r="S72" s="271"/>
      <c r="T72" s="271"/>
      <c r="U72" s="272"/>
      <c r="V72" s="272"/>
      <c r="W72" s="272"/>
      <c r="X72" s="272"/>
      <c r="Y72" s="271"/>
      <c r="Z72" s="271"/>
      <c r="AA72" s="271"/>
      <c r="AB72" s="271"/>
      <c r="AC72" s="271"/>
      <c r="AD72" s="271"/>
      <c r="AE72" s="271"/>
      <c r="AF72" s="272"/>
      <c r="AG72" s="272"/>
      <c r="AH72" s="272"/>
      <c r="AI72" s="272"/>
      <c r="AJ72" s="271"/>
      <c r="AK72" s="271"/>
      <c r="AL72" s="272"/>
      <c r="AM72" s="272"/>
      <c r="AN72" s="272"/>
      <c r="AO72" s="272"/>
      <c r="AP72" s="272"/>
      <c r="AQ72" s="271"/>
      <c r="AR72" s="271"/>
      <c r="AS72" s="271"/>
      <c r="AT72" s="271"/>
      <c r="AU72" s="272"/>
      <c r="AV72" s="272"/>
      <c r="AW72" s="272"/>
      <c r="AX72" s="272"/>
      <c r="AY72" s="271"/>
      <c r="AZ72" s="271"/>
      <c r="BA72" s="271"/>
      <c r="BB72" s="271"/>
      <c r="BC72" s="271"/>
      <c r="BD72" s="271"/>
      <c r="BE72" s="271"/>
      <c r="BF72" s="272"/>
      <c r="BG72" s="272"/>
    </row>
    <row r="73" spans="3:59" ht="15" customHeight="1"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3:59" ht="15" customHeight="1">
      <c r="C74" s="305" t="s">
        <v>532</v>
      </c>
      <c r="D74" s="305"/>
      <c r="E74" s="305"/>
      <c r="F74" s="306">
        <f ca="1">F57+SUMPRODUCT(F60:F72,G60:G72)</f>
        <v>458695.25286054052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3:59" ht="15" customHeight="1">
      <c r="C75" s="14" t="s">
        <v>50</v>
      </c>
      <c r="F75" s="309">
        <v>0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3:59" ht="15" customHeight="1">
      <c r="C76" s="307" t="s">
        <v>533</v>
      </c>
      <c r="D76" s="308"/>
      <c r="E76" s="308"/>
      <c r="F76" s="309">
        <v>0.45</v>
      </c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3:59" ht="15" customHeight="1"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3:59" ht="15" customHeight="1">
      <c r="C78" s="244" t="s">
        <v>534</v>
      </c>
      <c r="D78" s="68"/>
      <c r="E78" s="68"/>
      <c r="F78" s="282">
        <f ca="1">F74*(1+F75)/(1-F76)</f>
        <v>833991.36883734632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</sheetData>
  <conditionalFormatting sqref="H4:BG4">
    <cfRule type="expression" dxfId="39" priority="8">
      <formula>IF(AND(H$2&gt;=$CV4,H$2&lt;=$CW4),1,0)</formula>
    </cfRule>
  </conditionalFormatting>
  <conditionalFormatting sqref="H6:BG6">
    <cfRule type="expression" dxfId="38" priority="7">
      <formula>IF(AND(H$2&gt;=$CV6,H$2&lt;=$CW6),1,0)</formula>
    </cfRule>
  </conditionalFormatting>
  <conditionalFormatting sqref="H10:BG10">
    <cfRule type="expression" dxfId="37" priority="6">
      <formula>IF(AND(H$2&gt;=$CV10,H$2&lt;=$CW10),1,0)</formula>
    </cfRule>
  </conditionalFormatting>
  <conditionalFormatting sqref="H12:BG12">
    <cfRule type="expression" dxfId="36" priority="5">
      <formula>IF(AND(H$2&gt;=$CV12,H$2&lt;=$CW12),1,0)</formula>
    </cfRule>
  </conditionalFormatting>
  <conditionalFormatting sqref="H14:BG14">
    <cfRule type="expression" dxfId="35" priority="4">
      <formula>IF(AND(H$2&gt;=$CV14,H$2&lt;=$CW14),1,0)</formula>
    </cfRule>
  </conditionalFormatting>
  <conditionalFormatting sqref="H16:BG16">
    <cfRule type="expression" dxfId="34" priority="3">
      <formula>IF(AND(H$2&gt;=$CV16,H$2&lt;=$CW16),1,0)</formula>
    </cfRule>
  </conditionalFormatting>
  <conditionalFormatting sqref="H18:BG18">
    <cfRule type="expression" dxfId="33" priority="2">
      <formula>IF(AND(H$2&gt;=$CV18,H$2&lt;=$CW18),1,0)</formula>
    </cfRule>
  </conditionalFormatting>
  <conditionalFormatting sqref="H20:BG20">
    <cfRule type="expression" dxfId="32" priority="1">
      <formula>IF(AND(H$2&gt;=$CV20,H$2&lt;=$CW20),1,0)</formula>
    </cfRule>
  </conditionalFormatting>
  <dataValidations count="6">
    <dataValidation type="list" allowBlank="1" showInputMessage="1" showErrorMessage="1" sqref="D44:D55" xr:uid="{B51B8ED1-8936-45B2-B4C5-BE6F33A8D900}">
      <formula1>countries</formula1>
    </dataValidation>
    <dataValidation type="list" allowBlank="1" showInputMessage="1" showErrorMessage="1" sqref="B44:B55" xr:uid="{46149BC6-7562-4972-9966-375F5CDB1831}">
      <formula1>practices</formula1>
    </dataValidation>
    <dataValidation type="list" allowBlank="1" showInputMessage="1" showErrorMessage="1" sqref="D4:E4 D6:E6 D10:E10 D12:E12 D14:E14 D16:E16 D18:E18 D20:E20" xr:uid="{6F9BC5D5-DAC2-4E49-9C0F-CC8734CD48CA}">
      <formula1>wks</formula1>
    </dataValidation>
    <dataValidation type="list" allowBlank="1" showInputMessage="1" showErrorMessage="1" sqref="I40" xr:uid="{AC421D12-9F28-4C3D-B426-11D679E3C760}">
      <formula1>"Hours,Days"</formula1>
    </dataValidation>
    <dataValidation type="list" allowBlank="1" showInputMessage="1" showErrorMessage="1" sqref="C44:C55" xr:uid="{488C3570-20EE-4ADF-B312-75A07A8A6A18}">
      <formula1>CHOOSE(MATCH(B44,practices,0),roles_1,roles_2,roles_3,roles_4,roles_5,roles_6,roles_7,roles_8)</formula1>
    </dataValidation>
    <dataValidation type="list" allowBlank="1" showInputMessage="1" showErrorMessage="1" sqref="G40" xr:uid="{97595C18-4118-4397-A738-67045B41C67C}">
      <formula1>currency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D212-7F14-43AE-AE02-A8AAD4AB3C6C}">
  <sheetPr codeName="Sheet11"/>
  <dimension ref="B1:AJ73"/>
  <sheetViews>
    <sheetView showGridLines="0" topLeftCell="F11" zoomScale="121" workbookViewId="0">
      <selection activeCell="L23" sqref="L23"/>
    </sheetView>
  </sheetViews>
  <sheetFormatPr defaultColWidth="8.85546875" defaultRowHeight="15"/>
  <cols>
    <col min="1" max="1" width="11.42578125" customWidth="1"/>
    <col min="2" max="2" width="7.42578125" hidden="1" customWidth="1"/>
    <col min="3" max="3" width="7" hidden="1" customWidth="1"/>
    <col min="4" max="4" width="8.42578125" customWidth="1"/>
    <col min="5" max="5" width="31.42578125" customWidth="1"/>
    <col min="6" max="6" width="25.42578125" customWidth="1"/>
    <col min="7" max="7" width="19.42578125" customWidth="1"/>
    <col min="8" max="8" width="23.42578125" customWidth="1"/>
    <col min="9" max="9" width="15.85546875" customWidth="1"/>
    <col min="10" max="10" width="30" customWidth="1"/>
    <col min="11" max="11" width="30.42578125" customWidth="1"/>
    <col min="12" max="12" width="17.42578125" customWidth="1"/>
    <col min="13" max="13" width="13.42578125" hidden="1" customWidth="1"/>
    <col min="14" max="14" width="61.42578125" customWidth="1"/>
    <col min="15" max="15" width="25.42578125" hidden="1" customWidth="1"/>
    <col min="16" max="16" width="69.42578125" bestFit="1" customWidth="1"/>
    <col min="17" max="17" width="16.42578125" customWidth="1"/>
    <col min="18" max="18" width="11.42578125" customWidth="1"/>
    <col min="27" max="28" width="12.42578125" customWidth="1"/>
  </cols>
  <sheetData>
    <row r="1" spans="5:36">
      <c r="E1" s="138" t="s">
        <v>535</v>
      </c>
      <c r="G1" s="63"/>
      <c r="P1" s="141" t="s">
        <v>304</v>
      </c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</row>
    <row r="2" spans="5:36" ht="30.75" thickBot="1">
      <c r="E2" s="14"/>
      <c r="F2" s="130" t="s">
        <v>305</v>
      </c>
      <c r="G2" s="63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</row>
    <row r="3" spans="5:36" ht="24" thickBot="1">
      <c r="E3" s="89" t="s">
        <v>306</v>
      </c>
      <c r="F3" s="90" t="s">
        <v>307</v>
      </c>
      <c r="H3" s="84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</row>
    <row r="4" spans="5:36" ht="27" customHeight="1" thickBot="1">
      <c r="E4" s="88" t="s">
        <v>536</v>
      </c>
      <c r="F4" s="91" t="s">
        <v>98</v>
      </c>
      <c r="L4" s="14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5:36" ht="33.6" customHeight="1" thickBot="1">
      <c r="E5" s="88" t="s">
        <v>537</v>
      </c>
      <c r="F5" s="90" t="s">
        <v>310</v>
      </c>
      <c r="G5" s="15"/>
      <c r="H5" s="129" t="s">
        <v>538</v>
      </c>
      <c r="I5" s="222">
        <f>SUMPRODUCT(tb_supplier14[Cost (in per unit or per hr or per day rate) to Rackspace],tb_supplier14[[Qty ]])</f>
        <v>0</v>
      </c>
      <c r="J5" s="228" t="s">
        <v>539</v>
      </c>
      <c r="M5" s="13"/>
      <c r="N5" s="12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5:36" ht="30" customHeight="1" thickBot="1">
      <c r="E6" s="89" t="s">
        <v>540</v>
      </c>
      <c r="F6" s="92" t="str">
        <f>'Resource Plan'!G40</f>
        <v>USD</v>
      </c>
      <c r="H6" s="129" t="s">
        <v>541</v>
      </c>
      <c r="I6" s="220" t="str">
        <f>IFERROR(1-I5/I7,"")</f>
        <v/>
      </c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</row>
    <row r="7" spans="5:36" ht="29.1" customHeight="1" thickBot="1">
      <c r="E7" s="88" t="s">
        <v>542</v>
      </c>
      <c r="F7" s="93" t="str">
        <f>'Resource Plan'!I40</f>
        <v>Days</v>
      </c>
      <c r="H7" s="129" t="s">
        <v>543</v>
      </c>
      <c r="I7" s="221">
        <f>SUM(tb_supplier14[Price])</f>
        <v>0</v>
      </c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</row>
    <row r="8" spans="5:36" ht="32.450000000000003" customHeight="1" thickBot="1">
      <c r="E8" s="88" t="s">
        <v>317</v>
      </c>
      <c r="F8" s="92" t="s">
        <v>310</v>
      </c>
      <c r="H8" s="119" t="s">
        <v>318</v>
      </c>
      <c r="I8" s="43">
        <f ca="1">1-(F14*75%/85%  +SUM(F10:F11,F16:F17))*(1+I17)  /I11</f>
        <v>0.48029591952002348</v>
      </c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5:36" ht="24.6" customHeight="1" thickBot="1">
      <c r="E9" s="95" t="s">
        <v>544</v>
      </c>
      <c r="F9" s="90" t="s">
        <v>310</v>
      </c>
      <c r="G9" s="15"/>
      <c r="H9" s="131" t="s">
        <v>321</v>
      </c>
      <c r="I9" s="253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spans="5:36" s="16" customFormat="1" ht="24.6" customHeight="1" thickBot="1">
      <c r="E10" s="95" t="s">
        <v>545</v>
      </c>
      <c r="F10" s="94"/>
      <c r="H10" s="65" t="s">
        <v>171</v>
      </c>
      <c r="I10" s="17"/>
      <c r="J10" s="18"/>
      <c r="K10" s="19"/>
      <c r="L10"/>
      <c r="M10"/>
      <c r="P10" s="251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</row>
    <row r="11" spans="5:36" ht="25.35" customHeight="1" thickBot="1">
      <c r="E11" s="89" t="s">
        <v>546</v>
      </c>
      <c r="F11" s="94"/>
      <c r="H11" s="20" t="s">
        <v>323</v>
      </c>
      <c r="I11" s="254">
        <f ca="1">IFERROR((SUM(tb_resource13[Extended Price],F10)+IF(F5="Yes",I7,0))*(1-I9),"")</f>
        <v>109618</v>
      </c>
      <c r="J11" s="132" t="s">
        <v>324</v>
      </c>
      <c r="K11" s="25"/>
      <c r="L11" s="16"/>
      <c r="M11" s="16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spans="5:36">
      <c r="H12" s="64" t="str">
        <f>"Total " &amp; F7</f>
        <v>Total Days</v>
      </c>
      <c r="I12" s="186">
        <f ca="1">IFERROR(SUMIFS('Autopopulated_resource plan'!$H$23:$H$43,'Autopopulated_resource plan'!$B$23:$B$43,"&gt;"&amp;0),"")</f>
        <v>46</v>
      </c>
      <c r="J12" s="134" t="str">
        <f>F7</f>
        <v>Days</v>
      </c>
      <c r="K12" s="26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5:36">
      <c r="H13" s="21" t="s">
        <v>325</v>
      </c>
      <c r="I13" s="252">
        <f ca="1">IFERROR(1-F18/I11,"")</f>
        <v>0.41100204212269342</v>
      </c>
      <c r="J13" s="133" t="str">
        <f ca="1">IF(I13&lt;40%, "Approval Needed!","")</f>
        <v/>
      </c>
      <c r="K13" s="26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spans="5:36">
      <c r="E14" s="96" t="s">
        <v>326</v>
      </c>
      <c r="F14" s="240">
        <f ca="1">SUMPRODUCT($B$23:$B$43,$H$23:$H$43)</f>
        <v>58695.252860540539</v>
      </c>
      <c r="H14" s="137" t="s">
        <v>327</v>
      </c>
      <c r="I14" s="135"/>
      <c r="J14" s="134"/>
      <c r="K14" s="26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</row>
    <row r="15" spans="5:36" ht="15.75" thickBot="1">
      <c r="E15" s="96"/>
      <c r="F15" s="97"/>
      <c r="H15" s="136" t="s">
        <v>328</v>
      </c>
      <c r="I15" s="22"/>
      <c r="J15" s="23"/>
      <c r="K15" s="24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</row>
    <row r="16" spans="5:36">
      <c r="E16" s="96" t="s">
        <v>547</v>
      </c>
      <c r="F16" s="97">
        <f>IF(F5="Yes",I5,0)</f>
        <v>0</v>
      </c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2:36" ht="15.75" thickBot="1">
      <c r="E17" s="96" t="s">
        <v>330</v>
      </c>
      <c r="F17" s="97">
        <f ca="1">I11*10%*IF(F9="Yes",1,0)</f>
        <v>0</v>
      </c>
      <c r="H17" s="238" t="s">
        <v>50</v>
      </c>
      <c r="I17" s="239">
        <f>IF(F3="T&amp;M",I19,I18)</f>
        <v>0.1</v>
      </c>
      <c r="J17" s="236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</row>
    <row r="18" spans="2:36" ht="15.75" thickBot="1">
      <c r="E18" s="98" t="s">
        <v>331</v>
      </c>
      <c r="F18" s="99">
        <f ca="1">SUM(F10:F11,F14:F17)*(1+I17)</f>
        <v>64564.778146594595</v>
      </c>
      <c r="H18" s="120" t="s">
        <v>548</v>
      </c>
      <c r="I18" s="237">
        <v>0.1</v>
      </c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2:36" ht="15.75" thickBot="1">
      <c r="H19" s="120" t="s">
        <v>333</v>
      </c>
      <c r="I19" s="237">
        <v>0</v>
      </c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</row>
    <row r="20" spans="2:36"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spans="2:36" ht="36.6" customHeight="1" thickBot="1">
      <c r="B21" s="100" t="s">
        <v>334</v>
      </c>
      <c r="C21" s="100" t="s">
        <v>335</v>
      </c>
      <c r="D21" s="101" t="s">
        <v>336</v>
      </c>
      <c r="E21" s="101" t="s">
        <v>86</v>
      </c>
      <c r="F21" s="100" t="s">
        <v>87</v>
      </c>
      <c r="G21" s="101" t="s">
        <v>82</v>
      </c>
      <c r="H21" s="118" t="str">
        <f>F7</f>
        <v>Days</v>
      </c>
      <c r="I21" s="100" t="str">
        <f>"Price/"&amp; IF(F7="Hours","hr","day")</f>
        <v>Price/day</v>
      </c>
      <c r="J21" s="100" t="s">
        <v>549</v>
      </c>
      <c r="K21" s="100" t="s">
        <v>338</v>
      </c>
      <c r="L21" s="100" t="s">
        <v>339</v>
      </c>
      <c r="M21" s="100" t="s">
        <v>340</v>
      </c>
      <c r="N21" s="100" t="s">
        <v>353</v>
      </c>
      <c r="O21" s="100" t="s">
        <v>341</v>
      </c>
      <c r="P21" s="100" t="s">
        <v>355</v>
      </c>
      <c r="Q21" s="100" t="s">
        <v>343</v>
      </c>
      <c r="R21" s="102" t="s">
        <v>344</v>
      </c>
    </row>
    <row r="22" spans="2:36" ht="19.350000000000001" hidden="1" customHeight="1" thickBot="1">
      <c r="B22" s="161" t="s">
        <v>334</v>
      </c>
      <c r="C22" s="162" t="s">
        <v>335</v>
      </c>
      <c r="D22" s="163" t="s">
        <v>336</v>
      </c>
      <c r="E22" s="163" t="s">
        <v>86</v>
      </c>
      <c r="F22" s="162" t="s">
        <v>87</v>
      </c>
      <c r="G22" s="163" t="s">
        <v>82</v>
      </c>
      <c r="H22" s="164" t="s">
        <v>348</v>
      </c>
      <c r="I22" s="162" t="s">
        <v>349</v>
      </c>
      <c r="J22" s="162" t="s">
        <v>350</v>
      </c>
      <c r="K22" s="162" t="s">
        <v>351</v>
      </c>
      <c r="L22" s="162" t="s">
        <v>339</v>
      </c>
      <c r="M22" s="162" t="s">
        <v>340</v>
      </c>
      <c r="N22" s="162" t="s">
        <v>353</v>
      </c>
      <c r="O22" s="162" t="s">
        <v>341</v>
      </c>
      <c r="P22" s="162" t="s">
        <v>355</v>
      </c>
      <c r="Q22" s="162" t="s">
        <v>343</v>
      </c>
      <c r="R22" s="165" t="s">
        <v>344</v>
      </c>
    </row>
    <row r="23" spans="2:36" ht="16.350000000000001" customHeight="1">
      <c r="B23" s="157">
        <f t="shared" ref="B23:B43" ca="1" si="0">IFERROR(
    INDEX(
        CHOOSE(
            MATCH(E23, practices, 0),
            costAps,
            costData,
            costSec,
            costAdv,
            costProd,
            costPvtCld,
            costSdaia,
            costErp
        ),
        MATCH($G23,INDIRECT( "roles_"&amp;MATCH(E23, practices, 0)), 0),
        MATCH($F23, countries, 0))
     *
    INDEX(fx, MATCH($F$6, currency, 0)) *
    IF($F$7 = "Days", 8, 1),
    ""
)</f>
        <v>1275.9837578378379</v>
      </c>
      <c r="C23" s="125">
        <f ca="1">IF(OR(AND(Q23=0,R23=0),AND(Q23=0,R23=""),Q23=""),1,IF(Q23=0,-1,0))</f>
        <v>-1</v>
      </c>
      <c r="D23" s="121">
        <v>1</v>
      </c>
      <c r="E23" s="147" t="str">
        <f>'Resource Plan'!B44</f>
        <v>Platform and Apps</v>
      </c>
      <c r="F23" s="147" t="str">
        <f>'Resource Plan'!D44</f>
        <v>UK</v>
      </c>
      <c r="G23" s="147" t="str">
        <f>'Resource Plan'!C44</f>
        <v>TCT/Lead Arch</v>
      </c>
      <c r="H23" s="142">
        <f>'Resource Plan'!G44</f>
        <v>46</v>
      </c>
      <c r="I23" s="250">
        <f t="shared" ref="I23:I43" ca="1" si="1">IFERROR(ROUNDUP(IF(OR(J23="List Price",$F$3="Fixed Price"),R23*IF($F$9="Yes",1.2,1)*IF($F$3="Fixed Price",1.12,1),IF(K23&lt;1,B23/(1-K23),K23)),0),"")</f>
        <v>2383</v>
      </c>
      <c r="J23" s="249" t="s">
        <v>357</v>
      </c>
      <c r="K23" s="248">
        <v>0.5</v>
      </c>
      <c r="L23" s="103">
        <f t="shared" ref="L23:L43" ca="1" si="2">IF(R23="","",H23*I23)</f>
        <v>109618</v>
      </c>
      <c r="M23" s="104">
        <f t="shared" ref="M23:M43" ca="1" si="3">IFERROR(1-B23/I23,"")</f>
        <v>0.4645473110206304</v>
      </c>
      <c r="N23" s="144"/>
      <c r="O23" s="105" t="str">
        <f ca="1">IF('Autopopulated_resource plan'!$C23=-1,"No resource in region, please work with delivery and finance to get approvals for using this rate",IF('Autopopulated_resource plan'!$C23=1,"No resource in region or planned in future. Please get special approval from Finance and HR",""))</f>
        <v>No resource in region, please work with delivery and finance to get approvals for using this rate</v>
      </c>
      <c r="P23" s="106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INDEX(Other_roles[Roles],MATCH(Calculator!$G23,Other_roles[mapped to],0)),"")))</f>
        <v>This resource is not available</v>
      </c>
      <c r="Q23" s="256">
        <f t="shared" ref="Q23:Q43" ca="1" si="4">IFERROR(
    INDEX(
        CHOOSE(
            MATCH(E23, practices, 0),
            countAps,
            countData,
            countSec,
            countAdv,
            countProd,
            CountPvtCld,
            countSdaia,
            countErp
        ),
        MATCH($G23, INDIRECT( "roles_"&amp;MATCH(E23, practices, 0)), 0),
        MATCH($F23, countries, 0)),
    ""
)</f>
        <v>0</v>
      </c>
      <c r="R23" s="257" cm="1">
        <f t="array" aca="1" ref="R23" ca="1">IF(      OR(B23={0,""}      ),    "",
ROUNDUP(B23 /
      IF( OR('Autopopulated_resource plan'!$F23={"IN","EG","VN"}),  IF(OR($F$4={"IN","PL","EG","VN"}),   0.6,   0.4),  IF( OR('Autopopulated_resource plan'!$G23={"TCT","Manager","Sr. Mgr","EM"}),   0.6,0.6)   ),  0)   )</f>
        <v>2127</v>
      </c>
    </row>
    <row r="24" spans="2:36">
      <c r="B24" s="158">
        <f t="shared" ca="1" si="0"/>
        <v>896</v>
      </c>
      <c r="C24" s="126">
        <f t="shared" ref="C24:C43" ca="1" si="5">IF(OR(AND(Q24=0,R24=0),AND(Q24=0,R24="")),1,IF(Q24=0,-1,0))</f>
        <v>0</v>
      </c>
      <c r="D24" s="122">
        <f>IF(E24="","",D23+1)</f>
        <v>2</v>
      </c>
      <c r="E24" s="147" t="str">
        <f>'Resource Plan'!B45</f>
        <v>PS Private Cloud</v>
      </c>
      <c r="F24" s="147" t="str">
        <f>'Resource Plan'!D45</f>
        <v>US</v>
      </c>
      <c r="G24" s="147" t="str">
        <f>'Resource Plan'!C45</f>
        <v>Engineer</v>
      </c>
      <c r="H24" s="142">
        <f>'Resource Plan'!G45</f>
        <v>0</v>
      </c>
      <c r="I24" s="250">
        <f t="shared" ca="1" si="1"/>
        <v>1674</v>
      </c>
      <c r="J24" s="249" t="s">
        <v>357</v>
      </c>
      <c r="K24" s="248">
        <v>0.5</v>
      </c>
      <c r="L24" s="107">
        <f t="shared" ca="1" si="2"/>
        <v>0</v>
      </c>
      <c r="M24" s="108">
        <f t="shared" ca="1" si="3"/>
        <v>0.46475507765830348</v>
      </c>
      <c r="N24" s="146"/>
      <c r="O24" s="109" t="str">
        <f ca="1">IF('Autopopulated_resource plan'!$C24=-1,"No resource in region, please work with delivery and finance to get approvals for using this rate",IF('Autopopulated_resource plan'!$C24=1,"No resource in region or planned in future. Please get special approval from Finance and HR",""))</f>
        <v/>
      </c>
      <c r="P24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INDEX(Other_roles[Roles],MATCH(Calculator!$G24,Other_roles[mapped to],0)),"")))</f>
        <v>role also mapped to Subject Matter Expert (SME) &amp; Security Consultant</v>
      </c>
      <c r="Q24" s="256">
        <f t="shared" ca="1" si="4"/>
        <v>2</v>
      </c>
      <c r="R24" s="257" cm="1">
        <f t="array" aca="1" ref="R24" ca="1">IF(      OR(B24={0,""}      ),    "",
ROUNDUP(B24 /
      IF( OR('Autopopulated_resource plan'!$F24={"IN","EG","VN"}),  IF(OR($F$4={"IN","PL","EG","VN"}),   0.6,   0.4),  IF( OR('Autopopulated_resource plan'!$G24={"TCT","Manager","Sr. Mgr","EM"}),   0.6,0.6)   ),  0)   )</f>
        <v>1494</v>
      </c>
    </row>
    <row r="25" spans="2:36">
      <c r="B25" s="159">
        <f t="shared" ca="1" si="0"/>
        <v>896</v>
      </c>
      <c r="C25" s="127">
        <f t="shared" ca="1" si="5"/>
        <v>0</v>
      </c>
      <c r="D25" s="123">
        <f t="shared" ref="D25:D43" si="6">IF(E25="","",D24+1)</f>
        <v>3</v>
      </c>
      <c r="E25" s="147" t="str">
        <f>'Resource Plan'!B46</f>
        <v>PS Private Cloud</v>
      </c>
      <c r="F25" s="147" t="str">
        <f>'Resource Plan'!D46</f>
        <v>US</v>
      </c>
      <c r="G25" s="147" t="str">
        <f>'Resource Plan'!C46</f>
        <v>Engineer</v>
      </c>
      <c r="H25" s="142">
        <f>'Resource Plan'!G46</f>
        <v>0</v>
      </c>
      <c r="I25" s="250">
        <f t="shared" ca="1" si="1"/>
        <v>1674</v>
      </c>
      <c r="J25" s="249" t="s">
        <v>357</v>
      </c>
      <c r="K25" s="247">
        <v>0.5</v>
      </c>
      <c r="L25" s="111">
        <f t="shared" ca="1" si="2"/>
        <v>0</v>
      </c>
      <c r="M25" s="112">
        <f t="shared" ca="1" si="3"/>
        <v>0.46475507765830348</v>
      </c>
      <c r="N25" s="146"/>
      <c r="O25" s="113" t="str">
        <f ca="1">IF('Autopopulated_resource plan'!$C25=-1,"No resource in region, please work with delivery and finance to get approvals for using this rate",IF('Autopopulated_resource plan'!$C25=1,"No resource in region or planned in future. Please get special approval from Finance and HR",""))</f>
        <v/>
      </c>
      <c r="P25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INDEX(Other_roles[Roles],MATCH(Calculator!$G25,Other_roles[mapped to],0)),"")))</f>
        <v>role also mapped to Subject Matter Expert (SME) &amp; Security Consultant</v>
      </c>
      <c r="Q25" s="256">
        <f t="shared" ca="1" si="4"/>
        <v>2</v>
      </c>
      <c r="R25" s="257" cm="1">
        <f t="array" aca="1" ref="R25" ca="1">IF(      OR(B25={0,""}      ),    "",
ROUNDUP(B25 /
      IF( OR('Autopopulated_resource plan'!$F25={"IN","EG","VN"}),  IF(OR($F$4={"IN","PL","EG","VN"}),   0.6,   0.4),  IF( OR('Autopopulated_resource plan'!$G25={"TCT","Manager","Sr. Mgr","EM"}),   0.6,0.6)   ),  0)   )</f>
        <v>1494</v>
      </c>
    </row>
    <row r="26" spans="2:36">
      <c r="B26" s="158">
        <f t="shared" ca="1" si="0"/>
        <v>1200</v>
      </c>
      <c r="C26" s="126">
        <f t="shared" ca="1" si="5"/>
        <v>0</v>
      </c>
      <c r="D26" s="122">
        <f t="shared" si="6"/>
        <v>4</v>
      </c>
      <c r="E26" s="147" t="str">
        <f>'Resource Plan'!B47</f>
        <v>PS Private Cloud</v>
      </c>
      <c r="F26" s="147" t="str">
        <f>'Resource Plan'!D47</f>
        <v>US</v>
      </c>
      <c r="G26" s="147" t="str">
        <f>'Resource Plan'!C47</f>
        <v>Architect</v>
      </c>
      <c r="H26" s="142">
        <f>'Resource Plan'!G47</f>
        <v>0</v>
      </c>
      <c r="I26" s="250">
        <f t="shared" ca="1" si="1"/>
        <v>2240</v>
      </c>
      <c r="J26" s="249" t="s">
        <v>357</v>
      </c>
      <c r="K26" s="247">
        <v>0.5</v>
      </c>
      <c r="L26" s="107">
        <f t="shared" ca="1" si="2"/>
        <v>0</v>
      </c>
      <c r="M26" s="108">
        <f t="shared" ca="1" si="3"/>
        <v>0.4642857142857143</v>
      </c>
      <c r="N26" s="146"/>
      <c r="O26" s="113" t="str">
        <f ca="1">IF('Autopopulated_resource plan'!$C26=-1,"No resource in region, please work with delivery and finance to get approvals for using this rate",IF('Autopopulated_resource plan'!$C26=1,"No resource in region or planned in future. Please get special approval from Finance and HR",""))</f>
        <v/>
      </c>
      <c r="P26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INDEX(Other_roles[Roles],MATCH(Calculator!$G26,Other_roles[mapped to],0)),"")))</f>
        <v>role also mapped to Subject Matter Expert (SME) &amp; Security Consultant</v>
      </c>
      <c r="Q26" s="256">
        <f t="shared" ca="1" si="4"/>
        <v>2</v>
      </c>
      <c r="R26" s="257" cm="1">
        <f t="array" aca="1" ref="R26" ca="1">IF(      OR(B26={0,""}      ),    "",
ROUNDUP(B26 /
      IF( OR('Autopopulated_resource plan'!$F26={"IN","EG","VN"}),  IF(OR($F$4={"IN","PL","EG","VN"}),   0.6,   0.4),  IF( OR('Autopopulated_resource plan'!$G26={"TCT","Manager","Sr. Mgr","EM"}),   0.6,0.6)   ),  0)   )</f>
        <v>2000</v>
      </c>
    </row>
    <row r="27" spans="2:36">
      <c r="B27" s="159" t="str">
        <f t="shared" ca="1" si="0"/>
        <v/>
      </c>
      <c r="C27" s="127">
        <f t="shared" ca="1" si="5"/>
        <v>0</v>
      </c>
      <c r="D27" s="123">
        <f t="shared" si="6"/>
        <v>5</v>
      </c>
      <c r="E27" s="147" t="str">
        <f>'Resource Plan'!B48</f>
        <v>Platform and Apps</v>
      </c>
      <c r="F27" s="147">
        <f>'Resource Plan'!D48</f>
        <v>0</v>
      </c>
      <c r="G27" s="147" t="str">
        <f>'Resource Plan'!C48</f>
        <v>Eng</v>
      </c>
      <c r="H27" s="142">
        <f>'Resource Plan'!G48</f>
        <v>0</v>
      </c>
      <c r="I27" s="250" t="str">
        <f t="shared" ca="1" si="1"/>
        <v/>
      </c>
      <c r="J27" s="249" t="s">
        <v>357</v>
      </c>
      <c r="K27" s="247">
        <v>0.5</v>
      </c>
      <c r="L27" s="111" t="str">
        <f t="shared" ca="1" si="2"/>
        <v/>
      </c>
      <c r="M27" s="112" t="str">
        <f t="shared" ca="1" si="3"/>
        <v/>
      </c>
      <c r="N27" s="146"/>
      <c r="O27" s="113" t="str">
        <f ca="1">IF('Autopopulated_resource plan'!$C27=-1,"No resource in region, please work with delivery and finance to get approvals for using this rate",IF('Autopopulated_resource plan'!$C27=1,"No resource in region or planned in future. Please get special approval from Finance and HR",""))</f>
        <v/>
      </c>
      <c r="P27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INDEX(Other_roles[Roles],MATCH(Calculator!$G27,Other_roles[mapped to],0)),"")))</f>
        <v>role also mapped to Subject Matter Expert (SME) &amp; Security Consultant</v>
      </c>
      <c r="Q27" s="256" t="str">
        <f t="shared" ca="1" si="4"/>
        <v/>
      </c>
      <c r="R27" s="257" t="str" cm="1">
        <f t="array" aca="1" ref="R27" ca="1">IF(      OR(B27={0,""}      ),    "",
ROUNDUP(B27 /
      IF( OR('Autopopulated_resource plan'!$F27={"IN","EG","VN"}),  IF(OR($F$4={"IN","PL","EG","VN"}),   0.6,   0.4),  IF( OR('Autopopulated_resource plan'!$G27={"TCT","Manager","Sr. Mgr","EM"}),   0.6,0.6)   ),  0)   )</f>
        <v/>
      </c>
    </row>
    <row r="28" spans="2:36">
      <c r="B28" s="158" t="str">
        <f t="shared" ca="1" si="0"/>
        <v/>
      </c>
      <c r="C28" s="126">
        <f t="shared" ca="1" si="5"/>
        <v>0</v>
      </c>
      <c r="D28" s="122">
        <f t="shared" si="6"/>
        <v>6</v>
      </c>
      <c r="E28" s="147">
        <f>'Resource Plan'!B49</f>
        <v>0</v>
      </c>
      <c r="F28" s="147">
        <f>'Resource Plan'!D49</f>
        <v>0</v>
      </c>
      <c r="G28" s="147">
        <f>'Resource Plan'!C49</f>
        <v>0</v>
      </c>
      <c r="H28" s="142">
        <f>'Resource Plan'!G49</f>
        <v>0</v>
      </c>
      <c r="I28" s="250" t="str">
        <f t="shared" ca="1" si="1"/>
        <v/>
      </c>
      <c r="J28" s="249" t="s">
        <v>357</v>
      </c>
      <c r="K28" s="247">
        <v>0.5</v>
      </c>
      <c r="L28" s="107" t="str">
        <f t="shared" ca="1" si="2"/>
        <v/>
      </c>
      <c r="M28" s="108" t="str">
        <f t="shared" ca="1" si="3"/>
        <v/>
      </c>
      <c r="N28" s="146"/>
      <c r="O28" s="113" t="str">
        <f ca="1">IF('Autopopulated_resource plan'!$C28=-1,"No resource in region, please work with delivery and finance to get approvals for using this rate",IF('Autopopulated_resource plan'!$C28=1,"No resource in region or planned in future. Please get special approval from Finance and HR",""))</f>
        <v/>
      </c>
      <c r="P28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INDEX(Other_roles[Roles],MATCH(Calculator!$G28,Other_roles[mapped to],0)),"")))</f>
        <v>role also mapped to Subject Matter Expert (SME) &amp; Security Consultant</v>
      </c>
      <c r="Q28" s="256" t="str">
        <f t="shared" ca="1" si="4"/>
        <v/>
      </c>
      <c r="R28" s="257" t="str" cm="1">
        <f t="array" aca="1" ref="R28" ca="1">IF(      OR(B28={0,""}      ),    "",
ROUNDUP(B28 /
      IF( OR('Autopopulated_resource plan'!$F28={"IN","EG","VN"}),  IF(OR($F$4={"IN","PL","EG","VN"}),   0.6,   0.4),  IF( OR('Autopopulated_resource plan'!$G28={"TCT","Manager","Sr. Mgr","EM"}),   0.6,0.6)   ),  0)   )</f>
        <v/>
      </c>
    </row>
    <row r="29" spans="2:36">
      <c r="B29" s="159" t="str">
        <f t="shared" ca="1" si="0"/>
        <v/>
      </c>
      <c r="C29" s="127">
        <f t="shared" ca="1" si="5"/>
        <v>0</v>
      </c>
      <c r="D29" s="123">
        <f t="shared" si="6"/>
        <v>7</v>
      </c>
      <c r="E29" s="147">
        <f>'Resource Plan'!B50</f>
        <v>0</v>
      </c>
      <c r="F29" s="147">
        <f>'Resource Plan'!D50</f>
        <v>0</v>
      </c>
      <c r="G29" s="147">
        <f>'Resource Plan'!C50</f>
        <v>0</v>
      </c>
      <c r="H29" s="142">
        <f>'Resource Plan'!G50</f>
        <v>0</v>
      </c>
      <c r="I29" s="250" t="str">
        <f t="shared" ca="1" si="1"/>
        <v/>
      </c>
      <c r="J29" s="249" t="s">
        <v>357</v>
      </c>
      <c r="K29" s="247">
        <v>0.5</v>
      </c>
      <c r="L29" s="111" t="str">
        <f t="shared" ca="1" si="2"/>
        <v/>
      </c>
      <c r="M29" s="112" t="str">
        <f t="shared" ca="1" si="3"/>
        <v/>
      </c>
      <c r="N29" s="146"/>
      <c r="O29" s="113" t="str">
        <f ca="1">IF('Autopopulated_resource plan'!$C29=-1,"No resource in region, please work with delivery and finance to get approvals for using this rate",IF('Autopopulated_resource plan'!$C29=1,"No resource in region or planned in future. Please get special approval from Finance and HR",""))</f>
        <v/>
      </c>
      <c r="P29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INDEX(Other_roles[Roles],MATCH(Calculator!$G29,Other_roles[mapped to],0)),"")))</f>
        <v>role also mapped to Engineer III, IV</v>
      </c>
      <c r="Q29" s="256" t="str">
        <f t="shared" ca="1" si="4"/>
        <v/>
      </c>
      <c r="R29" s="257" t="str" cm="1">
        <f t="array" aca="1" ref="R29" ca="1">IF(      OR(B29={0,""}      ),    "",
ROUNDUP(B29 /
      IF( OR('Autopopulated_resource plan'!$F29={"IN","EG","VN"}),  IF(OR($F$4={"IN","PL","EG","VN"}),   0.6,   0.4),  IF( OR('Autopopulated_resource plan'!$G29={"TCT","Manager","Sr. Mgr","EM"}),   0.6,0.6)   ),  0)   )</f>
        <v/>
      </c>
    </row>
    <row r="30" spans="2:36">
      <c r="B30" s="158" t="str">
        <f t="shared" ca="1" si="0"/>
        <v/>
      </c>
      <c r="C30" s="126">
        <f t="shared" ca="1" si="5"/>
        <v>0</v>
      </c>
      <c r="D30" s="122">
        <f t="shared" si="6"/>
        <v>8</v>
      </c>
      <c r="E30" s="147">
        <f>'Resource Plan'!B51</f>
        <v>0</v>
      </c>
      <c r="F30" s="147">
        <f>'Resource Plan'!D51</f>
        <v>0</v>
      </c>
      <c r="G30" s="147">
        <f>'Resource Plan'!C51</f>
        <v>0</v>
      </c>
      <c r="H30" s="142">
        <f>'Resource Plan'!G51</f>
        <v>0</v>
      </c>
      <c r="I30" s="250" t="str">
        <f t="shared" ca="1" si="1"/>
        <v/>
      </c>
      <c r="J30" s="249" t="s">
        <v>357</v>
      </c>
      <c r="K30" s="143">
        <v>0.5</v>
      </c>
      <c r="L30" s="107" t="str">
        <f t="shared" ca="1" si="2"/>
        <v/>
      </c>
      <c r="M30" s="108" t="str">
        <f t="shared" ca="1" si="3"/>
        <v/>
      </c>
      <c r="N30" s="146"/>
      <c r="O30" s="113" t="str">
        <f ca="1">IF('Autopopulated_resource plan'!$C30=-1,"No resource in region, please work with delivery and finance to get approvals for using this rate",IF('Autopopulated_resource plan'!$C30=1,"No resource in region or planned in future. Please get special approval from Finance and HR",""))</f>
        <v/>
      </c>
      <c r="P30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INDEX(Other_roles[Roles],MATCH(Calculator!$G30,Other_roles[mapped to],0)),"")))</f>
        <v/>
      </c>
      <c r="Q30" s="256" t="str">
        <f t="shared" ca="1" si="4"/>
        <v/>
      </c>
      <c r="R30" s="257" t="str" cm="1">
        <f t="array" aca="1" ref="R30" ca="1">IF(      OR(B30={0,""}      ),    "",
ROUNDUP(B30 /
      IF( OR('Autopopulated_resource plan'!$F30={"IN","EG","VN"}),  IF(OR($F$4={"IN","PL","EG","VN"}),   0.6,   0.4),  IF( OR('Autopopulated_resource plan'!$G30={"TCT","Manager","Sr. Mgr","EM"}),   0.6,0.6)   ),  0)   )</f>
        <v/>
      </c>
    </row>
    <row r="31" spans="2:36">
      <c r="B31" s="159" t="str">
        <f t="shared" ca="1" si="0"/>
        <v/>
      </c>
      <c r="C31" s="127">
        <f t="shared" ca="1" si="5"/>
        <v>0</v>
      </c>
      <c r="D31" s="123">
        <f t="shared" si="6"/>
        <v>9</v>
      </c>
      <c r="E31" s="147">
        <f>'Resource Plan'!B52</f>
        <v>0</v>
      </c>
      <c r="F31" s="147">
        <f>'Resource Plan'!D52</f>
        <v>0</v>
      </c>
      <c r="G31" s="147">
        <f>'Resource Plan'!C52</f>
        <v>0</v>
      </c>
      <c r="H31" s="142">
        <f>'Resource Plan'!G52</f>
        <v>0</v>
      </c>
      <c r="I31" s="250" t="str">
        <f t="shared" ca="1" si="1"/>
        <v/>
      </c>
      <c r="J31" s="249" t="s">
        <v>357</v>
      </c>
      <c r="K31" s="143">
        <v>0.5</v>
      </c>
      <c r="L31" s="111" t="str">
        <f t="shared" ca="1" si="2"/>
        <v/>
      </c>
      <c r="M31" s="112" t="str">
        <f t="shared" ca="1" si="3"/>
        <v/>
      </c>
      <c r="N31" s="146"/>
      <c r="O31" s="113" t="str">
        <f ca="1">IF('Autopopulated_resource plan'!$C31=-1,"No resource in region, please work with delivery and finance to get approvals for using this rate",IF('Autopopulated_resource plan'!$C31=1,"No resource in region or planned in future. Please get special approval from Finance and HR",""))</f>
        <v/>
      </c>
      <c r="P31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INDEX(Other_roles[Roles],MATCH(Calculator!$G31,Other_roles[mapped to],0)),"")))</f>
        <v/>
      </c>
      <c r="Q31" s="256" t="str">
        <f t="shared" ca="1" si="4"/>
        <v/>
      </c>
      <c r="R31" s="257" t="str" cm="1">
        <f t="array" aca="1" ref="R31" ca="1">IF(      OR(B31={0,""}      ),    "",
ROUNDUP(B31 /
      IF( OR('Autopopulated_resource plan'!$F31={"IN","EG","VN"}),  IF(OR($F$4={"IN","PL","EG","VN"}),   0.6,   0.4),  IF( OR('Autopopulated_resource plan'!$G31={"TCT","Manager","Sr. Mgr","EM"}),   0.6,0.6)   ),  0)   )</f>
        <v/>
      </c>
    </row>
    <row r="32" spans="2:36">
      <c r="B32" s="158" t="str">
        <f t="shared" ca="1" si="0"/>
        <v/>
      </c>
      <c r="C32" s="126">
        <f t="shared" ca="1" si="5"/>
        <v>0</v>
      </c>
      <c r="D32" s="122">
        <f t="shared" si="6"/>
        <v>10</v>
      </c>
      <c r="E32" s="147">
        <f>'Resource Plan'!B53</f>
        <v>0</v>
      </c>
      <c r="F32" s="147">
        <f>'Resource Plan'!D53</f>
        <v>0</v>
      </c>
      <c r="G32" s="147">
        <f>'Resource Plan'!C53</f>
        <v>0</v>
      </c>
      <c r="H32" s="142">
        <f>'Resource Plan'!G53</f>
        <v>0</v>
      </c>
      <c r="I32" s="250" t="str">
        <f t="shared" ca="1" si="1"/>
        <v/>
      </c>
      <c r="J32" s="249" t="s">
        <v>357</v>
      </c>
      <c r="K32" s="143">
        <v>0.5</v>
      </c>
      <c r="L32" s="107" t="str">
        <f t="shared" ca="1" si="2"/>
        <v/>
      </c>
      <c r="M32" s="108" t="str">
        <f t="shared" ca="1" si="3"/>
        <v/>
      </c>
      <c r="N32" s="146"/>
      <c r="O32" s="113" t="str">
        <f ca="1">IF('Autopopulated_resource plan'!$C32=-1,"No resource in region, please work with delivery and finance to get approvals for using this rate",IF('Autopopulated_resource plan'!$C32=1,"No resource in region or planned in future. Please get special approval from Finance and HR",""))</f>
        <v/>
      </c>
      <c r="P32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INDEX(Other_roles[Roles],MATCH(Calculator!$G32,Other_roles[mapped to],0)),"")))</f>
        <v/>
      </c>
      <c r="Q32" s="256" t="str">
        <f t="shared" ca="1" si="4"/>
        <v/>
      </c>
      <c r="R32" s="257" t="str" cm="1">
        <f t="array" aca="1" ref="R32" ca="1">IF(      OR(B32={0,""}      ),    "",
ROUNDUP(B32 /
      IF( OR('Autopopulated_resource plan'!$F32={"IN","EG","VN"}),  IF(OR($F$4={"IN","PL","EG","VN"}),   0.6,   0.4),  IF( OR('Autopopulated_resource plan'!$G32={"TCT","Manager","Sr. Mgr","EM"}),   0.6,0.6)   ),  0)   )</f>
        <v/>
      </c>
    </row>
    <row r="33" spans="2:18">
      <c r="B33" s="159" t="str">
        <f t="shared" ca="1" si="0"/>
        <v/>
      </c>
      <c r="C33" s="127">
        <f t="shared" ca="1" si="5"/>
        <v>0</v>
      </c>
      <c r="D33" s="123">
        <f t="shared" si="6"/>
        <v>11</v>
      </c>
      <c r="E33" s="147">
        <f>'Resource Plan'!B54</f>
        <v>0</v>
      </c>
      <c r="F33" s="147">
        <f>'Resource Plan'!D54</f>
        <v>0</v>
      </c>
      <c r="G33" s="147">
        <f>'Resource Plan'!C54</f>
        <v>0</v>
      </c>
      <c r="H33" s="142">
        <f>'Resource Plan'!G54</f>
        <v>0</v>
      </c>
      <c r="I33" s="250" t="str">
        <f t="shared" ca="1" si="1"/>
        <v/>
      </c>
      <c r="J33" s="249" t="s">
        <v>357</v>
      </c>
      <c r="K33" s="143">
        <v>0.5</v>
      </c>
      <c r="L33" s="111" t="str">
        <f t="shared" ca="1" si="2"/>
        <v/>
      </c>
      <c r="M33" s="112" t="str">
        <f t="shared" ca="1" si="3"/>
        <v/>
      </c>
      <c r="N33" s="146"/>
      <c r="O33" s="113" t="str">
        <f ca="1">IF('Autopopulated_resource plan'!$C33=-1,"No resource in region, please work with delivery and finance to get approvals for using this rate",IF('Autopopulated_resource plan'!$C33=1,"No resource in region or planned in future. Please get special approval from Finance and HR",""))</f>
        <v/>
      </c>
      <c r="P33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INDEX(Other_roles[Roles],MATCH(Calculator!$G33,Other_roles[mapped to],0)),"")))</f>
        <v/>
      </c>
      <c r="Q33" s="256" t="str">
        <f t="shared" ca="1" si="4"/>
        <v/>
      </c>
      <c r="R33" s="257" t="str" cm="1">
        <f t="array" aca="1" ref="R33" ca="1">IF(      OR(B33={0,""}      ),    "",
ROUNDUP(B33 /
      IF( OR('Autopopulated_resource plan'!$F33={"IN","EG","VN"}),  IF(OR($F$4={"IN","PL","EG","VN"}),   0.6,   0.4),  IF( OR('Autopopulated_resource plan'!$G33={"TCT","Manager","Sr. Mgr","EM"}),   0.6,0.6)   ),  0)   )</f>
        <v/>
      </c>
    </row>
    <row r="34" spans="2:18">
      <c r="B34" s="158" t="str">
        <f t="shared" ca="1" si="0"/>
        <v/>
      </c>
      <c r="C34" s="126">
        <f t="shared" ca="1" si="5"/>
        <v>0</v>
      </c>
      <c r="D34" s="122">
        <f t="shared" si="6"/>
        <v>12</v>
      </c>
      <c r="E34" s="147">
        <f>'Resource Plan'!B55</f>
        <v>0</v>
      </c>
      <c r="F34" s="147">
        <f>'Resource Plan'!D55</f>
        <v>0</v>
      </c>
      <c r="G34" s="147">
        <f>'Resource Plan'!C55</f>
        <v>0</v>
      </c>
      <c r="H34" s="142">
        <f>'Resource Plan'!G55</f>
        <v>0</v>
      </c>
      <c r="I34" s="250" t="str">
        <f t="shared" ca="1" si="1"/>
        <v/>
      </c>
      <c r="J34" s="249" t="s">
        <v>357</v>
      </c>
      <c r="K34" s="143">
        <v>0.5</v>
      </c>
      <c r="L34" s="107" t="str">
        <f t="shared" ca="1" si="2"/>
        <v/>
      </c>
      <c r="M34" s="108" t="str">
        <f t="shared" ca="1" si="3"/>
        <v/>
      </c>
      <c r="N34" s="146"/>
      <c r="O34" s="113" t="str">
        <f ca="1">IF('Autopopulated_resource plan'!$C34=-1,"No resource in region, please work with delivery and finance to get approvals for using this rate",IF('Autopopulated_resource plan'!$C34=1,"No resource in region or planned in future. Please get special approval from Finance and HR",""))</f>
        <v/>
      </c>
      <c r="P34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INDEX(Other_roles[Roles],MATCH(Calculator!$G34,Other_roles[mapped to],0)),"")))</f>
        <v/>
      </c>
      <c r="Q34" s="256" t="str">
        <f t="shared" ca="1" si="4"/>
        <v/>
      </c>
      <c r="R34" s="257" t="str" cm="1">
        <f t="array" aca="1" ref="R34" ca="1">IF(      OR(B34={0,""}      ),    "",
ROUNDUP(B34 /
      IF( OR('Autopopulated_resource plan'!$F34={"IN","EG","VN"}),  IF(OR($F$4={"IN","PL","EG","VN"}),   0.6,   0.4),  IF( OR('Autopopulated_resource plan'!$G34={"TCT","Manager","Sr. Mgr","EM"}),   0.6,0.6)   ),  0)   )</f>
        <v/>
      </c>
    </row>
    <row r="35" spans="2:18">
      <c r="B35" s="159" t="str">
        <f t="shared" ca="1" si="0"/>
        <v/>
      </c>
      <c r="C35" s="127">
        <f t="shared" ca="1" si="5"/>
        <v>0</v>
      </c>
      <c r="D35" s="123" t="str">
        <f t="shared" si="6"/>
        <v/>
      </c>
      <c r="E35" s="147"/>
      <c r="F35" s="147"/>
      <c r="G35" s="147"/>
      <c r="H35" s="142"/>
      <c r="I35" s="250" t="str">
        <f t="shared" ca="1" si="1"/>
        <v/>
      </c>
      <c r="J35" s="249" t="s">
        <v>357</v>
      </c>
      <c r="K35" s="143">
        <v>0.5</v>
      </c>
      <c r="L35" s="111" t="str">
        <f t="shared" ca="1" si="2"/>
        <v/>
      </c>
      <c r="M35" s="112" t="str">
        <f t="shared" ca="1" si="3"/>
        <v/>
      </c>
      <c r="N35" s="146"/>
      <c r="O35" s="113" t="str">
        <f ca="1">IF('Autopopulated_resource plan'!$C35=-1,"No resource in region, please work with delivery and finance to get approvals for using this rate",IF('Autopopulated_resource plan'!$C35=1,"No resource in region or planned in future. Please get special approval from Finance and HR",""))</f>
        <v/>
      </c>
      <c r="P35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INDEX(Other_roles[Roles],MATCH(Calculator!$G35,Other_roles[mapped to],0)),"")))</f>
        <v/>
      </c>
      <c r="Q35" s="256" t="str">
        <f t="shared" ca="1" si="4"/>
        <v/>
      </c>
      <c r="R35" s="257" t="str" cm="1">
        <f t="array" aca="1" ref="R35" ca="1">IF(      OR(B35={0,""}      ),    "",
ROUNDUP(B35 /
      IF( OR('Autopopulated_resource plan'!$F35={"IN","EG","VN"}),  IF(OR($F$4={"IN","PL","EG","VN"}),   0.6,   0.4),  IF( OR('Autopopulated_resource plan'!$G35={"TCT","Manager","Sr. Mgr","EM"}),   0.6,0.6)   ),  0)   )</f>
        <v/>
      </c>
    </row>
    <row r="36" spans="2:18">
      <c r="B36" s="158" t="str">
        <f t="shared" ca="1" si="0"/>
        <v/>
      </c>
      <c r="C36" s="126">
        <f t="shared" ca="1" si="5"/>
        <v>0</v>
      </c>
      <c r="D36" s="122" t="str">
        <f t="shared" si="6"/>
        <v/>
      </c>
      <c r="E36" s="147"/>
      <c r="F36" s="147"/>
      <c r="G36" s="147"/>
      <c r="H36" s="142"/>
      <c r="I36" s="250" t="str">
        <f t="shared" ca="1" si="1"/>
        <v/>
      </c>
      <c r="J36" s="249" t="s">
        <v>357</v>
      </c>
      <c r="K36" s="143">
        <v>0.5</v>
      </c>
      <c r="L36" s="107" t="str">
        <f t="shared" ca="1" si="2"/>
        <v/>
      </c>
      <c r="M36" s="108" t="str">
        <f t="shared" ca="1" si="3"/>
        <v/>
      </c>
      <c r="N36" s="146"/>
      <c r="O36" s="113" t="str">
        <f ca="1">IF('Autopopulated_resource plan'!$C36=-1,"No resource in region, please work with delivery and finance to get approvals for using this rate",IF('Autopopulated_resource plan'!$C36=1,"No resource in region or planned in future. Please get special approval from Finance and HR",""))</f>
        <v/>
      </c>
      <c r="P36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INDEX(Other_roles[Roles],MATCH(Calculator!$G36,Other_roles[mapped to],0)),"")))</f>
        <v/>
      </c>
      <c r="Q36" s="256" t="str">
        <f t="shared" ca="1" si="4"/>
        <v/>
      </c>
      <c r="R36" s="257" t="str" cm="1">
        <f t="array" aca="1" ref="R36" ca="1">IF(      OR(B36={0,""}      ),    "",
ROUNDUP(B36 /
      IF( OR('Autopopulated_resource plan'!$F36={"IN","EG","VN"}),  IF(OR($F$4={"IN","PL","EG","VN"}),   0.6,   0.4),  IF( OR('Autopopulated_resource plan'!$G36={"TCT","Manager","Sr. Mgr","EM"}),   0.6,0.6)   ),  0)   )</f>
        <v/>
      </c>
    </row>
    <row r="37" spans="2:18">
      <c r="B37" s="159" t="str">
        <f t="shared" ca="1" si="0"/>
        <v/>
      </c>
      <c r="C37" s="127">
        <f t="shared" ca="1" si="5"/>
        <v>0</v>
      </c>
      <c r="D37" s="123" t="str">
        <f t="shared" si="6"/>
        <v/>
      </c>
      <c r="E37" s="147"/>
      <c r="F37" s="147"/>
      <c r="G37" s="147"/>
      <c r="H37" s="142"/>
      <c r="I37" s="250" t="str">
        <f t="shared" ca="1" si="1"/>
        <v/>
      </c>
      <c r="J37" s="249" t="s">
        <v>357</v>
      </c>
      <c r="K37" s="143">
        <v>0.5</v>
      </c>
      <c r="L37" s="111" t="str">
        <f t="shared" ca="1" si="2"/>
        <v/>
      </c>
      <c r="M37" s="112" t="str">
        <f t="shared" ca="1" si="3"/>
        <v/>
      </c>
      <c r="N37" s="146"/>
      <c r="O37" s="113" t="str">
        <f ca="1">IF('Autopopulated_resource plan'!$C37=-1,"No resource in region, please work with delivery and finance to get approvals for using this rate",IF('Autopopulated_resource plan'!$C37=1,"No resource in region or planned in future. Please get special approval from Finance and HR",""))</f>
        <v/>
      </c>
      <c r="P37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INDEX(Other_roles[Roles],MATCH(Calculator!$G37,Other_roles[mapped to],0)),"")))</f>
        <v/>
      </c>
      <c r="Q37" s="256" t="str">
        <f t="shared" ca="1" si="4"/>
        <v/>
      </c>
      <c r="R37" s="257" t="str" cm="1">
        <f t="array" aca="1" ref="R37" ca="1">IF(      OR(B37={0,""}      ),    "",
ROUNDUP(B37 /
      IF( OR('Autopopulated_resource plan'!$F37={"IN","EG","VN"}),  IF(OR($F$4={"IN","PL","EG","VN"}),   0.6,   0.4),  IF( OR('Autopopulated_resource plan'!$G37={"TCT","Manager","Sr. Mgr","EM"}),   0.6,0.6)   ),  0)   )</f>
        <v/>
      </c>
    </row>
    <row r="38" spans="2:18">
      <c r="B38" s="158" t="str">
        <f t="shared" ca="1" si="0"/>
        <v/>
      </c>
      <c r="C38" s="126">
        <f t="shared" ca="1" si="5"/>
        <v>0</v>
      </c>
      <c r="D38" s="122" t="str">
        <f t="shared" si="6"/>
        <v/>
      </c>
      <c r="E38" s="147"/>
      <c r="F38" s="147"/>
      <c r="G38" s="147"/>
      <c r="H38" s="142"/>
      <c r="I38" s="250" t="str">
        <f t="shared" ca="1" si="1"/>
        <v/>
      </c>
      <c r="J38" s="249" t="s">
        <v>357</v>
      </c>
      <c r="K38" s="143">
        <v>0.5</v>
      </c>
      <c r="L38" s="107" t="str">
        <f t="shared" ca="1" si="2"/>
        <v/>
      </c>
      <c r="M38" s="108" t="str">
        <f t="shared" ca="1" si="3"/>
        <v/>
      </c>
      <c r="N38" s="146"/>
      <c r="O38" s="113" t="str">
        <f ca="1">IF('Autopopulated_resource plan'!$C38=-1,"No resource in region, please work with delivery and finance to get approvals for using this rate",IF('Autopopulated_resource plan'!$C38=1,"No resource in region or planned in future. Please get special approval from Finance and HR",""))</f>
        <v/>
      </c>
      <c r="P38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INDEX(Other_roles[Roles],MATCH(Calculator!$G38,Other_roles[mapped to],0)),"")))</f>
        <v/>
      </c>
      <c r="Q38" s="256" t="str">
        <f t="shared" ca="1" si="4"/>
        <v/>
      </c>
      <c r="R38" s="257" t="str" cm="1">
        <f t="array" aca="1" ref="R38" ca="1">IF(      OR(B38={0,""}      ),    "",
ROUNDUP(B38 /
      IF( OR('Autopopulated_resource plan'!$F38={"IN","EG","VN"}),  IF(OR($F$4={"IN","PL","EG","VN"}),   0.6,   0.4),  IF( OR('Autopopulated_resource plan'!$G38={"TCT","Manager","Sr. Mgr","EM"}),   0.6,0.6)   ),  0)   )</f>
        <v/>
      </c>
    </row>
    <row r="39" spans="2:18">
      <c r="B39" s="159" t="str">
        <f t="shared" ca="1" si="0"/>
        <v/>
      </c>
      <c r="C39" s="127">
        <f t="shared" ca="1" si="5"/>
        <v>0</v>
      </c>
      <c r="D39" s="123" t="str">
        <f t="shared" si="6"/>
        <v/>
      </c>
      <c r="E39" s="147"/>
      <c r="F39" s="147"/>
      <c r="G39" s="147"/>
      <c r="H39" s="142"/>
      <c r="I39" s="250" t="str">
        <f t="shared" ca="1" si="1"/>
        <v/>
      </c>
      <c r="J39" s="249" t="s">
        <v>357</v>
      </c>
      <c r="K39" s="143">
        <v>0.5</v>
      </c>
      <c r="L39" s="111" t="str">
        <f t="shared" ca="1" si="2"/>
        <v/>
      </c>
      <c r="M39" s="112" t="str">
        <f t="shared" ca="1" si="3"/>
        <v/>
      </c>
      <c r="N39" s="146"/>
      <c r="O39" s="113" t="str">
        <f ca="1">IF('Autopopulated_resource plan'!$C39=-1,"No resource in region, please work with delivery and finance to get approvals for using this rate",IF('Autopopulated_resource plan'!$C39=1,"No resource in region or planned in future. Please get special approval from Finance and HR",""))</f>
        <v/>
      </c>
      <c r="P39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INDEX(Other_roles[Roles],MATCH(Calculator!$G39,Other_roles[mapped to],0)),"")))</f>
        <v/>
      </c>
      <c r="Q39" s="256" t="str">
        <f t="shared" ca="1" si="4"/>
        <v/>
      </c>
      <c r="R39" s="257" t="str" cm="1">
        <f t="array" aca="1" ref="R39" ca="1">IF(      OR(B39={0,""}      ),    "",
ROUNDUP(B39 /
      IF( OR('Autopopulated_resource plan'!$F39={"IN","EG","VN"}),  IF(OR($F$4={"IN","PL","EG","VN"}),   0.6,   0.4),  IF( OR('Autopopulated_resource plan'!$G39={"TCT","Manager","Sr. Mgr","EM"}),   0.6,0.6)   ),  0)   )</f>
        <v/>
      </c>
    </row>
    <row r="40" spans="2:18">
      <c r="B40" s="158" t="str">
        <f t="shared" ca="1" si="0"/>
        <v/>
      </c>
      <c r="C40" s="126">
        <f t="shared" ca="1" si="5"/>
        <v>0</v>
      </c>
      <c r="D40" s="122" t="str">
        <f t="shared" si="6"/>
        <v/>
      </c>
      <c r="E40" s="147"/>
      <c r="F40" s="147"/>
      <c r="G40" s="147"/>
      <c r="H40" s="142"/>
      <c r="I40" s="250" t="str">
        <f t="shared" ca="1" si="1"/>
        <v/>
      </c>
      <c r="J40" s="249" t="s">
        <v>357</v>
      </c>
      <c r="K40" s="143">
        <v>0.5</v>
      </c>
      <c r="L40" s="107" t="str">
        <f t="shared" ca="1" si="2"/>
        <v/>
      </c>
      <c r="M40" s="108" t="str">
        <f t="shared" ca="1" si="3"/>
        <v/>
      </c>
      <c r="N40" s="146"/>
      <c r="O40" s="113" t="str">
        <f ca="1">IF('Autopopulated_resource plan'!$C40=-1,"No resource in region, please work with delivery and finance to get approvals for using this rate",IF('Autopopulated_resource plan'!$C40=1,"No resource in region or planned in future. Please get special approval from Finance and HR",""))</f>
        <v/>
      </c>
      <c r="P40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INDEX(Other_roles[Roles],MATCH(Calculator!$G40,Other_roles[mapped to],0)),"")))</f>
        <v/>
      </c>
      <c r="Q40" s="256" t="str">
        <f t="shared" ca="1" si="4"/>
        <v/>
      </c>
      <c r="R40" s="257" t="str" cm="1">
        <f t="array" aca="1" ref="R40" ca="1">IF(      OR(B40={0,""}      ),    "",
ROUNDUP(B40 /
      IF( OR('Autopopulated_resource plan'!$F40={"IN","EG","VN"}),  IF(OR($F$4={"IN","PL","EG","VN"}),   0.6,   0.4),  IF( OR('Autopopulated_resource plan'!$G40={"TCT","Manager","Sr. Mgr","EM"}),   0.6,0.6)   ),  0)   )</f>
        <v/>
      </c>
    </row>
    <row r="41" spans="2:18">
      <c r="B41" s="159" t="str">
        <f t="shared" ca="1" si="0"/>
        <v/>
      </c>
      <c r="C41" s="127">
        <f t="shared" ca="1" si="5"/>
        <v>0</v>
      </c>
      <c r="D41" s="123" t="str">
        <f t="shared" si="6"/>
        <v/>
      </c>
      <c r="E41" s="147"/>
      <c r="F41" s="147"/>
      <c r="G41" s="147"/>
      <c r="H41" s="142"/>
      <c r="I41" s="250" t="str">
        <f t="shared" ca="1" si="1"/>
        <v/>
      </c>
      <c r="J41" s="249" t="s">
        <v>357</v>
      </c>
      <c r="K41" s="143">
        <v>0.5</v>
      </c>
      <c r="L41" s="111" t="str">
        <f t="shared" ca="1" si="2"/>
        <v/>
      </c>
      <c r="M41" s="112" t="str">
        <f t="shared" ca="1" si="3"/>
        <v/>
      </c>
      <c r="N41" s="146"/>
      <c r="O41" s="113" t="str">
        <f ca="1">IF('Autopopulated_resource plan'!$C41=-1,"No resource in region, please work with delivery and finance to get approvals for using this rate",IF('Autopopulated_resource plan'!$C41=1,"No resource in region or planned in future. Please get special approval from Finance and HR",""))</f>
        <v/>
      </c>
      <c r="P41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INDEX(Other_roles[Roles],MATCH(Calculator!$G41,Other_roles[mapped to],0)),"")))</f>
        <v/>
      </c>
      <c r="Q41" s="256" t="str">
        <f t="shared" ca="1" si="4"/>
        <v/>
      </c>
      <c r="R41" s="257" t="str" cm="1">
        <f t="array" aca="1" ref="R41" ca="1">IF(      OR(B41={0,""}      ),    "",
ROUNDUP(B41 /
      IF( OR('Autopopulated_resource plan'!$F41={"IN","EG","VN"}),  IF(OR($F$4={"IN","PL","EG","VN"}),   0.6,   0.4),  IF( OR('Autopopulated_resource plan'!$G41={"TCT","Manager","Sr. Mgr","EM"}),   0.6,0.6)   ),  0)   )</f>
        <v/>
      </c>
    </row>
    <row r="42" spans="2:18">
      <c r="B42" s="158" t="str">
        <f t="shared" ca="1" si="0"/>
        <v/>
      </c>
      <c r="C42" s="126">
        <f t="shared" ca="1" si="5"/>
        <v>0</v>
      </c>
      <c r="D42" s="122" t="str">
        <f t="shared" si="6"/>
        <v/>
      </c>
      <c r="E42" s="147"/>
      <c r="F42" s="147"/>
      <c r="G42" s="147"/>
      <c r="H42" s="142"/>
      <c r="I42" s="250" t="str">
        <f t="shared" ca="1" si="1"/>
        <v/>
      </c>
      <c r="J42" s="249" t="s">
        <v>357</v>
      </c>
      <c r="K42" s="143">
        <v>0.5</v>
      </c>
      <c r="L42" s="107" t="str">
        <f t="shared" ca="1" si="2"/>
        <v/>
      </c>
      <c r="M42" s="108" t="str">
        <f t="shared" ca="1" si="3"/>
        <v/>
      </c>
      <c r="N42" s="146"/>
      <c r="O42" s="113" t="str">
        <f ca="1">IF('Autopopulated_resource plan'!$C42=-1,"No resource in region, please work with delivery and finance to get approvals for using this rate",IF('Autopopulated_resource plan'!$C42=1,"No resource in region or planned in future. Please get special approval from Finance and HR",""))</f>
        <v/>
      </c>
      <c r="P42" s="110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INDEX(Other_roles[Roles],MATCH(Calculator!$G42,Other_roles[mapped to],0)),"")))</f>
        <v/>
      </c>
      <c r="Q42" s="256" t="str">
        <f t="shared" ca="1" si="4"/>
        <v/>
      </c>
      <c r="R42" s="257" t="str" cm="1">
        <f t="array" aca="1" ref="R42" ca="1">IF(      OR(B42={0,""}      ),    "",
ROUNDUP(B42 /
      IF( OR('Autopopulated_resource plan'!$F42={"IN","EG","VN"}),  IF(OR($F$4={"IN","PL","EG","VN"}),   0.6,   0.4),  IF( OR('Autopopulated_resource plan'!$G42={"TCT","Manager","Sr. Mgr","EM"}),   0.6,0.6)   ),  0)   )</f>
        <v/>
      </c>
    </row>
    <row r="43" spans="2:18">
      <c r="B43" s="160" t="str">
        <f t="shared" ca="1" si="0"/>
        <v/>
      </c>
      <c r="C43" s="128">
        <f t="shared" ca="1" si="5"/>
        <v>0</v>
      </c>
      <c r="D43" s="124" t="str">
        <f t="shared" si="6"/>
        <v/>
      </c>
      <c r="E43" s="147"/>
      <c r="F43" s="147"/>
      <c r="G43" s="147"/>
      <c r="H43" s="142"/>
      <c r="I43" s="250" t="str">
        <f t="shared" ca="1" si="1"/>
        <v/>
      </c>
      <c r="J43" s="249" t="s">
        <v>357</v>
      </c>
      <c r="K43" s="143">
        <v>0.5</v>
      </c>
      <c r="L43" s="114" t="str">
        <f t="shared" ca="1" si="2"/>
        <v/>
      </c>
      <c r="M43" s="115" t="str">
        <f t="shared" ca="1" si="3"/>
        <v/>
      </c>
      <c r="N43" s="145"/>
      <c r="O43" s="116" t="str">
        <f ca="1">IF('Autopopulated_resource plan'!$C43=-1,"No resource in region, please work with delivery and finance to get approvals for using this rate",IF('Autopopulated_resource plan'!$C43=1,"No resource in region or planned in future. Please get special approval from Finance and HR",""))</f>
        <v/>
      </c>
      <c r="P43" s="117" t="str">
        <f ca="1">IF(tb_resource13[[#This Row],[Flag if role is not planned]]=1,"This resource is not available",IF(tb_resource13[[#This Row],[Flag if role is not planned]]=-1,"This resource is not available",IFERROR("role also mapped to " &amp; INDEX(Other_roles[Roles],MATCH(Calculator!$G43,Other_roles[mapped to],0)),"")))</f>
        <v/>
      </c>
      <c r="Q43" s="258" t="str">
        <f t="shared" ca="1" si="4"/>
        <v/>
      </c>
      <c r="R43" s="257" t="str" cm="1">
        <f t="array" aca="1" ref="R43" ca="1">IF(      OR(B43={0,""}      ),    "",
ROUNDUP(B43 /
      IF( OR('Autopopulated_resource plan'!$F43={"IN","EG","VN"}),  IF(OR($F$4={"IN","PL","EG","VN"}),   0.6,   0.4),  IF( OR('Autopopulated_resource plan'!$G43={"TCT","Manager","Sr. Mgr","EM"}),   0.6,0.6)   ),  0)   )</f>
        <v/>
      </c>
    </row>
    <row r="50" spans="4:11" ht="45.75" thickBot="1">
      <c r="D50" s="206" t="s">
        <v>367</v>
      </c>
      <c r="E50" s="223" t="s">
        <v>550</v>
      </c>
      <c r="F50" s="207" t="s">
        <v>551</v>
      </c>
      <c r="G50" s="193" t="s">
        <v>552</v>
      </c>
      <c r="H50" s="208" t="s">
        <v>553</v>
      </c>
      <c r="I50" s="193" t="s">
        <v>554</v>
      </c>
      <c r="J50" s="208" t="s">
        <v>373</v>
      </c>
      <c r="K50" s="209" t="s">
        <v>301</v>
      </c>
    </row>
    <row r="51" spans="4:11">
      <c r="D51" s="210">
        <v>1</v>
      </c>
      <c r="E51" s="189"/>
      <c r="F51" s="194"/>
      <c r="G51" s="188"/>
      <c r="H51" s="229"/>
      <c r="I51" s="230"/>
      <c r="J51" s="211">
        <v>0.4</v>
      </c>
      <c r="K51" s="224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52" spans="4:11">
      <c r="D52" s="212"/>
      <c r="E52" s="191"/>
      <c r="F52" s="195"/>
      <c r="G52" s="190"/>
      <c r="H52" s="231"/>
      <c r="I52" s="232"/>
      <c r="J52" s="213"/>
      <c r="K52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53" spans="4:11">
      <c r="D53" s="212"/>
      <c r="E53" s="191"/>
      <c r="F53" s="195"/>
      <c r="G53" s="190"/>
      <c r="H53" s="231"/>
      <c r="I53" s="232"/>
      <c r="J53" s="213"/>
      <c r="K53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54" spans="4:11">
      <c r="D54" s="212"/>
      <c r="E54" s="191"/>
      <c r="F54" s="195"/>
      <c r="G54" s="190"/>
      <c r="H54" s="231"/>
      <c r="I54" s="232"/>
      <c r="J54" s="213"/>
      <c r="K54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55" spans="4:11">
      <c r="D55" s="212"/>
      <c r="E55" s="191"/>
      <c r="F55" s="195"/>
      <c r="G55" s="190"/>
      <c r="H55" s="231"/>
      <c r="I55" s="232"/>
      <c r="J55" s="213"/>
      <c r="K55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56" spans="4:11">
      <c r="D56" s="212"/>
      <c r="E56" s="191"/>
      <c r="F56" s="195"/>
      <c r="G56" s="190"/>
      <c r="H56" s="231"/>
      <c r="I56" s="232"/>
      <c r="J56" s="213"/>
      <c r="K56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57" spans="4:11">
      <c r="D57" s="214"/>
      <c r="E57" s="191"/>
      <c r="F57" s="196"/>
      <c r="G57" s="192"/>
      <c r="H57" s="233"/>
      <c r="I57" s="232"/>
      <c r="J57" s="213"/>
      <c r="K57" s="226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58" spans="4:11">
      <c r="D58" s="212"/>
      <c r="E58" s="191"/>
      <c r="F58" s="195"/>
      <c r="G58" s="190"/>
      <c r="H58" s="231"/>
      <c r="I58" s="232"/>
      <c r="J58" s="213"/>
      <c r="K58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59" spans="4:11">
      <c r="D59" s="212"/>
      <c r="E59" s="191"/>
      <c r="F59" s="195"/>
      <c r="G59" s="190"/>
      <c r="H59" s="231"/>
      <c r="I59" s="232"/>
      <c r="J59" s="213"/>
      <c r="K59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60" spans="4:11">
      <c r="D60" s="212"/>
      <c r="E60" s="191"/>
      <c r="F60" s="195"/>
      <c r="G60" s="190"/>
      <c r="H60" s="231"/>
      <c r="I60" s="232"/>
      <c r="J60" s="213"/>
      <c r="K60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61" spans="4:11">
      <c r="D61" s="212"/>
      <c r="E61" s="191"/>
      <c r="F61" s="195"/>
      <c r="G61" s="190"/>
      <c r="H61" s="231"/>
      <c r="I61" s="232"/>
      <c r="J61" s="213"/>
      <c r="K61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62" spans="4:11">
      <c r="D62" s="212"/>
      <c r="E62" s="191"/>
      <c r="F62" s="195"/>
      <c r="G62" s="190"/>
      <c r="H62" s="231"/>
      <c r="I62" s="232"/>
      <c r="J62" s="213"/>
      <c r="K62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63" spans="4:11">
      <c r="D63" s="212"/>
      <c r="E63" s="191"/>
      <c r="F63" s="195"/>
      <c r="G63" s="190"/>
      <c r="H63" s="231"/>
      <c r="I63" s="232"/>
      <c r="J63" s="213"/>
      <c r="K63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64" spans="4:11">
      <c r="D64" s="212"/>
      <c r="E64" s="191"/>
      <c r="F64" s="195"/>
      <c r="G64" s="190"/>
      <c r="H64" s="231"/>
      <c r="I64" s="232"/>
      <c r="J64" s="213"/>
      <c r="K64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65" spans="4:11">
      <c r="D65" s="212"/>
      <c r="E65" s="191"/>
      <c r="F65" s="195"/>
      <c r="G65" s="190"/>
      <c r="H65" s="231"/>
      <c r="I65" s="232"/>
      <c r="J65" s="213"/>
      <c r="K65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66" spans="4:11">
      <c r="D66" s="212"/>
      <c r="E66" s="191"/>
      <c r="F66" s="195"/>
      <c r="G66" s="190"/>
      <c r="H66" s="231"/>
      <c r="I66" s="232"/>
      <c r="J66" s="213"/>
      <c r="K66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67" spans="4:11">
      <c r="D67" s="212"/>
      <c r="E67" s="191"/>
      <c r="F67" s="195"/>
      <c r="G67" s="190"/>
      <c r="H67" s="231"/>
      <c r="I67" s="232"/>
      <c r="J67" s="213"/>
      <c r="K67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68" spans="4:11">
      <c r="D68" s="212"/>
      <c r="E68" s="191"/>
      <c r="F68" s="195"/>
      <c r="G68" s="190"/>
      <c r="H68" s="231"/>
      <c r="I68" s="232"/>
      <c r="J68" s="213"/>
      <c r="K68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69" spans="4:11">
      <c r="D69" s="212"/>
      <c r="E69" s="191"/>
      <c r="F69" s="195"/>
      <c r="G69" s="190"/>
      <c r="H69" s="231"/>
      <c r="I69" s="232"/>
      <c r="J69" s="213"/>
      <c r="K69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70" spans="4:11">
      <c r="D70" s="212"/>
      <c r="E70" s="191"/>
      <c r="F70" s="195"/>
      <c r="G70" s="190"/>
      <c r="H70" s="231"/>
      <c r="I70" s="232"/>
      <c r="J70" s="213"/>
      <c r="K70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71" spans="4:11">
      <c r="D71" s="212"/>
      <c r="E71" s="191"/>
      <c r="F71" s="195"/>
      <c r="G71" s="190"/>
      <c r="H71" s="231"/>
      <c r="I71" s="232"/>
      <c r="J71" s="213"/>
      <c r="K71" s="225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72" spans="4:11" ht="15.75" thickBot="1">
      <c r="D72" s="215"/>
      <c r="E72" s="216"/>
      <c r="F72" s="217"/>
      <c r="G72" s="218"/>
      <c r="H72" s="234"/>
      <c r="I72" s="235"/>
      <c r="J72" s="219"/>
      <c r="K72" s="227">
        <f>IF(tb_supplier14[[#This Row],[Enter required margin or Price]]&lt;1,tb_supplier14[[#This Row],[Cost (in per unit or per hr or per day rate) to Rackspace]]*tb_supplier14[[#This Row],[Qty ]]/(1-tb_supplier14[[#This Row],[Enter required margin or Price]]),tb_supplier14[[#This Row],[Enter required margin or Price]])</f>
        <v>0</v>
      </c>
    </row>
    <row r="73" spans="4:11" ht="15.75" thickTop="1"/>
  </sheetData>
  <conditionalFormatting sqref="F14">
    <cfRule type="cellIs" dxfId="31" priority="6" operator="greaterThan">
      <formula>0</formula>
    </cfRule>
  </conditionalFormatting>
  <conditionalFormatting sqref="H5:I7">
    <cfRule type="expression" dxfId="30" priority="32">
      <formula>IF($F$5="No",1,0)</formula>
    </cfRule>
  </conditionalFormatting>
  <conditionalFormatting sqref="H8:I8">
    <cfRule type="expression" dxfId="29" priority="33">
      <formula>IF($F$8="Yes",1,0)</formula>
    </cfRule>
  </conditionalFormatting>
  <conditionalFormatting sqref="H18:I18">
    <cfRule type="expression" dxfId="28" priority="8">
      <formula>IF($F$3="T&amp;M",1,0)</formula>
    </cfRule>
  </conditionalFormatting>
  <conditionalFormatting sqref="H19:I19">
    <cfRule type="expression" dxfId="27" priority="7">
      <formula>IF($F$3&lt;&gt;"T&amp;M",1,0)</formula>
    </cfRule>
  </conditionalFormatting>
  <conditionalFormatting sqref="I5 I7 F10:F11 I11 F14:F18 I23:I43 L23:L43 R23:R43">
    <cfRule type="expression" dxfId="26" priority="25">
      <formula>IF($F$6="CAD",1,0)</formula>
    </cfRule>
    <cfRule type="expression" dxfId="25" priority="26">
      <formula>IF($F$6="AUD",1,0)</formula>
    </cfRule>
    <cfRule type="expression" dxfId="24" priority="27">
      <formula>IF($F$6="EUR",1,0)</formula>
    </cfRule>
    <cfRule type="expression" dxfId="23" priority="28">
      <formula>IF($F$6="GBP",1,0)</formula>
    </cfRule>
    <cfRule type="expression" dxfId="22" priority="29">
      <formula>IF($F$6="USD",1,0)</formula>
    </cfRule>
  </conditionalFormatting>
  <conditionalFormatting sqref="I5:I7">
    <cfRule type="expression" dxfId="21" priority="34">
      <formula>IF(currency="CAD",1,0)</formula>
    </cfRule>
  </conditionalFormatting>
  <conditionalFormatting sqref="I51:I72">
    <cfRule type="expression" dxfId="20" priority="13">
      <formula>AND(ISBLANK(I51),L51&gt;0)</formula>
    </cfRule>
  </conditionalFormatting>
  <conditionalFormatting sqref="J5">
    <cfRule type="expression" dxfId="19" priority="9">
      <formula>IF($F$5="Yes",1,0)</formula>
    </cfRule>
  </conditionalFormatting>
  <conditionalFormatting sqref="J13">
    <cfRule type="expression" dxfId="18" priority="30">
      <formula>IF($J$13="",0,1)</formula>
    </cfRule>
  </conditionalFormatting>
  <conditionalFormatting sqref="J23:J43">
    <cfRule type="expression" dxfId="17" priority="16">
      <formula>IF($F$3="Fixed Price",1,0)</formula>
    </cfRule>
    <cfRule type="expression" dxfId="16" priority="22">
      <formula>IF($G23="",1,0)</formula>
    </cfRule>
  </conditionalFormatting>
  <conditionalFormatting sqref="J51">
    <cfRule type="expression" dxfId="15" priority="10">
      <formula>IF(J51&gt;1,1,0)</formula>
    </cfRule>
    <cfRule type="expression" dxfId="14" priority="11">
      <formula>IF(J51&lt;1,1,0)</formula>
    </cfRule>
  </conditionalFormatting>
  <conditionalFormatting sqref="J21:K21">
    <cfRule type="expression" dxfId="13" priority="14">
      <formula>IF($F$3="Fixed Price",1,0)</formula>
    </cfRule>
  </conditionalFormatting>
  <conditionalFormatting sqref="J22:K22">
    <cfRule type="expression" dxfId="12" priority="17">
      <formula>IF($F$3="Fixed Price",1,0)</formula>
    </cfRule>
  </conditionalFormatting>
  <conditionalFormatting sqref="K23:K43">
    <cfRule type="expression" dxfId="11" priority="5">
      <formula>IF(K23&lt;20%*J23,1,0)</formula>
    </cfRule>
    <cfRule type="expression" dxfId="10" priority="15">
      <formula>IF($F$3="Fixed Price",1,0)</formula>
    </cfRule>
    <cfRule type="expression" dxfId="9" priority="18">
      <formula>IF(J23="List Price",1,0)</formula>
    </cfRule>
    <cfRule type="cellIs" dxfId="8" priority="19" operator="greaterThan">
      <formula>1</formula>
    </cfRule>
    <cfRule type="cellIs" dxfId="7" priority="20" operator="between">
      <formula>0</formula>
      <formula>1</formula>
    </cfRule>
    <cfRule type="expression" dxfId="6" priority="21">
      <formula>IF($G23="",1,0)</formula>
    </cfRule>
  </conditionalFormatting>
  <conditionalFormatting sqref="K51:K72">
    <cfRule type="expression" dxfId="5" priority="12">
      <formula>AND(K51=0,ISNUMBER(H51))</formula>
    </cfRule>
  </conditionalFormatting>
  <conditionalFormatting sqref="M23:M43">
    <cfRule type="cellIs" dxfId="4" priority="31" operator="lessThan">
      <formula>0.4</formula>
    </cfRule>
  </conditionalFormatting>
  <conditionalFormatting sqref="Q23">
    <cfRule type="expression" dxfId="3" priority="1">
      <formula>IF($C23=-1,1,0)</formula>
    </cfRule>
    <cfRule type="expression" dxfId="2" priority="2">
      <formula>IF($C23=1,1,0)</formula>
    </cfRule>
  </conditionalFormatting>
  <conditionalFormatting sqref="R23 L23:O43 Q24:R43">
    <cfRule type="expression" dxfId="1" priority="23">
      <formula>IF($C23=-1,1,0)</formula>
    </cfRule>
    <cfRule type="expression" dxfId="0" priority="24">
      <formula>IF($C23=1,1,0)</formula>
    </cfRule>
  </conditionalFormatting>
  <dataValidations count="11">
    <dataValidation type="list" allowBlank="1" showInputMessage="1" showErrorMessage="1" sqref="J23:J43" xr:uid="{41FEB7DB-267B-4983-B2B0-665719A64C72}">
      <formula1>"List Price, Custom margin/Price"</formula1>
    </dataValidation>
    <dataValidation allowBlank="1" showInputMessage="1" showErrorMessage="1" errorTitle="Contingency for Fixed Price Proj" error="Enter min. 5% contingency " sqref="I19" xr:uid="{F3195872-E87B-416E-BAA4-81914EFFB353}"/>
    <dataValidation type="decimal" allowBlank="1" showInputMessage="1" showErrorMessage="1" errorTitle="Contingency for Fixed Price Proj" error="Enter min. 5% contingency " sqref="I18" xr:uid="{D5A68AA7-7D76-499C-B695-F1866C2CC7A4}">
      <formula1>0.05</formula1>
      <formula2>100</formula2>
    </dataValidation>
    <dataValidation type="list" allowBlank="1" showInputMessage="1" showErrorMessage="1" sqref="J52:J72" xr:uid="{4B259D9A-C030-4110-A05F-56C28EA46604}">
      <formula1>"0%,20%,25%,30%,35%,40%,45%,50%,100%"</formula1>
    </dataValidation>
    <dataValidation type="list" allowBlank="1" showInputMessage="1" showErrorMessage="1" sqref="E23:E43" xr:uid="{61CD15A3-4717-4D11-BAED-9BCF411E135E}">
      <formula1>practices</formula1>
    </dataValidation>
    <dataValidation type="list" allowBlank="1" showInputMessage="1" showErrorMessage="1" sqref="F23:F43" xr:uid="{BCD49704-5243-4074-84BE-D01310A0A192}">
      <formula1>countries</formula1>
    </dataValidation>
    <dataValidation type="list" allowBlank="1" showInputMessage="1" showErrorMessage="1" sqref="F3" xr:uid="{D2041001-9690-4AD2-92F7-8EFE0B214151}">
      <formula1>"T&amp;M,Fixed Price"</formula1>
    </dataValidation>
    <dataValidation type="list" allowBlank="1" showInputMessage="1" showErrorMessage="1" sqref="F7" xr:uid="{5A448181-DF76-4986-8AD4-B85B98DB4B5B}">
      <formula1>"Hours,Days"</formula1>
    </dataValidation>
    <dataValidation type="list" allowBlank="1" showInputMessage="1" showErrorMessage="1" sqref="F6" xr:uid="{3F6BC2D2-715D-4902-BC56-DB456E3650ED}">
      <formula1>currency</formula1>
    </dataValidation>
    <dataValidation type="list" allowBlank="1" showInputMessage="1" showErrorMessage="1" sqref="F5 F8:F9" xr:uid="{D8D62E19-1555-4FF5-839A-6031BA6638B9}">
      <formula1>"Yes, No"</formula1>
    </dataValidation>
    <dataValidation type="list" allowBlank="1" showInputMessage="1" showErrorMessage="1" sqref="G23:G43" xr:uid="{14245DCA-CA7D-4A83-99F4-4D4F81D80CA5}">
      <formula1>CHOOSE(MATCH(E23,practices,0),roles_1,roles_2,roles_3,roles_4,roles_5)</formula1>
    </dataValidation>
  </dataValidations>
  <pageMargins left="0.7" right="0.7" top="0.75" bottom="0.75" header="0.3" footer="0.3"/>
  <pageSetup orientation="portrait" r:id="rId1"/>
  <ignoredErrors>
    <ignoredError sqref="F24 E23:F23 H23 H24:H34" unlockedFormula="1"/>
    <ignoredError sqref="E35:F43" calculatedColumn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Button 1">
              <controlPr defaultSize="0" print="0" autoFill="0" autoPict="0" macro="[0]!Button9_Click">
                <anchor moveWithCells="1" sizeWithCells="1">
                  <from>
                    <xdr:col>6</xdr:col>
                    <xdr:colOff>1219200</xdr:colOff>
                    <xdr:row>0</xdr:row>
                    <xdr:rowOff>66675</xdr:rowOff>
                  </from>
                  <to>
                    <xdr:col>8</xdr:col>
                    <xdr:colOff>381000</xdr:colOff>
                    <xdr:row>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Button 2">
              <controlPr defaultSize="0" print="0" autoFill="0" autoPict="0" macro="[0]!Add_rows">
                <anchor moveWithCells="1" sizeWithCells="1">
                  <from>
                    <xdr:col>3</xdr:col>
                    <xdr:colOff>28575</xdr:colOff>
                    <xdr:row>44</xdr:row>
                    <xdr:rowOff>161925</xdr:rowOff>
                  </from>
                  <to>
                    <xdr:col>4</xdr:col>
                    <xdr:colOff>1219200</xdr:colOff>
                    <xdr:row>46</xdr:row>
                    <xdr:rowOff>142875</xdr:rowOff>
                  </to>
                </anchor>
              </controlPr>
            </control>
          </mc:Choice>
        </mc:AlternateContent>
      </controls>
    </mc:Choice>
  </mc:AlternateContent>
  <tableParts count="2"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87B782-ED8A-4639-8C9F-8A3AAE781833}">
          <x14:formula1>
            <xm:f>Reference!$E$4:$E$16</xm:f>
          </x14:formula1>
          <xm:sqref>F4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B770-919D-45F4-9BD6-D16EECE4501C}">
  <sheetPr codeName="Sheet14"/>
  <dimension ref="B2:B7"/>
  <sheetViews>
    <sheetView topLeftCell="A5" zoomScale="130" zoomScaleNormal="130" workbookViewId="0">
      <selection activeCell="B7" sqref="B7"/>
    </sheetView>
  </sheetViews>
  <sheetFormatPr defaultColWidth="8.85546875" defaultRowHeight="15"/>
  <cols>
    <col min="2" max="2" width="91" customWidth="1"/>
  </cols>
  <sheetData>
    <row r="2" spans="2:2">
      <c r="B2" t="s">
        <v>555</v>
      </c>
    </row>
    <row r="7" spans="2:2" ht="150">
      <c r="B7" s="566" t="s">
        <v>556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3AF2-DF6C-48CB-A16B-9E5F0DB2BD1B}">
  <sheetPr codeName="Sheet15"/>
  <dimension ref="B2:N9"/>
  <sheetViews>
    <sheetView workbookViewId="0">
      <selection activeCell="D9" sqref="D9:L9"/>
    </sheetView>
  </sheetViews>
  <sheetFormatPr defaultColWidth="8.85546875" defaultRowHeight="15"/>
  <cols>
    <col min="2" max="2" width="17.28515625" bestFit="1" customWidth="1"/>
    <col min="3" max="3" width="10" customWidth="1"/>
    <col min="4" max="5" width="11.28515625" customWidth="1"/>
    <col min="6" max="7" width="11.42578125" customWidth="1"/>
    <col min="8" max="9" width="9.42578125" customWidth="1"/>
  </cols>
  <sheetData>
    <row r="2" spans="2:14" ht="51.75">
      <c r="B2" s="444"/>
      <c r="C2" s="445"/>
      <c r="D2" s="569" t="s">
        <v>421</v>
      </c>
      <c r="E2" s="569" t="s">
        <v>421</v>
      </c>
      <c r="F2" s="569" t="s">
        <v>421</v>
      </c>
      <c r="G2" s="569" t="s">
        <v>423</v>
      </c>
      <c r="H2" s="569" t="s">
        <v>423</v>
      </c>
      <c r="I2" s="569" t="s">
        <v>424</v>
      </c>
      <c r="J2" s="569" t="s">
        <v>424</v>
      </c>
      <c r="K2" s="569" t="s">
        <v>425</v>
      </c>
      <c r="L2" s="569" t="s">
        <v>425</v>
      </c>
      <c r="M2" s="569"/>
    </row>
    <row r="3" spans="2:14">
      <c r="B3" s="446" t="s">
        <v>426</v>
      </c>
      <c r="C3" s="447" t="s">
        <v>427</v>
      </c>
      <c r="D3" s="448" t="s">
        <v>378</v>
      </c>
      <c r="E3" s="448" t="s">
        <v>379</v>
      </c>
      <c r="F3" s="448" t="s">
        <v>380</v>
      </c>
      <c r="G3" s="448" t="s">
        <v>381</v>
      </c>
      <c r="H3" s="448" t="s">
        <v>382</v>
      </c>
      <c r="I3" s="448" t="s">
        <v>383</v>
      </c>
      <c r="J3" s="448" t="s">
        <v>384</v>
      </c>
      <c r="K3" s="448" t="s">
        <v>385</v>
      </c>
      <c r="L3" s="448" t="s">
        <v>386</v>
      </c>
      <c r="M3" s="449" t="s">
        <v>428</v>
      </c>
    </row>
    <row r="4" spans="2:14">
      <c r="B4" s="444" t="s">
        <v>557</v>
      </c>
      <c r="C4" s="450">
        <v>1</v>
      </c>
      <c r="D4" s="451">
        <v>5</v>
      </c>
      <c r="E4" s="451">
        <v>5</v>
      </c>
      <c r="F4" s="451">
        <v>5</v>
      </c>
      <c r="G4" s="451">
        <v>5</v>
      </c>
      <c r="H4" s="451">
        <v>5</v>
      </c>
      <c r="I4" s="451">
        <v>5</v>
      </c>
      <c r="J4" s="451">
        <v>5</v>
      </c>
      <c r="K4" s="451">
        <v>5</v>
      </c>
      <c r="L4" s="451">
        <v>2.5</v>
      </c>
      <c r="M4" s="452">
        <f>SUM(D4:L4)</f>
        <v>42.5</v>
      </c>
      <c r="N4">
        <f>M4*8</f>
        <v>340</v>
      </c>
    </row>
    <row r="5" spans="2:14">
      <c r="B5" s="444" t="s">
        <v>558</v>
      </c>
      <c r="C5" s="450">
        <v>1</v>
      </c>
      <c r="D5" s="451">
        <v>5</v>
      </c>
      <c r="E5" s="451">
        <v>5</v>
      </c>
      <c r="F5" s="451">
        <v>5</v>
      </c>
      <c r="G5" s="451">
        <v>5</v>
      </c>
      <c r="H5" s="451">
        <v>5</v>
      </c>
      <c r="I5" s="451">
        <v>2.5</v>
      </c>
      <c r="J5" s="451">
        <v>2.5</v>
      </c>
      <c r="K5" s="451">
        <v>2.5</v>
      </c>
      <c r="L5" s="451">
        <v>2.5</v>
      </c>
      <c r="M5" s="452">
        <f t="shared" ref="M5:M9" si="0">SUM(D5:L5)</f>
        <v>35</v>
      </c>
      <c r="N5">
        <f t="shared" ref="N5:N9" si="1">M5*8</f>
        <v>280</v>
      </c>
    </row>
    <row r="6" spans="2:14">
      <c r="B6" s="444" t="s">
        <v>559</v>
      </c>
      <c r="C6" s="450">
        <v>1</v>
      </c>
      <c r="D6" s="451">
        <v>5</v>
      </c>
      <c r="E6" s="451">
        <v>5</v>
      </c>
      <c r="F6" s="451">
        <v>2.5</v>
      </c>
      <c r="G6" s="451">
        <v>2.5</v>
      </c>
      <c r="H6" s="451">
        <v>2.5</v>
      </c>
      <c r="I6" s="451">
        <v>2.5</v>
      </c>
      <c r="J6" s="451">
        <v>2.5</v>
      </c>
      <c r="K6" s="451">
        <v>2.5</v>
      </c>
      <c r="L6" s="451">
        <v>2.5</v>
      </c>
      <c r="M6" s="452">
        <f t="shared" si="0"/>
        <v>27.5</v>
      </c>
      <c r="N6">
        <f t="shared" si="1"/>
        <v>220</v>
      </c>
    </row>
    <row r="7" spans="2:14">
      <c r="B7" s="444" t="s">
        <v>559</v>
      </c>
      <c r="C7" s="450">
        <v>1</v>
      </c>
      <c r="D7" s="451">
        <v>5</v>
      </c>
      <c r="E7" s="451">
        <v>5</v>
      </c>
      <c r="F7" s="451">
        <v>2.5</v>
      </c>
      <c r="G7" s="451">
        <v>2.5</v>
      </c>
      <c r="H7" s="451">
        <v>2.5</v>
      </c>
      <c r="I7" s="451">
        <v>2.5</v>
      </c>
      <c r="J7" s="451">
        <v>2.5</v>
      </c>
      <c r="K7" s="451">
        <v>2.5</v>
      </c>
      <c r="L7" s="451">
        <v>2.5</v>
      </c>
      <c r="M7" s="452">
        <f t="shared" si="0"/>
        <v>27.5</v>
      </c>
      <c r="N7">
        <f t="shared" si="1"/>
        <v>220</v>
      </c>
    </row>
    <row r="8" spans="2:14">
      <c r="B8" s="444" t="s">
        <v>364</v>
      </c>
      <c r="C8" s="450">
        <v>1</v>
      </c>
      <c r="D8" s="451">
        <v>5</v>
      </c>
      <c r="E8" s="451">
        <v>5</v>
      </c>
      <c r="F8" s="451">
        <v>2.5</v>
      </c>
      <c r="G8" s="451"/>
      <c r="H8" s="451"/>
      <c r="I8" s="451"/>
      <c r="J8" s="451"/>
      <c r="K8" s="451"/>
      <c r="L8" s="451"/>
      <c r="M8" s="452">
        <f t="shared" si="0"/>
        <v>12.5</v>
      </c>
      <c r="N8">
        <f t="shared" si="1"/>
        <v>100</v>
      </c>
    </row>
    <row r="9" spans="2:14">
      <c r="B9" s="444" t="s">
        <v>360</v>
      </c>
      <c r="C9" s="450">
        <v>0</v>
      </c>
      <c r="D9" s="451">
        <v>5</v>
      </c>
      <c r="E9" s="451">
        <v>2.5</v>
      </c>
      <c r="F9" s="451">
        <v>2.5</v>
      </c>
      <c r="G9" s="451">
        <v>2.5</v>
      </c>
      <c r="H9" s="451">
        <v>2.5</v>
      </c>
      <c r="I9" s="451">
        <v>2.5</v>
      </c>
      <c r="J9" s="451">
        <v>2.5</v>
      </c>
      <c r="K9" s="451">
        <v>2.5</v>
      </c>
      <c r="L9" s="451">
        <v>2.5</v>
      </c>
      <c r="M9" s="452">
        <f t="shared" si="0"/>
        <v>25</v>
      </c>
      <c r="N9">
        <f t="shared" si="1"/>
        <v>200</v>
      </c>
    </row>
  </sheetData>
  <phoneticPr fontId="4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B152-4D52-4BF6-BC5B-058719E0CE2D}">
  <sheetPr codeName="Sheet16"/>
  <dimension ref="A1"/>
  <sheetViews>
    <sheetView workbookViewId="0">
      <selection activeCell="M13" sqref="M13"/>
    </sheetView>
  </sheetViews>
  <sheetFormatPr defaultColWidth="8.85546875"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1F5F-5804-4979-85D2-03DE7E7183FE}">
  <sheetPr codeName="Sheet8"/>
  <dimension ref="A1:BB143"/>
  <sheetViews>
    <sheetView showGridLines="0" topLeftCell="BB1" workbookViewId="0">
      <selection activeCell="BK7" sqref="BK7"/>
    </sheetView>
  </sheetViews>
  <sheetFormatPr defaultColWidth="8.85546875" defaultRowHeight="15" outlineLevelCol="1"/>
  <cols>
    <col min="1" max="1" width="8.85546875" hidden="1" customWidth="1" outlineLevel="1"/>
    <col min="2" max="2" width="23.42578125" hidden="1" customWidth="1" outlineLevel="1"/>
    <col min="3" max="17" width="8.85546875" hidden="1" customWidth="1" outlineLevel="1"/>
    <col min="18" max="18" width="21.42578125" hidden="1" customWidth="1" outlineLevel="1"/>
    <col min="19" max="32" width="8.85546875" hidden="1" customWidth="1" outlineLevel="1"/>
    <col min="33" max="33" width="11.42578125" hidden="1" customWidth="1" outlineLevel="1"/>
    <col min="34" max="34" width="8.85546875" hidden="1" customWidth="1" outlineLevel="1"/>
    <col min="35" max="35" width="24.85546875" hidden="1" customWidth="1" outlineLevel="1"/>
    <col min="36" max="49" width="8.85546875" hidden="1" customWidth="1" outlineLevel="1"/>
    <col min="50" max="50" width="13.140625" hidden="1" customWidth="1" outlineLevel="1"/>
    <col min="51" max="51" width="15.42578125" hidden="1" customWidth="1" outlineLevel="1"/>
    <col min="52" max="53" width="8.85546875" hidden="1" customWidth="1" outlineLevel="1"/>
    <col min="54" max="54" width="8.85546875" collapsed="1"/>
  </cols>
  <sheetData>
    <row r="1" spans="2:51" ht="15.75" thickBot="1">
      <c r="B1" s="33" t="s">
        <v>560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I1" s="38" t="s">
        <v>464</v>
      </c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</row>
    <row r="2" spans="2:51" ht="15.75" thickBot="1"/>
    <row r="3" spans="2:51" ht="15.75" thickBot="1">
      <c r="B3" s="28" t="s">
        <v>561</v>
      </c>
      <c r="C3" s="28" t="s">
        <v>98</v>
      </c>
      <c r="D3" s="407" t="s">
        <v>105</v>
      </c>
      <c r="E3" s="407" t="s">
        <v>112</v>
      </c>
      <c r="F3" s="407" t="s">
        <v>120</v>
      </c>
      <c r="G3" s="407" t="s">
        <v>125</v>
      </c>
      <c r="H3" s="407" t="s">
        <v>131</v>
      </c>
      <c r="I3" s="407" t="s">
        <v>136</v>
      </c>
      <c r="J3" s="407" t="s">
        <v>140</v>
      </c>
      <c r="K3" s="407" t="s">
        <v>145</v>
      </c>
      <c r="L3" s="407" t="s">
        <v>149</v>
      </c>
      <c r="M3" s="407" t="s">
        <v>153</v>
      </c>
      <c r="N3" s="407" t="s">
        <v>156</v>
      </c>
      <c r="O3" s="79" t="s">
        <v>159</v>
      </c>
      <c r="P3" s="79"/>
      <c r="R3" s="79" t="s">
        <v>466</v>
      </c>
      <c r="S3" s="1" t="s">
        <v>98</v>
      </c>
      <c r="T3" s="1" t="s">
        <v>105</v>
      </c>
      <c r="U3" s="1" t="s">
        <v>112</v>
      </c>
      <c r="V3" s="1" t="s">
        <v>120</v>
      </c>
      <c r="W3" s="1" t="s">
        <v>125</v>
      </c>
      <c r="X3" s="1" t="s">
        <v>131</v>
      </c>
      <c r="Y3" s="1" t="s">
        <v>136</v>
      </c>
      <c r="Z3" s="1" t="s">
        <v>140</v>
      </c>
      <c r="AA3" s="1" t="s">
        <v>145</v>
      </c>
      <c r="AB3" s="1" t="s">
        <v>149</v>
      </c>
      <c r="AC3" s="71" t="s">
        <v>153</v>
      </c>
      <c r="AD3" s="71" t="s">
        <v>156</v>
      </c>
      <c r="AE3" s="71" t="s">
        <v>159</v>
      </c>
      <c r="AF3" s="71"/>
      <c r="AI3" s="38" t="s">
        <v>467</v>
      </c>
      <c r="AJ3" s="29" t="s">
        <v>98</v>
      </c>
      <c r="AK3" s="30" t="s">
        <v>105</v>
      </c>
      <c r="AL3" s="30" t="s">
        <v>112</v>
      </c>
      <c r="AM3" s="30" t="s">
        <v>120</v>
      </c>
      <c r="AN3" s="30" t="s">
        <v>125</v>
      </c>
      <c r="AO3" s="30" t="s">
        <v>131</v>
      </c>
      <c r="AP3" s="30" t="s">
        <v>136</v>
      </c>
      <c r="AQ3" s="30" t="s">
        <v>140</v>
      </c>
      <c r="AR3" s="30" t="s">
        <v>145</v>
      </c>
      <c r="AS3" s="30" t="s">
        <v>149</v>
      </c>
      <c r="AT3" s="30" t="s">
        <v>153</v>
      </c>
      <c r="AU3" s="30" t="s">
        <v>156</v>
      </c>
      <c r="AV3" s="80" t="s">
        <v>159</v>
      </c>
      <c r="AX3" s="11" t="s">
        <v>468</v>
      </c>
      <c r="AY3" s="11" t="s">
        <v>469</v>
      </c>
    </row>
    <row r="4" spans="2:51">
      <c r="B4" s="3" t="s">
        <v>99</v>
      </c>
      <c r="C4" s="149">
        <v>0</v>
      </c>
      <c r="D4" s="150">
        <v>69.257179099099105</v>
      </c>
      <c r="E4" s="150">
        <v>64.727374774774788</v>
      </c>
      <c r="F4" s="150">
        <v>66.141179819819826</v>
      </c>
      <c r="G4" s="150">
        <v>0</v>
      </c>
      <c r="H4" s="150">
        <v>0</v>
      </c>
      <c r="I4" s="150">
        <v>15.995143783783785</v>
      </c>
      <c r="J4" s="150">
        <v>0</v>
      </c>
      <c r="K4" s="150">
        <v>0</v>
      </c>
      <c r="L4" s="150">
        <v>0</v>
      </c>
      <c r="M4" s="150">
        <v>0</v>
      </c>
      <c r="N4" s="150">
        <v>0</v>
      </c>
      <c r="O4" s="150">
        <v>0</v>
      </c>
      <c r="P4" s="151"/>
      <c r="R4" s="3" t="s">
        <v>99</v>
      </c>
      <c r="S4" s="4">
        <v>0</v>
      </c>
      <c r="T4" s="4">
        <v>69.257179099099105</v>
      </c>
      <c r="U4" s="4">
        <v>64.727374774774788</v>
      </c>
      <c r="V4" s="4">
        <v>66.141179819819826</v>
      </c>
      <c r="W4" s="4">
        <v>0</v>
      </c>
      <c r="X4" s="4">
        <v>0</v>
      </c>
      <c r="Y4" s="4">
        <v>15.995143783783785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/>
      <c r="AI4" s="3" t="s">
        <v>99</v>
      </c>
      <c r="AJ4" s="149">
        <v>82.390000000000015</v>
      </c>
      <c r="AK4" s="150">
        <v>55.540350833333335</v>
      </c>
      <c r="AL4" s="150">
        <v>57.346708333333339</v>
      </c>
      <c r="AM4" s="150">
        <v>48.073990384615378</v>
      </c>
      <c r="AN4" s="150">
        <v>59.160346813272795</v>
      </c>
      <c r="AO4" s="150">
        <v>35.851941749499332</v>
      </c>
      <c r="AP4" s="150">
        <v>13.041246626180836</v>
      </c>
      <c r="AQ4" s="150">
        <v>9.2123963175440249</v>
      </c>
      <c r="AR4" s="150">
        <v>0</v>
      </c>
      <c r="AS4" s="150">
        <v>64.321795703363009</v>
      </c>
      <c r="AT4" s="150">
        <v>0</v>
      </c>
      <c r="AU4" s="150">
        <v>96.25714496592559</v>
      </c>
      <c r="AV4" s="151">
        <v>17.346449891672947</v>
      </c>
      <c r="AX4" s="11" t="s">
        <v>470</v>
      </c>
      <c r="AY4" s="11" t="s">
        <v>471</v>
      </c>
    </row>
    <row r="5" spans="2:51">
      <c r="B5" s="5" t="s">
        <v>106</v>
      </c>
      <c r="C5" s="152">
        <v>115.79364684684684</v>
      </c>
      <c r="D5" s="291">
        <v>100.04049245817247</v>
      </c>
      <c r="E5" s="291">
        <v>93.413973513513511</v>
      </c>
      <c r="F5" s="291">
        <v>71.018629909909905</v>
      </c>
      <c r="G5" s="291">
        <v>86.200774774774771</v>
      </c>
      <c r="H5" s="291">
        <v>31.579863903903902</v>
      </c>
      <c r="I5" s="291">
        <v>21.134002731152204</v>
      </c>
      <c r="J5" s="291">
        <v>26.020741978050776</v>
      </c>
      <c r="K5" s="291">
        <v>0</v>
      </c>
      <c r="L5" s="291">
        <v>0</v>
      </c>
      <c r="M5" s="291">
        <v>117.44212180180182</v>
      </c>
      <c r="N5" s="291">
        <v>0</v>
      </c>
      <c r="O5" s="291">
        <v>0</v>
      </c>
      <c r="P5" s="153"/>
      <c r="R5" s="5" t="s">
        <v>106</v>
      </c>
      <c r="S5" s="4">
        <v>115.79364684684684</v>
      </c>
      <c r="T5" s="4">
        <v>100.04049245817247</v>
      </c>
      <c r="U5" s="4">
        <v>93.413973513513511</v>
      </c>
      <c r="V5" s="4">
        <v>71.018629909909905</v>
      </c>
      <c r="W5" s="4">
        <v>86.200774774774771</v>
      </c>
      <c r="X5" s="4">
        <v>31.579863903903902</v>
      </c>
      <c r="Y5" s="4">
        <v>21.134002731152204</v>
      </c>
      <c r="Z5" s="4">
        <v>26.020741978050776</v>
      </c>
      <c r="AA5" s="4">
        <v>0</v>
      </c>
      <c r="AB5" s="4">
        <v>0</v>
      </c>
      <c r="AC5" s="4">
        <v>117.44212180180182</v>
      </c>
      <c r="AD5" s="4">
        <v>0</v>
      </c>
      <c r="AE5" s="4">
        <v>0</v>
      </c>
      <c r="AF5" s="4"/>
      <c r="AI5" s="5" t="s">
        <v>106</v>
      </c>
      <c r="AJ5" s="152">
        <v>102.98982500000001</v>
      </c>
      <c r="AK5" s="291">
        <v>84.124343333333357</v>
      </c>
      <c r="AL5" s="291">
        <v>79.075835714285716</v>
      </c>
      <c r="AM5" s="291">
        <v>63.21742521367522</v>
      </c>
      <c r="AN5" s="291">
        <v>78.802166437757592</v>
      </c>
      <c r="AO5" s="291">
        <v>46.617346724143509</v>
      </c>
      <c r="AP5" s="291">
        <v>17.10601557085932</v>
      </c>
      <c r="AQ5" s="291">
        <v>10.172819177350428</v>
      </c>
      <c r="AR5" s="291">
        <v>74.126273990539175</v>
      </c>
      <c r="AS5" s="291">
        <v>75.780804685810864</v>
      </c>
      <c r="AT5" s="291">
        <v>104.46340833333332</v>
      </c>
      <c r="AU5" s="291">
        <v>122.95081967213117</v>
      </c>
      <c r="AV5" s="153">
        <v>24.040499849869192</v>
      </c>
      <c r="AX5" s="11" t="s">
        <v>472</v>
      </c>
      <c r="AY5" s="11" t="s">
        <v>473</v>
      </c>
    </row>
    <row r="6" spans="2:51">
      <c r="B6" s="5" t="s">
        <v>113</v>
      </c>
      <c r="C6" s="152">
        <v>162.5404724167646</v>
      </c>
      <c r="D6" s="291">
        <v>119.16818249678249</v>
      </c>
      <c r="E6" s="291">
        <v>106.81516841932842</v>
      </c>
      <c r="F6" s="291">
        <v>91.618722702702712</v>
      </c>
      <c r="G6" s="291">
        <v>115.94464048048047</v>
      </c>
      <c r="H6" s="291">
        <v>51</v>
      </c>
      <c r="I6" s="291">
        <v>36.132535540540538</v>
      </c>
      <c r="J6" s="291">
        <v>34.979334301158303</v>
      </c>
      <c r="K6" s="291">
        <v>99.841822342342354</v>
      </c>
      <c r="L6" s="291">
        <v>0</v>
      </c>
      <c r="M6" s="291">
        <v>0</v>
      </c>
      <c r="N6" s="291">
        <v>0</v>
      </c>
      <c r="O6" s="291">
        <v>0</v>
      </c>
      <c r="P6" s="153"/>
      <c r="R6" s="5" t="s">
        <v>113</v>
      </c>
      <c r="S6" s="4">
        <v>162.5404724167646</v>
      </c>
      <c r="T6" s="4">
        <v>129.65736977477479</v>
      </c>
      <c r="U6" s="4">
        <v>106.81516841932842</v>
      </c>
      <c r="V6" s="4">
        <v>91.618722702702712</v>
      </c>
      <c r="W6" s="4">
        <v>116.86567804375804</v>
      </c>
      <c r="X6" s="4">
        <v>52.885932767052772</v>
      </c>
      <c r="Y6" s="4">
        <v>36.132535540540538</v>
      </c>
      <c r="Z6" s="4">
        <v>35.282696097297297</v>
      </c>
      <c r="AA6" s="4">
        <v>99.841822342342354</v>
      </c>
      <c r="AB6" s="4">
        <v>0</v>
      </c>
      <c r="AC6" s="4">
        <v>0</v>
      </c>
      <c r="AD6" s="4">
        <v>0</v>
      </c>
      <c r="AE6" s="4">
        <v>0</v>
      </c>
      <c r="AF6" s="4"/>
      <c r="AI6" s="5" t="s">
        <v>113</v>
      </c>
      <c r="AJ6" s="152">
        <v>121.76081547619047</v>
      </c>
      <c r="AK6" s="291">
        <v>116.16020231481482</v>
      </c>
      <c r="AL6" s="291">
        <v>93.295126515151509</v>
      </c>
      <c r="AM6" s="291">
        <v>74.679926883012826</v>
      </c>
      <c r="AN6" s="291">
        <v>100.87460249999999</v>
      </c>
      <c r="AO6" s="291">
        <v>63.590539968837994</v>
      </c>
      <c r="AP6" s="291">
        <v>27.48632028388278</v>
      </c>
      <c r="AQ6" s="291">
        <v>14.285154246794869</v>
      </c>
      <c r="AR6" s="291">
        <v>90.08797916666667</v>
      </c>
      <c r="AS6" s="291">
        <v>104.91479450439292</v>
      </c>
      <c r="AT6" s="291">
        <v>115</v>
      </c>
      <c r="AU6" s="291">
        <v>144.72400134493481</v>
      </c>
      <c r="AV6" s="153">
        <v>33.930599788106385</v>
      </c>
      <c r="AX6" s="11" t="s">
        <v>474</v>
      </c>
      <c r="AY6" s="11" t="s">
        <v>475</v>
      </c>
    </row>
    <row r="7" spans="2:51">
      <c r="B7" s="5" t="s">
        <v>91</v>
      </c>
      <c r="C7" s="152">
        <v>177.96356324324324</v>
      </c>
      <c r="D7" s="291">
        <v>141.60578786786789</v>
      </c>
      <c r="E7" s="291">
        <v>134.49829794594595</v>
      </c>
      <c r="F7" s="291">
        <v>107.08376552552554</v>
      </c>
      <c r="G7" s="291">
        <v>105.97278630630632</v>
      </c>
      <c r="H7" s="291">
        <v>57.360481681681684</v>
      </c>
      <c r="I7" s="291">
        <v>42</v>
      </c>
      <c r="J7" s="291">
        <v>37.406228670270274</v>
      </c>
      <c r="K7" s="291">
        <v>105.00566126126127</v>
      </c>
      <c r="L7" s="291">
        <v>0</v>
      </c>
      <c r="M7" s="291">
        <v>0</v>
      </c>
      <c r="N7" s="291">
        <v>0</v>
      </c>
      <c r="O7" s="291">
        <v>0</v>
      </c>
      <c r="P7" s="153"/>
      <c r="R7" s="5" t="s">
        <v>91</v>
      </c>
      <c r="S7" s="4">
        <v>177.96356324324324</v>
      </c>
      <c r="T7" s="4">
        <v>129.99811006435007</v>
      </c>
      <c r="U7" s="4">
        <v>134.49829794594595</v>
      </c>
      <c r="V7" s="4">
        <v>107.08376552552554</v>
      </c>
      <c r="W7" s="4">
        <v>133.37061657657657</v>
      </c>
      <c r="X7" s="4">
        <v>69.205755315315329</v>
      </c>
      <c r="Y7" s="4">
        <v>41.697040120120121</v>
      </c>
      <c r="Z7" s="4">
        <v>0</v>
      </c>
      <c r="AA7" s="4">
        <v>105.00566126126127</v>
      </c>
      <c r="AB7" s="4">
        <v>0</v>
      </c>
      <c r="AC7" s="4">
        <v>169.0965138738739</v>
      </c>
      <c r="AD7" s="4">
        <v>0</v>
      </c>
      <c r="AE7" s="4">
        <v>0</v>
      </c>
      <c r="AF7" s="4"/>
      <c r="AI7" s="5" t="s">
        <v>91</v>
      </c>
      <c r="AJ7" s="152">
        <v>139.47395370370373</v>
      </c>
      <c r="AK7" s="291">
        <v>133.0585920972039</v>
      </c>
      <c r="AL7" s="291">
        <v>123.46714416666669</v>
      </c>
      <c r="AM7" s="291">
        <v>91.348469551282051</v>
      </c>
      <c r="AN7" s="291">
        <v>120.96607916666669</v>
      </c>
      <c r="AO7" s="291">
        <v>89.711708333333348</v>
      </c>
      <c r="AP7" s="291">
        <v>36.686570512820516</v>
      </c>
      <c r="AQ7" s="291">
        <v>18.529419547388461</v>
      </c>
      <c r="AR7" s="291">
        <v>99.457641666666674</v>
      </c>
      <c r="AS7" s="291">
        <v>137.12974428523694</v>
      </c>
      <c r="AT7" s="291">
        <v>120.12672083333334</v>
      </c>
      <c r="AU7" s="291">
        <v>201.51469177211561</v>
      </c>
      <c r="AV7" s="153">
        <v>40.655999746106851</v>
      </c>
      <c r="AX7" s="11" t="s">
        <v>476</v>
      </c>
      <c r="AY7" s="11" t="s">
        <v>477</v>
      </c>
    </row>
    <row r="8" spans="2:51">
      <c r="B8" s="5" t="s">
        <v>126</v>
      </c>
      <c r="C8" s="152">
        <v>185.76183490690693</v>
      </c>
      <c r="D8" s="291">
        <v>155.50513489489489</v>
      </c>
      <c r="E8" s="291"/>
      <c r="F8" s="291"/>
      <c r="G8" s="291">
        <v>138.53301846846847</v>
      </c>
      <c r="H8" s="291">
        <v>62.89526486486487</v>
      </c>
      <c r="I8" s="291">
        <v>43</v>
      </c>
      <c r="J8" s="291">
        <v>0</v>
      </c>
      <c r="K8" s="291">
        <v>129.13315531531532</v>
      </c>
      <c r="L8" s="291">
        <v>0</v>
      </c>
      <c r="M8" s="291">
        <v>169</v>
      </c>
      <c r="N8" s="291">
        <v>0</v>
      </c>
      <c r="O8" s="291">
        <v>0</v>
      </c>
      <c r="P8" s="153"/>
      <c r="R8" s="5" t="s">
        <v>126</v>
      </c>
      <c r="S8" s="4">
        <v>185.76183490690693</v>
      </c>
      <c r="T8" s="4">
        <v>0</v>
      </c>
      <c r="U8" s="4">
        <v>0</v>
      </c>
      <c r="V8" s="4">
        <v>0</v>
      </c>
      <c r="W8" s="4">
        <v>105.97278630630632</v>
      </c>
      <c r="X8" s="4">
        <v>0</v>
      </c>
      <c r="Y8" s="4">
        <v>42.459295315315316</v>
      </c>
      <c r="Z8" s="4">
        <v>0</v>
      </c>
      <c r="AA8" s="4">
        <v>129.13315531531532</v>
      </c>
      <c r="AB8" s="4">
        <v>0</v>
      </c>
      <c r="AC8" s="4">
        <v>0</v>
      </c>
      <c r="AD8" s="4">
        <v>0</v>
      </c>
      <c r="AE8" s="4">
        <v>0</v>
      </c>
      <c r="AF8" s="4"/>
      <c r="AI8" s="5" t="s">
        <v>126</v>
      </c>
      <c r="AJ8" s="152">
        <v>158.02629940476189</v>
      </c>
      <c r="AK8" s="291">
        <v>136.56195</v>
      </c>
      <c r="AL8" s="291">
        <v>0</v>
      </c>
      <c r="AM8" s="291">
        <v>111.11045067637265</v>
      </c>
      <c r="AN8" s="291">
        <v>137.05657104136554</v>
      </c>
      <c r="AO8" s="291">
        <v>103.82002017670085</v>
      </c>
      <c r="AP8" s="291">
        <v>38.890318333333333</v>
      </c>
      <c r="AQ8" s="291">
        <v>20.994139216936098</v>
      </c>
      <c r="AR8" s="291">
        <v>116.75590238095239</v>
      </c>
      <c r="AS8" s="291">
        <v>155.37027131067725</v>
      </c>
      <c r="AT8" s="291">
        <v>0</v>
      </c>
      <c r="AU8" s="291">
        <v>0</v>
      </c>
      <c r="AV8" s="153">
        <v>0</v>
      </c>
      <c r="AX8" s="11" t="s">
        <v>478</v>
      </c>
      <c r="AY8" s="11" t="s">
        <v>479</v>
      </c>
    </row>
    <row r="9" spans="2:51">
      <c r="B9" s="5" t="s">
        <v>132</v>
      </c>
      <c r="C9" s="152">
        <v>0</v>
      </c>
      <c r="D9" s="291">
        <v>159.49796972972973</v>
      </c>
      <c r="E9" s="291"/>
      <c r="F9" s="291"/>
      <c r="G9" s="291">
        <v>231.44082234234236</v>
      </c>
      <c r="H9" s="291">
        <v>0</v>
      </c>
      <c r="I9" s="291"/>
      <c r="J9" s="291">
        <v>0</v>
      </c>
      <c r="K9" s="291">
        <v>151.08334534534535</v>
      </c>
      <c r="L9" s="291">
        <v>0</v>
      </c>
      <c r="M9" s="291">
        <v>0</v>
      </c>
      <c r="N9" s="291">
        <v>0</v>
      </c>
      <c r="O9" s="291">
        <v>0</v>
      </c>
      <c r="P9" s="153"/>
      <c r="R9" s="5" t="s">
        <v>132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/>
      <c r="AI9" s="5" t="s">
        <v>132</v>
      </c>
      <c r="AJ9" s="152">
        <v>333.34875000000005</v>
      </c>
      <c r="AK9" s="291">
        <v>334.55293848616492</v>
      </c>
      <c r="AL9" s="291">
        <v>0</v>
      </c>
      <c r="AM9" s="291">
        <v>0</v>
      </c>
      <c r="AN9" s="291">
        <v>384.46934375000001</v>
      </c>
      <c r="AO9" s="291">
        <v>149.54679811948694</v>
      </c>
      <c r="AP9" s="291">
        <v>0</v>
      </c>
      <c r="AQ9" s="291">
        <v>0</v>
      </c>
      <c r="AR9" s="291">
        <v>272.28839843750001</v>
      </c>
      <c r="AS9" s="291">
        <v>270.59747036971515</v>
      </c>
      <c r="AT9" s="291">
        <v>0</v>
      </c>
      <c r="AU9" s="291">
        <v>0</v>
      </c>
      <c r="AV9" s="153">
        <v>0</v>
      </c>
      <c r="AX9" s="11" t="s">
        <v>480</v>
      </c>
      <c r="AY9" s="11" t="s">
        <v>481</v>
      </c>
    </row>
    <row r="10" spans="2:51">
      <c r="B10" s="5" t="s">
        <v>137</v>
      </c>
      <c r="C10" s="152">
        <v>224.66401275675673</v>
      </c>
      <c r="D10" s="291">
        <v>148.25646169369369</v>
      </c>
      <c r="E10" s="291">
        <v>157.30242854054055</v>
      </c>
      <c r="F10" s="291"/>
      <c r="G10" s="291">
        <v>183.80449556756759</v>
      </c>
      <c r="H10" s="291">
        <v>0</v>
      </c>
      <c r="I10" s="291">
        <v>19.207694414414416</v>
      </c>
      <c r="J10" s="291">
        <v>30.438977264144146</v>
      </c>
      <c r="K10" s="291">
        <v>163.71005405405407</v>
      </c>
      <c r="L10" s="291">
        <v>0</v>
      </c>
      <c r="M10" s="291">
        <v>0</v>
      </c>
      <c r="N10" s="291">
        <v>0</v>
      </c>
      <c r="O10" s="291">
        <v>0</v>
      </c>
      <c r="P10" s="153"/>
      <c r="R10" s="5" t="s">
        <v>137</v>
      </c>
      <c r="S10" s="4">
        <v>224.66401275675673</v>
      </c>
      <c r="T10" s="4">
        <v>148.25646169369369</v>
      </c>
      <c r="U10" s="4">
        <v>157.30242854054055</v>
      </c>
      <c r="V10" s="4">
        <v>0</v>
      </c>
      <c r="W10" s="4">
        <v>183.80449556756759</v>
      </c>
      <c r="X10" s="4">
        <v>0</v>
      </c>
      <c r="Y10" s="4">
        <v>19.207694414414416</v>
      </c>
      <c r="Z10" s="4">
        <v>30.438977264144146</v>
      </c>
      <c r="AA10" s="4">
        <v>163.71005405405407</v>
      </c>
      <c r="AB10" s="4">
        <v>0</v>
      </c>
      <c r="AC10" s="4">
        <v>0</v>
      </c>
      <c r="AD10" s="4">
        <v>0</v>
      </c>
      <c r="AE10" s="4">
        <v>0</v>
      </c>
      <c r="AF10" s="4"/>
      <c r="AI10" s="5" t="s">
        <v>137</v>
      </c>
      <c r="AJ10" s="152">
        <v>120.2980203125</v>
      </c>
      <c r="AK10" s="291">
        <v>77.211210714285713</v>
      </c>
      <c r="AL10" s="291">
        <v>84.23606041666666</v>
      </c>
      <c r="AM10" s="291">
        <v>0</v>
      </c>
      <c r="AN10" s="291">
        <v>89.052606250000011</v>
      </c>
      <c r="AO10" s="291">
        <v>66.354945682844757</v>
      </c>
      <c r="AP10" s="291">
        <v>20.928856249999999</v>
      </c>
      <c r="AQ10" s="291">
        <v>15.147541666666665</v>
      </c>
      <c r="AR10" s="291">
        <v>92.832985416666659</v>
      </c>
      <c r="AS10" s="291">
        <v>108.23898814788608</v>
      </c>
      <c r="AT10" s="291">
        <v>161.71115447607775</v>
      </c>
      <c r="AU10" s="291">
        <v>100.05515052608271</v>
      </c>
      <c r="AV10" s="153">
        <v>21.723899864336154</v>
      </c>
      <c r="AX10" s="11" t="s">
        <v>482</v>
      </c>
      <c r="AY10" s="11" t="s">
        <v>483</v>
      </c>
    </row>
    <row r="11" spans="2:51">
      <c r="B11" s="5" t="s">
        <v>141</v>
      </c>
      <c r="C11" s="152">
        <v>369.01914118918921</v>
      </c>
      <c r="D11" s="291">
        <v>212.49272129729729</v>
      </c>
      <c r="E11" s="291"/>
      <c r="F11" s="291"/>
      <c r="G11" s="291">
        <v>202.2469448648649</v>
      </c>
      <c r="H11" s="291">
        <v>0</v>
      </c>
      <c r="I11" s="291">
        <v>29.109555027027032</v>
      </c>
      <c r="J11" s="291">
        <v>0</v>
      </c>
      <c r="K11" s="291"/>
      <c r="L11" s="291">
        <v>0</v>
      </c>
      <c r="M11" s="291">
        <v>0</v>
      </c>
      <c r="N11" s="291">
        <v>0</v>
      </c>
      <c r="O11" s="291">
        <v>0</v>
      </c>
      <c r="P11" s="153"/>
      <c r="R11" s="5" t="s">
        <v>141</v>
      </c>
      <c r="S11" s="4">
        <v>369.01914118918921</v>
      </c>
      <c r="T11" s="4">
        <v>212.49272129729729</v>
      </c>
      <c r="U11" s="4">
        <v>0</v>
      </c>
      <c r="V11" s="4">
        <v>0</v>
      </c>
      <c r="W11" s="4">
        <v>202.2469448648649</v>
      </c>
      <c r="X11" s="4">
        <v>0</v>
      </c>
      <c r="Y11" s="4">
        <v>29.109555027027032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/>
      <c r="AI11" s="5" t="s">
        <v>141</v>
      </c>
      <c r="AJ11" s="152">
        <v>409.81573437499998</v>
      </c>
      <c r="AK11" s="291">
        <v>287.14643749999999</v>
      </c>
      <c r="AL11" s="291">
        <v>277.81840625000001</v>
      </c>
      <c r="AM11" s="291">
        <v>62.699734039628645</v>
      </c>
      <c r="AN11" s="291">
        <v>279.97709374999999</v>
      </c>
      <c r="AO11" s="291">
        <v>203.68936919235239</v>
      </c>
      <c r="AP11" s="291">
        <v>97.256885416666677</v>
      </c>
      <c r="AQ11" s="291">
        <v>51.602685530277817</v>
      </c>
      <c r="AR11" s="291">
        <v>239.483140625</v>
      </c>
      <c r="AS11" s="291">
        <v>271.76296509228143</v>
      </c>
      <c r="AT11" s="291">
        <v>405.70970370378473</v>
      </c>
      <c r="AU11" s="291">
        <v>264.55338324900151</v>
      </c>
      <c r="AV11" s="153">
        <v>140.03859287547129</v>
      </c>
    </row>
    <row r="12" spans="2:51">
      <c r="B12" s="5" t="s">
        <v>146</v>
      </c>
      <c r="C12" s="152">
        <v>0</v>
      </c>
      <c r="D12" s="291">
        <v>71.776110630630626</v>
      </c>
      <c r="E12" s="291">
        <v>108.47865225225226</v>
      </c>
      <c r="F12" s="291"/>
      <c r="G12" s="291"/>
      <c r="H12" s="291">
        <v>57.40603243243244</v>
      </c>
      <c r="I12" s="291">
        <v>20.635234954954957</v>
      </c>
      <c r="J12" s="291">
        <v>15.384681117117118</v>
      </c>
      <c r="K12" s="291"/>
      <c r="L12" s="291">
        <v>0</v>
      </c>
      <c r="M12" s="291">
        <v>0</v>
      </c>
      <c r="N12" s="291">
        <v>0</v>
      </c>
      <c r="O12" s="291">
        <v>0</v>
      </c>
      <c r="P12" s="153"/>
      <c r="R12" s="5" t="s">
        <v>146</v>
      </c>
      <c r="S12" s="4">
        <v>0</v>
      </c>
      <c r="T12" s="4">
        <v>71.776110630630626</v>
      </c>
      <c r="U12" s="4">
        <v>108.47865225225226</v>
      </c>
      <c r="V12" s="4">
        <v>0</v>
      </c>
      <c r="W12" s="4">
        <v>0</v>
      </c>
      <c r="X12" s="4">
        <v>57.40603243243244</v>
      </c>
      <c r="Y12" s="4">
        <v>20.635234954954957</v>
      </c>
      <c r="Z12" s="4">
        <v>15.384681117117118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/>
      <c r="AI12" s="5" t="s">
        <v>146</v>
      </c>
      <c r="AJ12" s="152">
        <v>120.92323076923078</v>
      </c>
      <c r="AK12" s="291">
        <v>75.451419230769233</v>
      </c>
      <c r="AL12" s="291">
        <v>106.01025</v>
      </c>
      <c r="AM12" s="291">
        <v>55.368232132467121</v>
      </c>
      <c r="AN12" s="291">
        <v>94.635869465287769</v>
      </c>
      <c r="AO12" s="291">
        <v>68.962990384615381</v>
      </c>
      <c r="AP12" s="291">
        <v>21.926159615384616</v>
      </c>
      <c r="AQ12" s="291">
        <v>8.3590741633532648</v>
      </c>
      <c r="AR12" s="291">
        <v>73.104865384615394</v>
      </c>
      <c r="AS12" s="291">
        <v>114.34064423076923</v>
      </c>
      <c r="AT12" s="291">
        <v>0</v>
      </c>
      <c r="AU12" s="291">
        <v>0</v>
      </c>
      <c r="AV12" s="153">
        <v>21.004182561138414</v>
      </c>
    </row>
    <row r="13" spans="2:51" ht="15.75" thickBot="1">
      <c r="B13" s="6" t="s">
        <v>150</v>
      </c>
      <c r="C13" s="292">
        <v>141.70228237837838</v>
      </c>
      <c r="D13" s="293">
        <v>129.65941405405405</v>
      </c>
      <c r="E13" s="293">
        <v>121.97916021621623</v>
      </c>
      <c r="F13" s="293">
        <v>54.916797117117127</v>
      </c>
      <c r="G13" s="293">
        <v>131.38475843843844</v>
      </c>
      <c r="H13" s="293">
        <v>0</v>
      </c>
      <c r="I13" s="293">
        <v>30.377216336336339</v>
      </c>
      <c r="J13" s="293">
        <v>41.820041513513516</v>
      </c>
      <c r="K13" s="293">
        <v>108.15582594594595</v>
      </c>
      <c r="L13" s="293">
        <v>0</v>
      </c>
      <c r="M13" s="293">
        <v>0</v>
      </c>
      <c r="N13" s="293">
        <v>114.68035027027027</v>
      </c>
      <c r="O13" s="293">
        <v>0</v>
      </c>
      <c r="P13" s="294"/>
      <c r="R13" s="6" t="s">
        <v>150</v>
      </c>
      <c r="S13" s="4">
        <v>141.70228237837838</v>
      </c>
      <c r="T13" s="4">
        <v>129.65941405405405</v>
      </c>
      <c r="U13" s="4">
        <v>121.97916021621623</v>
      </c>
      <c r="V13" s="4">
        <v>54.916797117117127</v>
      </c>
      <c r="W13" s="4">
        <v>131.38475843843844</v>
      </c>
      <c r="X13" s="4">
        <v>0</v>
      </c>
      <c r="Y13" s="4">
        <v>30.377216336336339</v>
      </c>
      <c r="Z13" s="4">
        <v>41.820041513513516</v>
      </c>
      <c r="AA13" s="4">
        <v>108.15582594594595</v>
      </c>
      <c r="AB13" s="4">
        <v>0</v>
      </c>
      <c r="AC13" s="4">
        <v>0</v>
      </c>
      <c r="AD13" s="4">
        <v>114.68035027027027</v>
      </c>
      <c r="AE13" s="4">
        <v>0</v>
      </c>
      <c r="AF13" s="4"/>
      <c r="AI13" s="6" t="s">
        <v>150</v>
      </c>
      <c r="AJ13" s="292">
        <v>144.00912115384614</v>
      </c>
      <c r="AK13" s="293">
        <v>121.70636469780223</v>
      </c>
      <c r="AL13" s="293">
        <v>133.36389423076923</v>
      </c>
      <c r="AM13" s="293">
        <v>65.938781146654733</v>
      </c>
      <c r="AN13" s="293">
        <v>145.97742548076926</v>
      </c>
      <c r="AO13" s="293">
        <v>75.557306110641363</v>
      </c>
      <c r="AP13" s="293">
        <v>31.222677884615383</v>
      </c>
      <c r="AQ13" s="293">
        <v>19.524193678091375</v>
      </c>
      <c r="AR13" s="293">
        <v>98.566390384615389</v>
      </c>
      <c r="AS13" s="293">
        <v>120.04796634615387</v>
      </c>
      <c r="AT13" s="293">
        <v>149.79014423076922</v>
      </c>
      <c r="AU13" s="293">
        <v>114.868875</v>
      </c>
      <c r="AV13" s="294">
        <v>30.097903658195087</v>
      </c>
    </row>
    <row r="14" spans="2:51" ht="15.75" thickBot="1">
      <c r="R14" s="86"/>
      <c r="S14" s="87">
        <f>SUBTOTAL(109,TbCountAps[US])</f>
        <v>1377.4449537380858</v>
      </c>
      <c r="T14" s="87">
        <f>SUBTOTAL(109,TbCountAps[UK])</f>
        <v>991.13785907207205</v>
      </c>
      <c r="U14" s="87">
        <f>SUBTOTAL(109,TbCountAps[DE])</f>
        <v>787.21505566257167</v>
      </c>
      <c r="V14" s="87">
        <f>SUBTOTAL(109,TbCountAps[PL])</f>
        <v>390.77909507507508</v>
      </c>
      <c r="W14" s="87">
        <f>SUBTOTAL(109,TbCountAps[NL])</f>
        <v>959.84605457228656</v>
      </c>
      <c r="X14" s="87">
        <f>SUBTOTAL(109,TbCountAps[MX])</f>
        <v>211.07758441870442</v>
      </c>
      <c r="Y14" s="87">
        <f>SUBTOTAL(109,TbCountAps[IN])</f>
        <v>256.74771822364471</v>
      </c>
      <c r="Z14" s="87">
        <f>SUBTOTAL(109,TbCountAps[EG])</f>
        <v>148.94713797012287</v>
      </c>
      <c r="AA14" s="87">
        <f>SUBTOTAL(109,TbCountAps[CAN])</f>
        <v>605.84651891891895</v>
      </c>
      <c r="AB14" s="87">
        <f>SUBTOTAL(109,TbCountAps[AU])</f>
        <v>0</v>
      </c>
      <c r="AC14" s="87">
        <f>SUBTOTAL(109,TbCountAps[AE])</f>
        <v>286.53863567567572</v>
      </c>
      <c r="AD14" s="87">
        <f>SUBTOTAL(109,TbCountAps[SG])</f>
        <v>114.68035027027027</v>
      </c>
      <c r="AE14" s="87">
        <f>SUBTOTAL(109,TbCountAps[VN])</f>
        <v>0</v>
      </c>
      <c r="AF14" s="87"/>
      <c r="AG14" s="348">
        <f>SUM(TbCountAps[[#Totals],[US]:[VN]])</f>
        <v>6130.2609635974277</v>
      </c>
    </row>
    <row r="16" spans="2:51" ht="15.75" thickBot="1"/>
    <row r="17" spans="2:48" ht="15.75" thickBot="1">
      <c r="B17" s="46" t="s">
        <v>562</v>
      </c>
      <c r="C17" s="77" t="s">
        <v>98</v>
      </c>
      <c r="D17" s="78" t="s">
        <v>105</v>
      </c>
      <c r="E17" s="78" t="s">
        <v>112</v>
      </c>
      <c r="F17" s="78" t="s">
        <v>120</v>
      </c>
      <c r="G17" s="78" t="s">
        <v>125</v>
      </c>
      <c r="H17" s="78" t="s">
        <v>131</v>
      </c>
      <c r="I17" s="78" t="s">
        <v>136</v>
      </c>
      <c r="J17" s="78" t="s">
        <v>140</v>
      </c>
      <c r="K17" s="78" t="s">
        <v>458</v>
      </c>
      <c r="L17" s="78" t="s">
        <v>149</v>
      </c>
      <c r="M17" s="78" t="s">
        <v>153</v>
      </c>
      <c r="N17" s="78" t="s">
        <v>156</v>
      </c>
      <c r="O17" s="78" t="s">
        <v>159</v>
      </c>
      <c r="P17" s="406" t="s">
        <v>352</v>
      </c>
      <c r="R17" s="46" t="s">
        <v>484</v>
      </c>
      <c r="S17" s="1" t="s">
        <v>98</v>
      </c>
      <c r="T17" s="1" t="s">
        <v>105</v>
      </c>
      <c r="U17" s="1" t="s">
        <v>112</v>
      </c>
      <c r="V17" s="1" t="s">
        <v>120</v>
      </c>
      <c r="W17" s="1" t="s">
        <v>125</v>
      </c>
      <c r="X17" s="1" t="s">
        <v>131</v>
      </c>
      <c r="Y17" s="1" t="s">
        <v>136</v>
      </c>
      <c r="Z17" s="1" t="s">
        <v>140</v>
      </c>
      <c r="AA17" s="1" t="s">
        <v>458</v>
      </c>
      <c r="AB17" s="1" t="s">
        <v>149</v>
      </c>
      <c r="AC17" s="71" t="s">
        <v>153</v>
      </c>
      <c r="AD17" s="71" t="s">
        <v>156</v>
      </c>
      <c r="AE17" s="71" t="s">
        <v>159</v>
      </c>
      <c r="AF17" s="71"/>
      <c r="AI17" s="350" t="s">
        <v>485</v>
      </c>
      <c r="AJ17" s="29" t="s">
        <v>98</v>
      </c>
      <c r="AK17" s="30" t="s">
        <v>105</v>
      </c>
      <c r="AL17" s="30" t="s">
        <v>112</v>
      </c>
      <c r="AM17" s="30" t="s">
        <v>120</v>
      </c>
      <c r="AN17" s="30" t="s">
        <v>125</v>
      </c>
      <c r="AO17" s="30" t="s">
        <v>131</v>
      </c>
      <c r="AP17" s="30" t="s">
        <v>136</v>
      </c>
      <c r="AQ17" s="30" t="s">
        <v>140</v>
      </c>
      <c r="AR17" s="30" t="s">
        <v>145</v>
      </c>
      <c r="AS17" s="30" t="s">
        <v>149</v>
      </c>
      <c r="AT17" s="30" t="s">
        <v>153</v>
      </c>
      <c r="AU17" s="30" t="s">
        <v>156</v>
      </c>
      <c r="AV17" s="80" t="s">
        <v>159</v>
      </c>
    </row>
    <row r="18" spans="2:48">
      <c r="B18" s="74" t="s">
        <v>207</v>
      </c>
      <c r="C18" s="72">
        <v>88.146519581981991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12.383596577606179</v>
      </c>
      <c r="J18" s="72">
        <v>21.328508103956757</v>
      </c>
      <c r="K18" s="72">
        <v>0</v>
      </c>
      <c r="L18" s="72">
        <v>0</v>
      </c>
      <c r="M18" s="72">
        <v>0</v>
      </c>
      <c r="N18" s="72">
        <v>40.976992380180185</v>
      </c>
      <c r="O18" s="72">
        <v>11.741167556756759</v>
      </c>
      <c r="P18" s="73"/>
      <c r="R18" s="74" t="s">
        <v>207</v>
      </c>
      <c r="S18" s="4">
        <v>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7</v>
      </c>
      <c r="Z18" s="4">
        <v>5</v>
      </c>
      <c r="AA18" s="4">
        <v>0</v>
      </c>
      <c r="AB18" s="4">
        <v>0</v>
      </c>
      <c r="AC18" s="4">
        <v>0</v>
      </c>
      <c r="AD18" s="4">
        <v>4</v>
      </c>
      <c r="AE18" s="4">
        <v>16</v>
      </c>
      <c r="AF18" s="4"/>
      <c r="AI18" s="3" t="s">
        <v>99</v>
      </c>
      <c r="AJ18" s="149">
        <v>76.116066666666669</v>
      </c>
      <c r="AK18" s="150">
        <v>69.419036003760411</v>
      </c>
      <c r="AL18" s="150">
        <v>72.336969512592617</v>
      </c>
      <c r="AM18" s="150">
        <v>50.016881854974415</v>
      </c>
      <c r="AN18" s="150">
        <v>59.160346813272795</v>
      </c>
      <c r="AO18" s="150">
        <v>35.851941749499332</v>
      </c>
      <c r="AP18" s="150">
        <v>9.8456417540792529</v>
      </c>
      <c r="AQ18" s="150">
        <v>10.326672008547009</v>
      </c>
      <c r="AR18" s="150">
        <v>0</v>
      </c>
      <c r="AS18" s="150">
        <v>64.321795703363009</v>
      </c>
      <c r="AT18" s="150">
        <v>0</v>
      </c>
      <c r="AU18" s="150">
        <v>38.735202777777786</v>
      </c>
      <c r="AV18" s="151">
        <v>9.5456395833333314</v>
      </c>
    </row>
    <row r="19" spans="2:48">
      <c r="B19" s="75" t="s">
        <v>106</v>
      </c>
      <c r="C19" s="73">
        <v>138.2620036036036</v>
      </c>
      <c r="D19" s="73">
        <v>0</v>
      </c>
      <c r="E19" s="73">
        <v>0</v>
      </c>
      <c r="F19" s="73">
        <v>0</v>
      </c>
      <c r="G19" s="73">
        <v>103.38156990270271</v>
      </c>
      <c r="H19" s="73">
        <v>0</v>
      </c>
      <c r="I19" s="73">
        <v>25.368448475675681</v>
      </c>
      <c r="J19" s="73">
        <v>29.906500966054054</v>
      </c>
      <c r="K19" s="73">
        <v>102.16090372612612</v>
      </c>
      <c r="L19" s="73">
        <v>0</v>
      </c>
      <c r="M19" s="73">
        <v>0</v>
      </c>
      <c r="N19" s="73">
        <v>63.599546962162158</v>
      </c>
      <c r="O19" s="73">
        <v>22.312714189680591</v>
      </c>
      <c r="P19" s="73"/>
      <c r="R19" s="75" t="s">
        <v>106</v>
      </c>
      <c r="S19" s="4">
        <v>2</v>
      </c>
      <c r="T19" s="4">
        <v>0</v>
      </c>
      <c r="U19" s="4">
        <v>0</v>
      </c>
      <c r="V19" s="4">
        <v>0</v>
      </c>
      <c r="W19" s="4">
        <v>1</v>
      </c>
      <c r="X19" s="4">
        <v>0</v>
      </c>
      <c r="Y19" s="4">
        <v>16</v>
      </c>
      <c r="Z19" s="4">
        <v>13</v>
      </c>
      <c r="AA19" s="4">
        <v>2</v>
      </c>
      <c r="AB19" s="4">
        <v>0</v>
      </c>
      <c r="AC19" s="4">
        <v>0</v>
      </c>
      <c r="AD19" s="4">
        <v>3</v>
      </c>
      <c r="AE19" s="4">
        <v>33</v>
      </c>
      <c r="AF19" s="4"/>
      <c r="AI19" s="5" t="s">
        <v>106</v>
      </c>
      <c r="AJ19" s="152">
        <v>121.66</v>
      </c>
      <c r="AK19" s="291">
        <v>86.363289884899729</v>
      </c>
      <c r="AL19" s="291">
        <v>85.155044655468402</v>
      </c>
      <c r="AM19" s="291">
        <v>63.889345287395138</v>
      </c>
      <c r="AN19" s="291">
        <v>88.925525000000007</v>
      </c>
      <c r="AO19" s="291">
        <v>46.617346724143509</v>
      </c>
      <c r="AP19" s="291">
        <v>18.713145985958484</v>
      </c>
      <c r="AQ19" s="291">
        <v>14.811780303030302</v>
      </c>
      <c r="AR19" s="291">
        <v>89.49563333333333</v>
      </c>
      <c r="AS19" s="291">
        <v>75.780804685810864</v>
      </c>
      <c r="AT19" s="291">
        <v>104.7528922883926</v>
      </c>
      <c r="AU19" s="291">
        <v>53.602147222222222</v>
      </c>
      <c r="AV19" s="153">
        <v>16.915687999999996</v>
      </c>
    </row>
    <row r="20" spans="2:48">
      <c r="B20" s="75" t="s">
        <v>113</v>
      </c>
      <c r="C20" s="73">
        <v>166.43348275315316</v>
      </c>
      <c r="D20" s="73">
        <v>0</v>
      </c>
      <c r="E20" s="73">
        <v>0</v>
      </c>
      <c r="F20" s="73">
        <v>0</v>
      </c>
      <c r="G20" s="73">
        <v>0</v>
      </c>
      <c r="H20" s="73">
        <v>0</v>
      </c>
      <c r="I20" s="73">
        <v>36.057468972972977</v>
      </c>
      <c r="J20" s="73">
        <v>30.588775512908111</v>
      </c>
      <c r="K20" s="73">
        <v>109.60434441081082</v>
      </c>
      <c r="L20" s="73">
        <v>0</v>
      </c>
      <c r="M20" s="73">
        <v>63.719222198198203</v>
      </c>
      <c r="N20" s="73">
        <v>0</v>
      </c>
      <c r="O20" s="73">
        <v>38.860291459459461</v>
      </c>
      <c r="P20" s="73"/>
      <c r="R20" s="75" t="s">
        <v>113</v>
      </c>
      <c r="S20" s="4">
        <v>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12</v>
      </c>
      <c r="Z20" s="4">
        <v>5</v>
      </c>
      <c r="AA20" s="4">
        <v>2</v>
      </c>
      <c r="AB20" s="4">
        <v>0</v>
      </c>
      <c r="AC20" s="4">
        <v>1</v>
      </c>
      <c r="AD20" s="4">
        <v>0</v>
      </c>
      <c r="AE20" s="4">
        <v>8</v>
      </c>
      <c r="AF20" s="4"/>
      <c r="AI20" s="5" t="s">
        <v>113</v>
      </c>
      <c r="AJ20" s="152">
        <v>134.11441666666667</v>
      </c>
      <c r="AK20" s="291">
        <v>118.3544712014869</v>
      </c>
      <c r="AL20" s="291">
        <v>104.91997870444818</v>
      </c>
      <c r="AM20" s="291">
        <v>77.723801970685912</v>
      </c>
      <c r="AN20" s="291">
        <v>99.706099654490544</v>
      </c>
      <c r="AO20" s="291">
        <v>63.590539968837994</v>
      </c>
      <c r="AP20" s="291">
        <v>24.322376855600538</v>
      </c>
      <c r="AQ20" s="291">
        <v>15.5</v>
      </c>
      <c r="AR20" s="291">
        <v>95</v>
      </c>
      <c r="AS20" s="291">
        <v>104.91479450439292</v>
      </c>
      <c r="AT20" s="291">
        <v>115</v>
      </c>
      <c r="AU20" s="291">
        <v>80.547624999999996</v>
      </c>
      <c r="AV20" s="153">
        <v>32.281219791666665</v>
      </c>
    </row>
    <row r="21" spans="2:48">
      <c r="B21" s="75" t="s">
        <v>220</v>
      </c>
      <c r="C21" s="73">
        <v>212.35126898326899</v>
      </c>
      <c r="D21" s="73">
        <v>0</v>
      </c>
      <c r="E21" s="73">
        <v>0</v>
      </c>
      <c r="F21" s="73">
        <v>0</v>
      </c>
      <c r="G21" s="73">
        <v>0</v>
      </c>
      <c r="H21" s="73">
        <v>0</v>
      </c>
      <c r="I21" s="73">
        <v>39.704906582800987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/>
      <c r="R21" s="75" t="s">
        <v>220</v>
      </c>
      <c r="S21" s="4">
        <v>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/>
      <c r="AI21" s="5" t="s">
        <v>91</v>
      </c>
      <c r="AJ21" s="152">
        <v>166.59168257575757</v>
      </c>
      <c r="AK21" s="291">
        <v>172.03631666666666</v>
      </c>
      <c r="AL21" s="291">
        <v>133.55896477541887</v>
      </c>
      <c r="AM21" s="291">
        <v>91.824305897886163</v>
      </c>
      <c r="AN21" s="291">
        <v>115.8625</v>
      </c>
      <c r="AO21" s="291">
        <v>88.272719227157694</v>
      </c>
      <c r="AP21" s="291">
        <v>41.761753472222225</v>
      </c>
      <c r="AQ21" s="291">
        <v>15.685678418803418</v>
      </c>
      <c r="AR21" s="291">
        <v>100.53167083333334</v>
      </c>
      <c r="AS21" s="291">
        <v>137.12974428523694</v>
      </c>
      <c r="AT21" s="291">
        <v>189.56140885806897</v>
      </c>
      <c r="AU21" s="291">
        <v>100.05310920139324</v>
      </c>
      <c r="AV21" s="153">
        <v>40.098468564030313</v>
      </c>
    </row>
    <row r="22" spans="2:48">
      <c r="B22" s="75" t="s">
        <v>224</v>
      </c>
      <c r="C22" s="73">
        <v>316.81463783783784</v>
      </c>
      <c r="D22" s="73">
        <v>0</v>
      </c>
      <c r="E22" s="73">
        <v>0</v>
      </c>
      <c r="F22" s="73">
        <v>0</v>
      </c>
      <c r="G22" s="73">
        <v>0</v>
      </c>
      <c r="H22" s="73">
        <v>0</v>
      </c>
      <c r="I22" s="73">
        <v>53.887047956756767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/>
      <c r="R22" s="75" t="s">
        <v>224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/>
      <c r="AI22" s="5" t="s">
        <v>126</v>
      </c>
      <c r="AJ22" s="152">
        <v>191.865745</v>
      </c>
      <c r="AK22" s="291">
        <v>198.13639885229915</v>
      </c>
      <c r="AL22" s="291">
        <v>0</v>
      </c>
      <c r="AM22" s="291">
        <v>111.11045067637265</v>
      </c>
      <c r="AN22" s="291">
        <v>133.44030467999735</v>
      </c>
      <c r="AO22" s="291">
        <v>103.82002017670085</v>
      </c>
      <c r="AP22" s="291">
        <v>48.097538956127067</v>
      </c>
      <c r="AQ22" s="291">
        <v>25.485363645462833</v>
      </c>
      <c r="AR22" s="291">
        <v>123.56407083333333</v>
      </c>
      <c r="AS22" s="291">
        <v>191.28977730605189</v>
      </c>
      <c r="AT22" s="291">
        <v>0</v>
      </c>
      <c r="AU22" s="291">
        <v>0</v>
      </c>
      <c r="AV22" s="153">
        <v>0</v>
      </c>
    </row>
    <row r="23" spans="2:48">
      <c r="B23" s="75" t="s">
        <v>91</v>
      </c>
      <c r="C23" s="73">
        <v>173.85347606006005</v>
      </c>
      <c r="D23" s="73">
        <v>0</v>
      </c>
      <c r="E23" s="73">
        <v>0</v>
      </c>
      <c r="F23" s="73">
        <v>0</v>
      </c>
      <c r="G23" s="73">
        <v>0</v>
      </c>
      <c r="H23" s="73">
        <v>0</v>
      </c>
      <c r="I23" s="73">
        <v>59.435141915675672</v>
      </c>
      <c r="J23" s="73">
        <v>44.159650349837847</v>
      </c>
      <c r="K23" s="73">
        <v>114.75874167567568</v>
      </c>
      <c r="L23" s="73">
        <v>0</v>
      </c>
      <c r="M23" s="73">
        <v>0</v>
      </c>
      <c r="N23" s="73">
        <v>112.26705809729731</v>
      </c>
      <c r="O23" s="73">
        <v>41.312469794594598</v>
      </c>
      <c r="P23" s="73"/>
      <c r="R23" s="75" t="s">
        <v>91</v>
      </c>
      <c r="S23" s="4">
        <v>6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5</v>
      </c>
      <c r="Z23" s="4">
        <v>3</v>
      </c>
      <c r="AA23" s="4">
        <v>2</v>
      </c>
      <c r="AB23" s="4">
        <v>0</v>
      </c>
      <c r="AC23" s="4">
        <v>0</v>
      </c>
      <c r="AD23" s="4">
        <v>3</v>
      </c>
      <c r="AE23" s="4">
        <v>5</v>
      </c>
      <c r="AF23" s="4"/>
      <c r="AI23" s="5" t="s">
        <v>132</v>
      </c>
      <c r="AJ23" s="152">
        <v>456.98554687500001</v>
      </c>
      <c r="AK23" s="291">
        <v>334.55293848616492</v>
      </c>
      <c r="AL23" s="291">
        <v>0</v>
      </c>
      <c r="AM23" s="291">
        <v>0</v>
      </c>
      <c r="AN23" s="291">
        <v>302.02029324844085</v>
      </c>
      <c r="AO23" s="291">
        <v>149.54679811948694</v>
      </c>
      <c r="AP23" s="291">
        <v>0</v>
      </c>
      <c r="AQ23" s="291">
        <v>0</v>
      </c>
      <c r="AR23" s="291">
        <v>259.18690245716209</v>
      </c>
      <c r="AS23" s="291">
        <v>270.59747036971515</v>
      </c>
      <c r="AT23" s="291">
        <v>0</v>
      </c>
      <c r="AU23" s="291">
        <v>0</v>
      </c>
      <c r="AV23" s="153">
        <v>0</v>
      </c>
    </row>
    <row r="24" spans="2:48">
      <c r="B24" s="75" t="s">
        <v>126</v>
      </c>
      <c r="C24" s="73">
        <v>222.2485396990991</v>
      </c>
      <c r="D24" s="73">
        <v>0</v>
      </c>
      <c r="E24" s="73">
        <v>0</v>
      </c>
      <c r="F24" s="73">
        <v>0</v>
      </c>
      <c r="G24" s="73">
        <v>0</v>
      </c>
      <c r="H24" s="73">
        <v>0</v>
      </c>
      <c r="I24" s="73">
        <v>47.356712562162166</v>
      </c>
      <c r="J24" s="73">
        <v>0</v>
      </c>
      <c r="K24" s="73">
        <v>141.05065084324326</v>
      </c>
      <c r="L24" s="73">
        <v>0</v>
      </c>
      <c r="M24" s="73">
        <v>0</v>
      </c>
      <c r="N24" s="73">
        <v>0</v>
      </c>
      <c r="O24" s="73">
        <v>0</v>
      </c>
      <c r="P24" s="73"/>
      <c r="R24" s="75" t="s">
        <v>126</v>
      </c>
      <c r="S24" s="4">
        <v>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2</v>
      </c>
      <c r="Z24" s="4">
        <v>0</v>
      </c>
      <c r="AA24" s="4">
        <v>2</v>
      </c>
      <c r="AB24" s="4">
        <v>0</v>
      </c>
      <c r="AC24" s="4">
        <v>0</v>
      </c>
      <c r="AD24" s="4">
        <v>0</v>
      </c>
      <c r="AE24" s="4">
        <v>0</v>
      </c>
      <c r="AF24" s="4"/>
      <c r="AI24" s="5" t="s">
        <v>137</v>
      </c>
      <c r="AJ24" s="152">
        <v>136.27500000000001</v>
      </c>
      <c r="AK24" s="291">
        <v>92.841342855635048</v>
      </c>
      <c r="AL24" s="291">
        <v>82.111872270149291</v>
      </c>
      <c r="AM24" s="291">
        <v>0</v>
      </c>
      <c r="AN24" s="291">
        <v>112.47188661205158</v>
      </c>
      <c r="AO24" s="291">
        <v>66.354945682844757</v>
      </c>
      <c r="AP24" s="291">
        <v>25.139985156249999</v>
      </c>
      <c r="AQ24" s="291">
        <v>15.120975000000001</v>
      </c>
      <c r="AR24" s="291">
        <v>91.146537497713624</v>
      </c>
      <c r="AS24" s="291">
        <v>108.23898814788608</v>
      </c>
      <c r="AT24" s="291">
        <v>161.71115447607775</v>
      </c>
      <c r="AU24" s="291">
        <v>100.05515052608271</v>
      </c>
      <c r="AV24" s="153">
        <v>31.914000000000005</v>
      </c>
    </row>
    <row r="25" spans="2:48">
      <c r="B25" s="75" t="s">
        <v>231</v>
      </c>
      <c r="C25" s="73">
        <v>216.63489438558557</v>
      </c>
      <c r="D25" s="73">
        <v>0</v>
      </c>
      <c r="E25" s="73">
        <v>0</v>
      </c>
      <c r="F25" s="73">
        <v>0</v>
      </c>
      <c r="G25" s="73">
        <v>0</v>
      </c>
      <c r="H25" s="73">
        <v>0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/>
      <c r="R25" s="75" t="s">
        <v>231</v>
      </c>
      <c r="S25" s="4">
        <v>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/>
      <c r="AI25" s="5" t="s">
        <v>141</v>
      </c>
      <c r="AJ25" s="152">
        <v>507.8125</v>
      </c>
      <c r="AK25" s="291">
        <v>226.58572490281267</v>
      </c>
      <c r="AL25" s="291">
        <v>248.04423381981027</v>
      </c>
      <c r="AM25" s="291">
        <v>62.699734039628645</v>
      </c>
      <c r="AN25" s="291">
        <v>343.28127376735705</v>
      </c>
      <c r="AO25" s="291">
        <v>203.68936919235239</v>
      </c>
      <c r="AP25" s="291">
        <v>104.72285156250001</v>
      </c>
      <c r="AQ25" s="291">
        <v>56.346506088332418</v>
      </c>
      <c r="AR25" s="291">
        <v>316.101015625</v>
      </c>
      <c r="AS25" s="291">
        <v>271.76296509228143</v>
      </c>
      <c r="AT25" s="291">
        <v>405.70970370378473</v>
      </c>
      <c r="AU25" s="291">
        <v>299.71662500000002</v>
      </c>
      <c r="AV25" s="153">
        <v>140.03859287547129</v>
      </c>
    </row>
    <row r="26" spans="2:48">
      <c r="B26" s="75" t="s">
        <v>137</v>
      </c>
      <c r="C26" s="73">
        <v>327.19659243243251</v>
      </c>
      <c r="D26" s="73">
        <v>0</v>
      </c>
      <c r="E26" s="73">
        <v>0</v>
      </c>
      <c r="F26" s="73">
        <v>0</v>
      </c>
      <c r="G26" s="73">
        <v>0</v>
      </c>
      <c r="H26" s="73">
        <v>0</v>
      </c>
      <c r="I26" s="73">
        <v>34.607309837837846</v>
      </c>
      <c r="J26" s="73">
        <v>32.815905590140545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/>
      <c r="R26" s="75" t="s">
        <v>137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3</v>
      </c>
      <c r="Z26" s="4">
        <v>1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/>
      <c r="AI26" s="5" t="s">
        <v>146</v>
      </c>
      <c r="AJ26" s="152">
        <v>133.75089423076923</v>
      </c>
      <c r="AK26" s="291">
        <v>89.168968085043943</v>
      </c>
      <c r="AL26" s="291">
        <v>90.602209455291899</v>
      </c>
      <c r="AM26" s="291">
        <v>55.368232132467121</v>
      </c>
      <c r="AN26" s="291">
        <v>94.635869465287769</v>
      </c>
      <c r="AO26" s="291">
        <v>39.066905124507116</v>
      </c>
      <c r="AP26" s="291">
        <v>26.480809652037333</v>
      </c>
      <c r="AQ26" s="291">
        <v>16.985682692307691</v>
      </c>
      <c r="AR26" s="291">
        <v>85.319477237072149</v>
      </c>
      <c r="AS26" s="291">
        <v>74.217456580803457</v>
      </c>
      <c r="AT26" s="291">
        <v>0</v>
      </c>
      <c r="AU26" s="291">
        <v>72.529942307692309</v>
      </c>
      <c r="AV26" s="153">
        <v>21.004182561138414</v>
      </c>
    </row>
    <row r="27" spans="2:48" ht="15.75" thickBot="1">
      <c r="B27" s="75" t="s">
        <v>141</v>
      </c>
      <c r="C27" s="73">
        <v>0</v>
      </c>
      <c r="D27" s="73">
        <v>0</v>
      </c>
      <c r="E27" s="73">
        <v>0</v>
      </c>
      <c r="F27" s="73">
        <v>0</v>
      </c>
      <c r="G27" s="73">
        <v>0</v>
      </c>
      <c r="H27" s="73">
        <v>0</v>
      </c>
      <c r="I27" s="73">
        <v>0</v>
      </c>
      <c r="J27" s="73">
        <v>0</v>
      </c>
      <c r="K27" s="73">
        <v>230.93444934054057</v>
      </c>
      <c r="L27" s="73">
        <v>0</v>
      </c>
      <c r="M27" s="73">
        <v>0</v>
      </c>
      <c r="N27" s="73">
        <v>227.59494570378385</v>
      </c>
      <c r="O27" s="73">
        <v>50.999351351351358</v>
      </c>
      <c r="P27" s="73"/>
      <c r="R27" s="76" t="s">
        <v>141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</v>
      </c>
      <c r="AF27" s="4"/>
      <c r="AI27" s="6" t="s">
        <v>150</v>
      </c>
      <c r="AJ27" s="292">
        <v>202.37884615384615</v>
      </c>
      <c r="AK27" s="293">
        <v>125.48153881334756</v>
      </c>
      <c r="AL27" s="293">
        <v>166.48328366042793</v>
      </c>
      <c r="AM27" s="293">
        <v>0</v>
      </c>
      <c r="AN27" s="293">
        <v>165.13873032376262</v>
      </c>
      <c r="AO27" s="293">
        <v>75.557306110641363</v>
      </c>
      <c r="AP27" s="293">
        <v>40.226735323757417</v>
      </c>
      <c r="AQ27" s="293">
        <v>20.228480674531728</v>
      </c>
      <c r="AR27" s="293">
        <v>141.54318546578529</v>
      </c>
      <c r="AS27" s="293">
        <v>145.06706219071333</v>
      </c>
      <c r="AT27" s="293">
        <v>241.01181676723129</v>
      </c>
      <c r="AU27" s="293">
        <v>120.64670418437468</v>
      </c>
      <c r="AV27" s="294">
        <v>30.097903658195087</v>
      </c>
    </row>
    <row r="28" spans="2:48" ht="15.75" thickBot="1">
      <c r="B28" s="75" t="s">
        <v>238</v>
      </c>
      <c r="C28" s="73">
        <v>0</v>
      </c>
      <c r="D28" s="73">
        <v>0</v>
      </c>
      <c r="E28" s="73">
        <v>0</v>
      </c>
      <c r="F28" s="73">
        <v>0</v>
      </c>
      <c r="G28" s="73">
        <v>0</v>
      </c>
      <c r="H28" s="73">
        <v>0</v>
      </c>
      <c r="I28" s="73">
        <v>32.981705513513518</v>
      </c>
      <c r="J28" s="73">
        <v>20.996527512648651</v>
      </c>
      <c r="K28" s="73">
        <v>0</v>
      </c>
      <c r="L28" s="73">
        <v>0</v>
      </c>
      <c r="M28" s="73">
        <v>0</v>
      </c>
      <c r="N28" s="73">
        <v>74.583226443243248</v>
      </c>
      <c r="O28" s="73">
        <v>14.571243243243245</v>
      </c>
      <c r="P28" s="73"/>
      <c r="R28" s="75" t="s">
        <v>238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</v>
      </c>
      <c r="Z28" s="4">
        <v>2</v>
      </c>
      <c r="AA28" s="4">
        <v>0</v>
      </c>
      <c r="AB28" s="4">
        <v>0</v>
      </c>
      <c r="AC28" s="4">
        <v>0</v>
      </c>
      <c r="AD28" s="4">
        <v>1</v>
      </c>
      <c r="AE28" s="4">
        <v>1</v>
      </c>
      <c r="AF28" s="87"/>
      <c r="AG28" s="348">
        <f>SUM(TbCountData[[#Totals],[US]:[VN]])</f>
        <v>212</v>
      </c>
    </row>
    <row r="29" spans="2:48">
      <c r="B29" s="75" t="s">
        <v>241</v>
      </c>
      <c r="C29" s="73">
        <v>134.70357370810811</v>
      </c>
      <c r="D29" s="73">
        <v>0</v>
      </c>
      <c r="E29" s="73">
        <v>0</v>
      </c>
      <c r="F29" s="73">
        <v>0</v>
      </c>
      <c r="G29" s="73">
        <v>182.34263633873874</v>
      </c>
      <c r="H29" s="73">
        <v>0</v>
      </c>
      <c r="I29" s="73">
        <v>56.941307027027037</v>
      </c>
      <c r="J29" s="73">
        <v>31.497486114162164</v>
      </c>
      <c r="K29" s="73">
        <v>0</v>
      </c>
      <c r="L29" s="73">
        <v>0</v>
      </c>
      <c r="M29" s="73">
        <v>0</v>
      </c>
      <c r="N29" s="73">
        <v>0</v>
      </c>
      <c r="O29" s="73">
        <v>58.28497297297298</v>
      </c>
      <c r="P29" s="73"/>
      <c r="R29" s="75" t="s">
        <v>241</v>
      </c>
      <c r="S29" s="4">
        <v>2</v>
      </c>
      <c r="T29" s="4">
        <v>0</v>
      </c>
      <c r="U29" s="4">
        <v>0</v>
      </c>
      <c r="V29" s="4">
        <v>0</v>
      </c>
      <c r="W29" s="4">
        <v>1</v>
      </c>
      <c r="X29" s="4">
        <v>0</v>
      </c>
      <c r="Y29" s="4">
        <v>2</v>
      </c>
      <c r="Z29" s="4">
        <v>2</v>
      </c>
      <c r="AA29" s="4">
        <v>0</v>
      </c>
      <c r="AB29" s="4">
        <v>0</v>
      </c>
      <c r="AC29" s="4">
        <v>0</v>
      </c>
      <c r="AD29" s="4">
        <v>0</v>
      </c>
      <c r="AE29" s="4">
        <v>1</v>
      </c>
    </row>
    <row r="30" spans="2:48">
      <c r="R30" s="86"/>
      <c r="S30" s="87">
        <f>SUBTOTAL(109,TbCountData[US])</f>
        <v>32</v>
      </c>
      <c r="T30" s="87">
        <f>SUBTOTAL(109,TbCountData[UK])</f>
        <v>0</v>
      </c>
      <c r="U30" s="87">
        <f>SUBTOTAL(109,TbCountData[DE])</f>
        <v>0</v>
      </c>
      <c r="V30" s="87">
        <f>SUBTOTAL(109,TbCountData[PL])</f>
        <v>0</v>
      </c>
      <c r="W30" s="87">
        <f>SUBTOTAL(109,TbCountData[NL])</f>
        <v>2</v>
      </c>
      <c r="X30" s="87">
        <f>SUBTOTAL(109,TbCountData[MX])</f>
        <v>0</v>
      </c>
      <c r="Y30" s="87">
        <f>SUBTOTAL(109,TbCountData[IN])</f>
        <v>60</v>
      </c>
      <c r="Z30" s="87">
        <f>SUBTOTAL(109,TbCountData[EG])</f>
        <v>31</v>
      </c>
      <c r="AA30" s="87">
        <f>SUBTOTAL(109,TbCountData[CA])</f>
        <v>9</v>
      </c>
      <c r="AB30" s="87">
        <f>SUBTOTAL(109,TbCountData[AU])</f>
        <v>0</v>
      </c>
      <c r="AC30" s="87">
        <f>SUBTOTAL(109,TbCountData[AE])</f>
        <v>1</v>
      </c>
      <c r="AD30" s="87">
        <f>SUBTOTAL(109,TbCountData[SG])</f>
        <v>12</v>
      </c>
      <c r="AE30" s="87">
        <f>SUBTOTAL(109,TbCountData[VN])</f>
        <v>65</v>
      </c>
    </row>
    <row r="34" spans="2:48" ht="15.75" thickBot="1"/>
    <row r="35" spans="2:48" ht="15.75" thickBot="1">
      <c r="B35" s="241" t="s">
        <v>563</v>
      </c>
      <c r="C35" s="77" t="s">
        <v>98</v>
      </c>
      <c r="D35" s="78" t="s">
        <v>105</v>
      </c>
      <c r="E35" s="78" t="s">
        <v>112</v>
      </c>
      <c r="F35" s="78" t="s">
        <v>120</v>
      </c>
      <c r="G35" s="78" t="s">
        <v>125</v>
      </c>
      <c r="H35" s="78" t="s">
        <v>131</v>
      </c>
      <c r="I35" s="78" t="s">
        <v>136</v>
      </c>
      <c r="J35" s="78" t="s">
        <v>140</v>
      </c>
      <c r="K35" s="78" t="s">
        <v>145</v>
      </c>
      <c r="L35" s="78" t="s">
        <v>149</v>
      </c>
      <c r="M35" s="78" t="s">
        <v>153</v>
      </c>
      <c r="N35" s="78" t="s">
        <v>156</v>
      </c>
      <c r="O35" s="78" t="s">
        <v>159</v>
      </c>
      <c r="P35" s="406" t="s">
        <v>352</v>
      </c>
      <c r="R35" s="241" t="s">
        <v>486</v>
      </c>
      <c r="S35" s="242" t="s">
        <v>98</v>
      </c>
      <c r="T35" s="243" t="s">
        <v>105</v>
      </c>
      <c r="U35" s="243" t="s">
        <v>112</v>
      </c>
      <c r="V35" s="243" t="s">
        <v>120</v>
      </c>
      <c r="W35" s="243" t="s">
        <v>125</v>
      </c>
      <c r="X35" s="243" t="s">
        <v>131</v>
      </c>
      <c r="Y35" s="243" t="s">
        <v>136</v>
      </c>
      <c r="Z35" s="243" t="s">
        <v>140</v>
      </c>
      <c r="AA35" s="243" t="s">
        <v>145</v>
      </c>
      <c r="AB35" s="243" t="s">
        <v>149</v>
      </c>
      <c r="AC35" s="243" t="s">
        <v>153</v>
      </c>
      <c r="AD35" s="243" t="s">
        <v>156</v>
      </c>
      <c r="AE35" s="243" t="s">
        <v>159</v>
      </c>
      <c r="AF35" s="241"/>
      <c r="AI35" s="351" t="s">
        <v>487</v>
      </c>
      <c r="AJ35" s="29" t="s">
        <v>98</v>
      </c>
      <c r="AK35" s="30" t="s">
        <v>105</v>
      </c>
      <c r="AL35" s="30" t="s">
        <v>112</v>
      </c>
      <c r="AM35" s="30" t="s">
        <v>120</v>
      </c>
      <c r="AN35" s="30" t="s">
        <v>125</v>
      </c>
      <c r="AO35" s="30" t="s">
        <v>131</v>
      </c>
      <c r="AP35" s="30" t="s">
        <v>136</v>
      </c>
      <c r="AQ35" s="30" t="s">
        <v>140</v>
      </c>
      <c r="AR35" s="30" t="s">
        <v>145</v>
      </c>
      <c r="AS35" s="30" t="s">
        <v>149</v>
      </c>
      <c r="AT35" s="30" t="s">
        <v>153</v>
      </c>
      <c r="AU35" s="30" t="s">
        <v>156</v>
      </c>
      <c r="AV35" s="80" t="s">
        <v>159</v>
      </c>
    </row>
    <row r="36" spans="2:48">
      <c r="B36" s="74" t="s">
        <v>99</v>
      </c>
      <c r="C36" s="72">
        <v>0</v>
      </c>
      <c r="D36" s="72">
        <v>0</v>
      </c>
      <c r="E36" s="72">
        <v>0</v>
      </c>
      <c r="F36" s="72">
        <v>0</v>
      </c>
      <c r="G36" s="72">
        <v>0</v>
      </c>
      <c r="H36" s="72">
        <v>0</v>
      </c>
      <c r="I36" s="72">
        <v>14.885700053418804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3"/>
      <c r="R36" s="74" t="s">
        <v>99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9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/>
      <c r="AI36" s="3" t="s">
        <v>99</v>
      </c>
      <c r="AJ36" s="149">
        <v>82.390000000000015</v>
      </c>
      <c r="AK36" s="150">
        <v>69.419036003760411</v>
      </c>
      <c r="AL36" s="150">
        <v>72.336969512592617</v>
      </c>
      <c r="AM36" s="150">
        <v>50.016881854974415</v>
      </c>
      <c r="AN36" s="150">
        <v>59.160346813272795</v>
      </c>
      <c r="AO36" s="150">
        <v>35.851941749499332</v>
      </c>
      <c r="AP36" s="150">
        <v>13.532454594017093</v>
      </c>
      <c r="AQ36" s="150">
        <v>9.2123963175440249</v>
      </c>
      <c r="AR36" s="150">
        <v>0</v>
      </c>
      <c r="AS36" s="150">
        <v>64.321795703363009</v>
      </c>
      <c r="AT36" s="150">
        <v>0</v>
      </c>
      <c r="AU36" s="150">
        <v>96.25714496592559</v>
      </c>
      <c r="AV36" s="151">
        <v>17.346449891672947</v>
      </c>
    </row>
    <row r="37" spans="2:48">
      <c r="B37" s="75" t="s">
        <v>106</v>
      </c>
      <c r="C37" s="73">
        <v>0</v>
      </c>
      <c r="D37" s="73">
        <v>0</v>
      </c>
      <c r="E37" s="73">
        <v>0</v>
      </c>
      <c r="F37" s="73">
        <v>0</v>
      </c>
      <c r="G37" s="73">
        <v>0</v>
      </c>
      <c r="H37" s="73">
        <v>43.003771250000007</v>
      </c>
      <c r="I37" s="73">
        <v>20.226942307692308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/>
      <c r="R37" s="75" t="s">
        <v>106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2</v>
      </c>
      <c r="Y37" s="4">
        <v>11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/>
      <c r="AI37" s="5" t="s">
        <v>106</v>
      </c>
      <c r="AJ37" s="152">
        <v>121.66</v>
      </c>
      <c r="AK37" s="291">
        <v>86.363289884899729</v>
      </c>
      <c r="AL37" s="291">
        <v>85.155044655468402</v>
      </c>
      <c r="AM37" s="291">
        <v>63.889345287395138</v>
      </c>
      <c r="AN37" s="291">
        <v>75.877626632477899</v>
      </c>
      <c r="AO37" s="291">
        <v>39.094337500000002</v>
      </c>
      <c r="AP37" s="291">
        <v>18.388129370629368</v>
      </c>
      <c r="AQ37" s="291">
        <v>9.9033260413575892</v>
      </c>
      <c r="AR37" s="291">
        <v>74.126273990539175</v>
      </c>
      <c r="AS37" s="291">
        <v>75.780804685810864</v>
      </c>
      <c r="AT37" s="291">
        <v>104.7528922883926</v>
      </c>
      <c r="AU37" s="291">
        <v>122.95081967213117</v>
      </c>
      <c r="AV37" s="153">
        <v>24.040499849869192</v>
      </c>
    </row>
    <row r="38" spans="2:48">
      <c r="B38" s="75" t="s">
        <v>113</v>
      </c>
      <c r="C38" s="73">
        <v>133.75266666666667</v>
      </c>
      <c r="D38" s="73">
        <v>0</v>
      </c>
      <c r="E38" s="73">
        <v>0</v>
      </c>
      <c r="F38" s="73">
        <v>0</v>
      </c>
      <c r="G38" s="73">
        <v>0</v>
      </c>
      <c r="H38" s="73">
        <v>50.666403333333342</v>
      </c>
      <c r="I38" s="73">
        <v>32.023679487179486</v>
      </c>
      <c r="J38" s="73">
        <v>0</v>
      </c>
      <c r="K38" s="73">
        <v>104.50000000000001</v>
      </c>
      <c r="L38" s="73">
        <v>104.44636583333335</v>
      </c>
      <c r="M38" s="73">
        <v>126.50000000000001</v>
      </c>
      <c r="N38" s="73">
        <v>0</v>
      </c>
      <c r="O38" s="73">
        <v>0</v>
      </c>
      <c r="P38" s="73"/>
      <c r="R38" s="75" t="s">
        <v>113</v>
      </c>
      <c r="S38" s="4">
        <v>2</v>
      </c>
      <c r="T38" s="4">
        <v>0</v>
      </c>
      <c r="U38" s="4">
        <v>0</v>
      </c>
      <c r="V38" s="4">
        <v>0</v>
      </c>
      <c r="W38" s="4">
        <v>0</v>
      </c>
      <c r="X38" s="4">
        <v>1</v>
      </c>
      <c r="Y38" s="4">
        <v>9</v>
      </c>
      <c r="Z38" s="4">
        <v>0</v>
      </c>
      <c r="AA38" s="4">
        <v>0</v>
      </c>
      <c r="AB38" s="4">
        <v>1</v>
      </c>
      <c r="AC38" s="4">
        <v>0</v>
      </c>
      <c r="AD38" s="4">
        <v>0</v>
      </c>
      <c r="AE38" s="4">
        <v>0</v>
      </c>
      <c r="AF38" s="4"/>
      <c r="AI38" s="5" t="s">
        <v>113</v>
      </c>
      <c r="AJ38" s="152">
        <v>121.59333333333333</v>
      </c>
      <c r="AK38" s="291">
        <v>118.3544712014869</v>
      </c>
      <c r="AL38" s="291">
        <v>104.91997870444818</v>
      </c>
      <c r="AM38" s="291">
        <v>77.723801970685912</v>
      </c>
      <c r="AN38" s="291">
        <v>99.706099654490544</v>
      </c>
      <c r="AO38" s="291">
        <v>46.060366666666674</v>
      </c>
      <c r="AP38" s="291">
        <v>29.112435897435891</v>
      </c>
      <c r="AQ38" s="291">
        <v>16.360794428798012</v>
      </c>
      <c r="AR38" s="291">
        <v>95</v>
      </c>
      <c r="AS38" s="291">
        <v>94.951241666666675</v>
      </c>
      <c r="AT38" s="291">
        <v>115</v>
      </c>
      <c r="AU38" s="291">
        <v>144.72400134493481</v>
      </c>
      <c r="AV38" s="153">
        <v>33.930599788106385</v>
      </c>
    </row>
    <row r="39" spans="2:48">
      <c r="B39" s="75" t="s">
        <v>91</v>
      </c>
      <c r="C39" s="73">
        <v>167.94266500000001</v>
      </c>
      <c r="D39" s="73">
        <v>123.9326523809524</v>
      </c>
      <c r="E39" s="73">
        <v>128.67874250000003</v>
      </c>
      <c r="F39" s="73">
        <v>0</v>
      </c>
      <c r="G39" s="73">
        <v>142.82407333333333</v>
      </c>
      <c r="H39" s="73">
        <v>71.637967500000016</v>
      </c>
      <c r="I39" s="73">
        <v>0</v>
      </c>
      <c r="J39" s="73">
        <v>0</v>
      </c>
      <c r="K39" s="73">
        <v>0</v>
      </c>
      <c r="L39" s="73">
        <v>0</v>
      </c>
      <c r="M39" s="73">
        <v>161.71111916666669</v>
      </c>
      <c r="N39" s="73">
        <v>0</v>
      </c>
      <c r="O39" s="73">
        <v>0</v>
      </c>
      <c r="P39" s="73"/>
      <c r="R39" s="75" t="s">
        <v>91</v>
      </c>
      <c r="S39" s="4">
        <v>1</v>
      </c>
      <c r="T39" s="4">
        <v>7</v>
      </c>
      <c r="U39" s="4">
        <v>1</v>
      </c>
      <c r="V39" s="4">
        <v>0</v>
      </c>
      <c r="W39" s="4">
        <v>1</v>
      </c>
      <c r="X39" s="4">
        <v>1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/>
      <c r="AI39" s="5" t="s">
        <v>91</v>
      </c>
      <c r="AJ39" s="152">
        <v>152.67515</v>
      </c>
      <c r="AK39" s="291">
        <v>112.66604761904763</v>
      </c>
      <c r="AL39" s="291">
        <v>116.98067500000001</v>
      </c>
      <c r="AM39" s="291">
        <v>91.824305897886163</v>
      </c>
      <c r="AN39" s="291">
        <v>129.84006666666664</v>
      </c>
      <c r="AO39" s="291">
        <v>65.125425000000007</v>
      </c>
      <c r="AP39" s="291">
        <v>43.436964639827309</v>
      </c>
      <c r="AQ39" s="291">
        <v>18.529419547388461</v>
      </c>
      <c r="AR39" s="291">
        <v>115.54440571902452</v>
      </c>
      <c r="AS39" s="291">
        <v>137.12974428523694</v>
      </c>
      <c r="AT39" s="291">
        <v>147.01010833333333</v>
      </c>
      <c r="AU39" s="291">
        <v>201.51469177211561</v>
      </c>
      <c r="AV39" s="153">
        <v>40.655999746106851</v>
      </c>
    </row>
    <row r="40" spans="2:48">
      <c r="B40" s="75" t="s">
        <v>126</v>
      </c>
      <c r="C40" s="73">
        <v>193.4216885219181</v>
      </c>
      <c r="D40" s="73">
        <v>0</v>
      </c>
      <c r="E40" s="73">
        <v>0</v>
      </c>
      <c r="F40" s="73">
        <v>0</v>
      </c>
      <c r="G40" s="73">
        <v>156.51697587710461</v>
      </c>
      <c r="H40" s="73">
        <v>0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/>
      <c r="R40" s="75" t="s">
        <v>126</v>
      </c>
      <c r="S40" s="4">
        <v>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/>
      <c r="AI40" s="5" t="s">
        <v>126</v>
      </c>
      <c r="AJ40" s="152">
        <v>175.83789865628916</v>
      </c>
      <c r="AK40" s="291">
        <v>129.75891009927119</v>
      </c>
      <c r="AL40" s="291">
        <v>0</v>
      </c>
      <c r="AM40" s="291">
        <v>111.11045067637265</v>
      </c>
      <c r="AN40" s="291">
        <v>149.53844475711441</v>
      </c>
      <c r="AO40" s="291">
        <v>103.82002017670085</v>
      </c>
      <c r="AP40" s="291">
        <v>53.372913815271197</v>
      </c>
      <c r="AQ40" s="291">
        <v>25.485363645462833</v>
      </c>
      <c r="AR40" s="291">
        <v>124.7112128148143</v>
      </c>
      <c r="AS40" s="291">
        <v>191.28977730605189</v>
      </c>
      <c r="AT40" s="291">
        <v>0</v>
      </c>
      <c r="AU40" s="291">
        <v>0</v>
      </c>
      <c r="AV40" s="153">
        <v>0</v>
      </c>
    </row>
    <row r="41" spans="2:48">
      <c r="B41" s="75" t="s">
        <v>132</v>
      </c>
      <c r="C41" s="73">
        <v>0</v>
      </c>
      <c r="D41" s="73">
        <v>0</v>
      </c>
      <c r="E41" s="73">
        <v>0</v>
      </c>
      <c r="F41" s="73">
        <v>0</v>
      </c>
      <c r="G41" s="73">
        <v>0</v>
      </c>
      <c r="H41" s="73">
        <v>0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/>
      <c r="R41" s="75" t="s">
        <v>132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/>
      <c r="AI41" s="5" t="s">
        <v>132</v>
      </c>
      <c r="AJ41" s="152">
        <v>456.98554687500001</v>
      </c>
      <c r="AK41" s="291">
        <v>334.55293848616492</v>
      </c>
      <c r="AL41" s="291">
        <v>0</v>
      </c>
      <c r="AM41" s="291">
        <v>0</v>
      </c>
      <c r="AN41" s="291">
        <v>302.02029324844085</v>
      </c>
      <c r="AO41" s="291">
        <v>149.54679811948694</v>
      </c>
      <c r="AP41" s="291">
        <v>0</v>
      </c>
      <c r="AQ41" s="291">
        <v>0</v>
      </c>
      <c r="AR41" s="291">
        <v>259.18690245716209</v>
      </c>
      <c r="AS41" s="291">
        <v>270.59747036971515</v>
      </c>
      <c r="AT41" s="291">
        <v>0</v>
      </c>
      <c r="AU41" s="291">
        <v>0</v>
      </c>
      <c r="AV41" s="153">
        <v>0</v>
      </c>
    </row>
    <row r="42" spans="2:48">
      <c r="B42" s="75" t="s">
        <v>137</v>
      </c>
      <c r="C42" s="73">
        <v>0</v>
      </c>
      <c r="D42" s="73">
        <v>100.98862812500001</v>
      </c>
      <c r="E42" s="73">
        <v>0</v>
      </c>
      <c r="F42" s="73">
        <v>0</v>
      </c>
      <c r="G42" s="73">
        <v>0</v>
      </c>
      <c r="H42" s="73">
        <v>0</v>
      </c>
      <c r="I42" s="73">
        <v>39.217805000000006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/>
      <c r="R42" s="75" t="s">
        <v>137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4">
        <v>1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/>
      <c r="AI42" s="5" t="s">
        <v>137</v>
      </c>
      <c r="AJ42" s="152">
        <v>111.12386029411765</v>
      </c>
      <c r="AK42" s="291">
        <v>91.807843750000004</v>
      </c>
      <c r="AL42" s="291">
        <v>82.111872270149291</v>
      </c>
      <c r="AM42" s="291">
        <v>0</v>
      </c>
      <c r="AN42" s="291">
        <v>112.47188661205158</v>
      </c>
      <c r="AO42" s="291">
        <v>66.354945682844757</v>
      </c>
      <c r="AP42" s="291">
        <v>35.652550000000005</v>
      </c>
      <c r="AQ42" s="291">
        <v>16.006639076007708</v>
      </c>
      <c r="AR42" s="291">
        <v>91.146537497713624</v>
      </c>
      <c r="AS42" s="291">
        <v>108.23898814788608</v>
      </c>
      <c r="AT42" s="291">
        <v>161.71115447607775</v>
      </c>
      <c r="AU42" s="291">
        <v>100.05515052608271</v>
      </c>
      <c r="AV42" s="153">
        <v>21.723899864336154</v>
      </c>
    </row>
    <row r="43" spans="2:48">
      <c r="B43" s="75" t="s">
        <v>141</v>
      </c>
      <c r="C43" s="73">
        <v>381.56250000000006</v>
      </c>
      <c r="D43" s="73">
        <v>277.30925520833341</v>
      </c>
      <c r="E43" s="73">
        <v>0</v>
      </c>
      <c r="F43" s="73">
        <v>0</v>
      </c>
      <c r="G43" s="73">
        <v>0</v>
      </c>
      <c r="H43" s="73">
        <v>0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/>
      <c r="R43" s="75" t="s">
        <v>141</v>
      </c>
      <c r="S43" s="4">
        <v>1</v>
      </c>
      <c r="T43" s="4">
        <v>3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/>
      <c r="AI43" s="5" t="s">
        <v>141</v>
      </c>
      <c r="AJ43" s="152">
        <v>346.875</v>
      </c>
      <c r="AK43" s="291">
        <v>252.09932291666669</v>
      </c>
      <c r="AL43" s="291">
        <v>248.04423381981027</v>
      </c>
      <c r="AM43" s="291">
        <v>62.699734039628645</v>
      </c>
      <c r="AN43" s="291">
        <v>343.28127376735705</v>
      </c>
      <c r="AO43" s="291">
        <v>203.68936919235239</v>
      </c>
      <c r="AP43" s="291">
        <v>52.48944301419295</v>
      </c>
      <c r="AQ43" s="291">
        <v>49.964993249825802</v>
      </c>
      <c r="AR43" s="291">
        <v>259.68654673927273</v>
      </c>
      <c r="AS43" s="291">
        <v>271.76296509228143</v>
      </c>
      <c r="AT43" s="291">
        <v>405.70970370378473</v>
      </c>
      <c r="AU43" s="291">
        <v>264.55338324900151</v>
      </c>
      <c r="AV43" s="153">
        <v>140.03859287547129</v>
      </c>
    </row>
    <row r="44" spans="2:48">
      <c r="B44" s="75" t="s">
        <v>146</v>
      </c>
      <c r="C44" s="73">
        <v>0</v>
      </c>
      <c r="D44" s="73">
        <v>0</v>
      </c>
      <c r="E44" s="73">
        <v>0</v>
      </c>
      <c r="F44" s="73">
        <v>0</v>
      </c>
      <c r="G44" s="73">
        <v>0</v>
      </c>
      <c r="H44" s="73">
        <v>0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/>
      <c r="R44" s="75" t="s">
        <v>146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/>
      <c r="AI44" s="5" t="s">
        <v>146</v>
      </c>
      <c r="AJ44" s="152">
        <v>127.81947115384617</v>
      </c>
      <c r="AK44" s="291">
        <v>89.168968085043943</v>
      </c>
      <c r="AL44" s="291">
        <v>90.602209455291899</v>
      </c>
      <c r="AM44" s="291">
        <v>55.368232132467121</v>
      </c>
      <c r="AN44" s="291">
        <v>94.635869465287769</v>
      </c>
      <c r="AO44" s="291">
        <v>39.066905124507116</v>
      </c>
      <c r="AP44" s="291">
        <v>26.480809652037333</v>
      </c>
      <c r="AQ44" s="291">
        <v>8.3590741633532648</v>
      </c>
      <c r="AR44" s="291">
        <v>85.319477237072149</v>
      </c>
      <c r="AS44" s="291">
        <v>74.217456580803457</v>
      </c>
      <c r="AT44" s="291">
        <v>0</v>
      </c>
      <c r="AU44" s="291">
        <v>0</v>
      </c>
      <c r="AV44" s="153">
        <v>21.004182561138414</v>
      </c>
    </row>
    <row r="45" spans="2:48" ht="15.75" thickBot="1">
      <c r="B45" s="75" t="s">
        <v>150</v>
      </c>
      <c r="C45" s="73">
        <v>0</v>
      </c>
      <c r="D45" s="73">
        <v>0</v>
      </c>
      <c r="E45" s="73">
        <v>0</v>
      </c>
      <c r="F45" s="73">
        <v>0</v>
      </c>
      <c r="G45" s="73">
        <v>0</v>
      </c>
      <c r="H45" s="73">
        <v>0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/>
      <c r="R45" s="76" t="s">
        <v>150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/>
      <c r="AI45" s="6" t="s">
        <v>150</v>
      </c>
      <c r="AJ45" s="292">
        <v>202.37884615384615</v>
      </c>
      <c r="AK45" s="293">
        <v>125.48153881334756</v>
      </c>
      <c r="AL45" s="293">
        <v>166.48328366042793</v>
      </c>
      <c r="AM45" s="293">
        <v>0</v>
      </c>
      <c r="AN45" s="293">
        <v>165.13873032376262</v>
      </c>
      <c r="AO45" s="293">
        <v>75.557306110641363</v>
      </c>
      <c r="AP45" s="293">
        <v>40.226735323757417</v>
      </c>
      <c r="AQ45" s="293">
        <v>19.524193678091375</v>
      </c>
      <c r="AR45" s="293">
        <v>141.54318546578529</v>
      </c>
      <c r="AS45" s="293">
        <v>145.06706219071333</v>
      </c>
      <c r="AT45" s="293">
        <v>241.01181676723129</v>
      </c>
      <c r="AU45" s="293">
        <v>120.64670418437468</v>
      </c>
      <c r="AV45" s="294">
        <v>30.097903658195087</v>
      </c>
    </row>
    <row r="46" spans="2:48" ht="15.75" thickBot="1">
      <c r="R46" s="86"/>
      <c r="S46" s="87">
        <f>SUBTOTAL(109,TbCountSec[US])</f>
        <v>6</v>
      </c>
      <c r="T46" s="87">
        <f>SUBTOTAL(109,TbCountSec[UK])</f>
        <v>11</v>
      </c>
      <c r="U46" s="87">
        <f>SUBTOTAL(109,TbCountSec[DE])</f>
        <v>1</v>
      </c>
      <c r="V46" s="87">
        <f>SUBTOTAL(109,TbCountSec[PL])</f>
        <v>0</v>
      </c>
      <c r="W46" s="87">
        <f>SUBTOTAL(109,TbCountSec[NL])</f>
        <v>1</v>
      </c>
      <c r="X46" s="87">
        <f>SUBTOTAL(109,TbCountSec[MX])</f>
        <v>4</v>
      </c>
      <c r="Y46" s="87">
        <f>SUBTOTAL(109,TbCountSec[IN])</f>
        <v>30</v>
      </c>
      <c r="Z46" s="87">
        <f>SUBTOTAL(109,TbCountSec[EG])</f>
        <v>0</v>
      </c>
      <c r="AA46" s="87">
        <f>SUBTOTAL(109,TbCountSec[CAN])</f>
        <v>0</v>
      </c>
      <c r="AB46" s="87">
        <f>SUBTOTAL(109,TbCountSec[AU])</f>
        <v>1</v>
      </c>
      <c r="AC46" s="87">
        <f>SUBTOTAL(109,TbCountSec[AE])</f>
        <v>1</v>
      </c>
      <c r="AD46" s="87">
        <f>SUBTOTAL(109,TbCountSec[SG])</f>
        <v>0</v>
      </c>
      <c r="AE46" s="87">
        <f>SUBTOTAL(109,TbCountSec[VN])</f>
        <v>0</v>
      </c>
      <c r="AF46" s="87"/>
      <c r="AG46" s="33">
        <f>SUM(TbCountSec[[#Totals],[US]:[VN]])</f>
        <v>55</v>
      </c>
    </row>
    <row r="49" spans="1:48" ht="15.75" thickBot="1"/>
    <row r="50" spans="1:48" ht="15.75" thickBot="1">
      <c r="A50" s="4"/>
      <c r="B50" s="28" t="s">
        <v>490</v>
      </c>
      <c r="C50" s="29" t="s">
        <v>98</v>
      </c>
      <c r="D50" s="30" t="s">
        <v>105</v>
      </c>
      <c r="E50" s="30" t="s">
        <v>112</v>
      </c>
      <c r="F50" s="30" t="s">
        <v>120</v>
      </c>
      <c r="G50" s="30" t="s">
        <v>125</v>
      </c>
      <c r="H50" s="30" t="s">
        <v>131</v>
      </c>
      <c r="I50" s="30" t="s">
        <v>136</v>
      </c>
      <c r="J50" s="30" t="s">
        <v>140</v>
      </c>
      <c r="K50" s="30" t="s">
        <v>145</v>
      </c>
      <c r="L50" s="30" t="s">
        <v>149</v>
      </c>
      <c r="M50" s="30" t="s">
        <v>153</v>
      </c>
      <c r="N50" s="30" t="s">
        <v>156</v>
      </c>
      <c r="O50" s="80" t="s">
        <v>159</v>
      </c>
      <c r="P50" s="80" t="s">
        <v>161</v>
      </c>
      <c r="R50" s="241" t="s">
        <v>489</v>
      </c>
      <c r="S50" s="242" t="s">
        <v>98</v>
      </c>
      <c r="T50" s="243" t="s">
        <v>105</v>
      </c>
      <c r="U50" s="243" t="s">
        <v>112</v>
      </c>
      <c r="V50" s="243" t="s">
        <v>120</v>
      </c>
      <c r="W50" s="243" t="s">
        <v>125</v>
      </c>
      <c r="X50" s="243" t="s">
        <v>131</v>
      </c>
      <c r="Y50" s="243" t="s">
        <v>136</v>
      </c>
      <c r="Z50" s="243" t="s">
        <v>140</v>
      </c>
      <c r="AA50" s="243" t="s">
        <v>145</v>
      </c>
      <c r="AB50" s="243" t="s">
        <v>149</v>
      </c>
      <c r="AC50" s="243" t="s">
        <v>153</v>
      </c>
      <c r="AD50" s="243" t="s">
        <v>156</v>
      </c>
      <c r="AE50" s="243" t="s">
        <v>159</v>
      </c>
      <c r="AF50" s="241"/>
      <c r="AI50" s="28" t="s">
        <v>490</v>
      </c>
      <c r="AJ50" s="29" t="s">
        <v>98</v>
      </c>
      <c r="AK50" s="30" t="s">
        <v>105</v>
      </c>
      <c r="AL50" s="30" t="s">
        <v>112</v>
      </c>
      <c r="AM50" s="30" t="s">
        <v>120</v>
      </c>
      <c r="AN50" s="30" t="s">
        <v>125</v>
      </c>
      <c r="AO50" s="30" t="s">
        <v>131</v>
      </c>
      <c r="AP50" s="30" t="s">
        <v>136</v>
      </c>
      <c r="AQ50" s="30" t="s">
        <v>140</v>
      </c>
      <c r="AR50" s="30" t="s">
        <v>145</v>
      </c>
      <c r="AS50" s="30" t="s">
        <v>149</v>
      </c>
      <c r="AT50" s="30" t="s">
        <v>153</v>
      </c>
      <c r="AU50" s="30" t="s">
        <v>156</v>
      </c>
      <c r="AV50" s="80" t="s">
        <v>159</v>
      </c>
    </row>
    <row r="51" spans="1:48">
      <c r="A51" s="4"/>
      <c r="B51" s="5" t="s">
        <v>116</v>
      </c>
      <c r="C51" s="152">
        <v>136.72243480392157</v>
      </c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153"/>
      <c r="P51" s="153"/>
      <c r="R51" s="5" t="s">
        <v>116</v>
      </c>
      <c r="S51" s="4">
        <v>4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I51" s="5" t="s">
        <v>116</v>
      </c>
      <c r="AJ51" s="152"/>
      <c r="AK51" s="291">
        <v>119.12969000000001</v>
      </c>
      <c r="AL51" s="291">
        <v>114.05187395833335</v>
      </c>
      <c r="AM51" s="291">
        <v>70.238766025641013</v>
      </c>
      <c r="AN51" s="291">
        <v>118.48153055555555</v>
      </c>
      <c r="AO51" s="291">
        <v>75.141087499999998</v>
      </c>
      <c r="AP51" s="291">
        <v>30.279238782051287</v>
      </c>
      <c r="AQ51" s="291">
        <v>20.53145833333333</v>
      </c>
      <c r="AR51" s="291">
        <v>97.980958333333319</v>
      </c>
      <c r="AS51" s="291">
        <v>119.66981132075473</v>
      </c>
      <c r="AT51" s="291">
        <v>132.51316385319791</v>
      </c>
      <c r="AU51" s="291">
        <v>182.55943536404163</v>
      </c>
      <c r="AV51" s="153">
        <v>42.886075949367083</v>
      </c>
    </row>
    <row r="52" spans="1:48">
      <c r="A52" s="4"/>
      <c r="B52" s="5" t="s">
        <v>134</v>
      </c>
      <c r="C52" s="152">
        <v>153.84554880952379</v>
      </c>
      <c r="D52" s="291"/>
      <c r="E52" s="291"/>
      <c r="F52" s="291"/>
      <c r="G52" s="291"/>
      <c r="H52" s="291"/>
      <c r="I52" s="291"/>
      <c r="J52" s="291"/>
      <c r="K52" s="291"/>
      <c r="L52" s="291"/>
      <c r="M52" s="291"/>
      <c r="N52" s="291"/>
      <c r="O52" s="153"/>
      <c r="P52" s="153"/>
      <c r="R52" s="5" t="s">
        <v>134</v>
      </c>
      <c r="S52" s="4">
        <v>2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I52" s="5" t="s">
        <v>134</v>
      </c>
      <c r="AJ52" s="152"/>
      <c r="AK52" s="291">
        <v>132.60299166666667</v>
      </c>
      <c r="AL52" s="291">
        <v>126.79757584054768</v>
      </c>
      <c r="AM52" s="291">
        <v>121.20569999999999</v>
      </c>
      <c r="AN52" s="291">
        <v>125.59144583333332</v>
      </c>
      <c r="AO52" s="291">
        <v>92.71637426900584</v>
      </c>
      <c r="AP52" s="291">
        <v>36.017783333333334</v>
      </c>
      <c r="AQ52" s="291">
        <v>22.628558333333334</v>
      </c>
      <c r="AR52" s="291">
        <v>114.86730119047623</v>
      </c>
      <c r="AS52" s="291">
        <v>130</v>
      </c>
      <c r="AT52" s="291">
        <v>172</v>
      </c>
      <c r="AU52" s="291">
        <v>210</v>
      </c>
      <c r="AV52" s="153">
        <v>0</v>
      </c>
    </row>
    <row r="53" spans="1:48">
      <c r="A53" s="4"/>
      <c r="B53" s="5"/>
      <c r="C53" s="152"/>
      <c r="D53" s="291"/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153" t="s">
        <v>492</v>
      </c>
      <c r="P53" s="153" t="s">
        <v>492</v>
      </c>
      <c r="R53" s="7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I53" s="5"/>
      <c r="AJ53" s="152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1"/>
      <c r="AV53" s="153" t="s">
        <v>492</v>
      </c>
    </row>
    <row r="54" spans="1:48">
      <c r="B54" s="5"/>
      <c r="C54" s="152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153" t="s">
        <v>492</v>
      </c>
      <c r="P54" s="153" t="s">
        <v>492</v>
      </c>
      <c r="R54" s="7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I54" s="5"/>
      <c r="AJ54" s="152"/>
      <c r="AK54" s="291"/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153" t="s">
        <v>492</v>
      </c>
    </row>
    <row r="55" spans="1:48">
      <c r="B55" s="5"/>
      <c r="C55" s="152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153" t="s">
        <v>492</v>
      </c>
      <c r="P55" s="153" t="s">
        <v>492</v>
      </c>
      <c r="R55" s="7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I55" s="5"/>
      <c r="AJ55" s="152"/>
      <c r="AK55" s="291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153" t="s">
        <v>492</v>
      </c>
    </row>
    <row r="56" spans="1:48">
      <c r="B56" s="5"/>
      <c r="C56" s="152"/>
      <c r="D56" s="291"/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153" t="s">
        <v>492</v>
      </c>
      <c r="P56" s="153" t="s">
        <v>492</v>
      </c>
      <c r="R56" s="7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I56" s="5"/>
      <c r="AJ56" s="152"/>
      <c r="AK56" s="291"/>
      <c r="AL56" s="291"/>
      <c r="AM56" s="291"/>
      <c r="AN56" s="291"/>
      <c r="AO56" s="291"/>
      <c r="AP56" s="291"/>
      <c r="AQ56" s="291"/>
      <c r="AR56" s="291"/>
      <c r="AS56" s="291"/>
      <c r="AT56" s="291"/>
      <c r="AU56" s="291"/>
      <c r="AV56" s="153" t="s">
        <v>492</v>
      </c>
    </row>
    <row r="57" spans="1:48">
      <c r="B57" s="5"/>
      <c r="C57" s="152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153" t="s">
        <v>492</v>
      </c>
      <c r="P57" s="153" t="s">
        <v>492</v>
      </c>
      <c r="R57" s="7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I57" s="5"/>
      <c r="AJ57" s="152"/>
      <c r="AK57" s="291"/>
      <c r="AL57" s="291"/>
      <c r="AM57" s="291"/>
      <c r="AN57" s="291"/>
      <c r="AO57" s="291"/>
      <c r="AP57" s="291"/>
      <c r="AQ57" s="291"/>
      <c r="AR57" s="291"/>
      <c r="AS57" s="291"/>
      <c r="AT57" s="291"/>
      <c r="AU57" s="291"/>
      <c r="AV57" s="153" t="s">
        <v>492</v>
      </c>
    </row>
    <row r="58" spans="1:48">
      <c r="B58" s="5"/>
      <c r="C58" s="152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153" t="s">
        <v>492</v>
      </c>
      <c r="P58" s="153" t="s">
        <v>492</v>
      </c>
      <c r="R58" s="7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I58" s="5"/>
      <c r="AJ58" s="152"/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153" t="s">
        <v>492</v>
      </c>
    </row>
    <row r="59" spans="1:48">
      <c r="B59" s="5"/>
      <c r="C59" s="152"/>
      <c r="D59" s="291"/>
      <c r="E59" s="291"/>
      <c r="F59" s="291"/>
      <c r="G59" s="291"/>
      <c r="H59" s="291"/>
      <c r="I59" s="291"/>
      <c r="J59" s="291"/>
      <c r="K59" s="291"/>
      <c r="L59" s="291"/>
      <c r="M59" s="291"/>
      <c r="N59" s="291"/>
      <c r="O59" s="153" t="s">
        <v>492</v>
      </c>
      <c r="P59" s="153" t="s">
        <v>492</v>
      </c>
      <c r="R59" s="7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I59" s="5"/>
      <c r="AJ59" s="152"/>
      <c r="AK59" s="291"/>
      <c r="AL59" s="291"/>
      <c r="AM59" s="291"/>
      <c r="AN59" s="291"/>
      <c r="AO59" s="291"/>
      <c r="AP59" s="291"/>
      <c r="AQ59" s="291"/>
      <c r="AR59" s="291"/>
      <c r="AS59" s="291"/>
      <c r="AT59" s="291"/>
      <c r="AU59" s="291"/>
      <c r="AV59" s="153" t="s">
        <v>492</v>
      </c>
    </row>
    <row r="60" spans="1:48" ht="15.75" thickBot="1">
      <c r="B60" s="6"/>
      <c r="C60" s="292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4" t="s">
        <v>492</v>
      </c>
      <c r="P60" s="294" t="s">
        <v>492</v>
      </c>
      <c r="R60" s="7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I60" s="6"/>
      <c r="AJ60" s="292"/>
      <c r="AK60" s="293"/>
      <c r="AL60" s="293"/>
      <c r="AM60" s="293"/>
      <c r="AN60" s="293"/>
      <c r="AO60" s="293"/>
      <c r="AP60" s="293"/>
      <c r="AQ60" s="293"/>
      <c r="AR60" s="293"/>
      <c r="AS60" s="293"/>
      <c r="AT60" s="293"/>
      <c r="AU60" s="293"/>
      <c r="AV60" s="294" t="s">
        <v>492</v>
      </c>
    </row>
    <row r="61" spans="1:48" ht="15.75" thickBot="1">
      <c r="R61" s="86"/>
      <c r="S61" s="87">
        <f>SUBTOTAL(109,TbCountAdv[US])</f>
        <v>6</v>
      </c>
      <c r="T61" s="87">
        <f>SUBTOTAL(109,TbCountAdv[UK])</f>
        <v>0</v>
      </c>
      <c r="U61" s="87">
        <f>SUBTOTAL(109,TbCountAdv[DE])</f>
        <v>0</v>
      </c>
      <c r="V61" s="87">
        <f>SUBTOTAL(109,TbCountAdv[PL])</f>
        <v>0</v>
      </c>
      <c r="W61" s="87">
        <f>SUBTOTAL(109,TbCountAdv[NL])</f>
        <v>0</v>
      </c>
      <c r="X61" s="87">
        <f>SUBTOTAL(109,TbCountAdv[MX])</f>
        <v>0</v>
      </c>
      <c r="Y61" s="87">
        <f>SUBTOTAL(109,TbCountAdv[IN])</f>
        <v>0</v>
      </c>
      <c r="Z61" s="87">
        <f>SUBTOTAL(109,TbCountAdv[EG])</f>
        <v>0</v>
      </c>
      <c r="AA61" s="87">
        <f>SUBTOTAL(109,TbCountAdv[CAN])</f>
        <v>0</v>
      </c>
      <c r="AB61" s="87">
        <f>SUBTOTAL(109,TbCountAdv[AU])</f>
        <v>0</v>
      </c>
      <c r="AC61" s="87">
        <f>SUBTOTAL(109,TbCountAdv[AE])</f>
        <v>0</v>
      </c>
      <c r="AD61" s="87">
        <f>SUBTOTAL(109,TbCountAdv[SG])</f>
        <v>0</v>
      </c>
      <c r="AE61" s="87">
        <f>SUBTOTAL(109,TbCountAdv[VN])</f>
        <v>0</v>
      </c>
      <c r="AF61" s="87"/>
      <c r="AG61" s="33">
        <f>SUM(TbCountAdv[[#Totals],[US]:[VN]])</f>
        <v>6</v>
      </c>
    </row>
    <row r="64" spans="1:48" ht="15.75" thickBot="1"/>
    <row r="65" spans="2:48" ht="15.75" thickBot="1">
      <c r="B65" s="28" t="s">
        <v>564</v>
      </c>
      <c r="C65" s="29" t="s">
        <v>98</v>
      </c>
      <c r="D65" s="30" t="s">
        <v>105</v>
      </c>
      <c r="E65" s="30" t="s">
        <v>112</v>
      </c>
      <c r="F65" s="30" t="s">
        <v>120</v>
      </c>
      <c r="G65" s="30" t="s">
        <v>125</v>
      </c>
      <c r="H65" s="30" t="s">
        <v>131</v>
      </c>
      <c r="I65" s="30" t="s">
        <v>136</v>
      </c>
      <c r="J65" s="30" t="s">
        <v>140</v>
      </c>
      <c r="K65" s="30" t="s">
        <v>145</v>
      </c>
      <c r="L65" s="30" t="s">
        <v>149</v>
      </c>
      <c r="M65" s="30" t="s">
        <v>153</v>
      </c>
      <c r="N65" s="30" t="s">
        <v>156</v>
      </c>
      <c r="O65" s="80" t="s">
        <v>159</v>
      </c>
      <c r="P65" s="80" t="s">
        <v>161</v>
      </c>
      <c r="R65" s="241" t="s">
        <v>493</v>
      </c>
      <c r="S65" s="242" t="s">
        <v>98</v>
      </c>
      <c r="T65" s="243" t="s">
        <v>105</v>
      </c>
      <c r="U65" s="243" t="s">
        <v>112</v>
      </c>
      <c r="V65" s="243" t="s">
        <v>120</v>
      </c>
      <c r="W65" s="243" t="s">
        <v>125</v>
      </c>
      <c r="X65" s="243" t="s">
        <v>131</v>
      </c>
      <c r="Y65" s="243" t="s">
        <v>136</v>
      </c>
      <c r="Z65" s="243" t="s">
        <v>140</v>
      </c>
      <c r="AA65" s="243" t="s">
        <v>145</v>
      </c>
      <c r="AB65" s="243" t="s">
        <v>149</v>
      </c>
      <c r="AC65" s="243" t="s">
        <v>153</v>
      </c>
      <c r="AD65" s="243" t="s">
        <v>156</v>
      </c>
      <c r="AE65" s="243" t="s">
        <v>159</v>
      </c>
      <c r="AF65" s="241"/>
      <c r="AI65" s="28" t="s">
        <v>494</v>
      </c>
      <c r="AJ65" s="29" t="s">
        <v>98</v>
      </c>
      <c r="AK65" s="30" t="s">
        <v>105</v>
      </c>
      <c r="AL65" s="30" t="s">
        <v>112</v>
      </c>
      <c r="AM65" s="30" t="s">
        <v>120</v>
      </c>
      <c r="AN65" s="30" t="s">
        <v>125</v>
      </c>
      <c r="AO65" s="30" t="s">
        <v>131</v>
      </c>
      <c r="AP65" s="30" t="s">
        <v>136</v>
      </c>
      <c r="AQ65" s="30" t="s">
        <v>140</v>
      </c>
      <c r="AR65" s="30" t="s">
        <v>145</v>
      </c>
      <c r="AS65" s="30" t="s">
        <v>149</v>
      </c>
      <c r="AT65" s="30" t="s">
        <v>153</v>
      </c>
      <c r="AU65" s="30" t="s">
        <v>156</v>
      </c>
      <c r="AV65" s="80" t="s">
        <v>159</v>
      </c>
    </row>
    <row r="66" spans="2:48">
      <c r="B66" s="3" t="s">
        <v>208</v>
      </c>
      <c r="C66" s="149">
        <v>150</v>
      </c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1"/>
      <c r="P66" s="151"/>
      <c r="R66" s="74" t="s">
        <v>208</v>
      </c>
      <c r="S66" s="4">
        <v>1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I66" s="3" t="s">
        <v>208</v>
      </c>
      <c r="AJ66" s="149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1"/>
    </row>
    <row r="67" spans="2:48">
      <c r="B67" s="5" t="s">
        <v>212</v>
      </c>
      <c r="C67" s="152">
        <v>132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153"/>
      <c r="P67" s="153"/>
      <c r="R67" s="75" t="s">
        <v>212</v>
      </c>
      <c r="S67" s="4">
        <v>1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I67" s="5" t="s">
        <v>212</v>
      </c>
      <c r="AJ67" s="152"/>
      <c r="AK67" s="291"/>
      <c r="AL67" s="291"/>
      <c r="AM67" s="291"/>
      <c r="AN67" s="291"/>
      <c r="AO67" s="291"/>
      <c r="AP67" s="291"/>
      <c r="AQ67" s="291"/>
      <c r="AR67" s="291"/>
      <c r="AS67" s="291"/>
      <c r="AT67" s="291"/>
      <c r="AU67" s="291"/>
      <c r="AV67" s="153"/>
    </row>
    <row r="68" spans="2:48">
      <c r="B68" s="5" t="s">
        <v>216</v>
      </c>
      <c r="C68" s="152">
        <v>99</v>
      </c>
      <c r="D68" s="291"/>
      <c r="E68" s="291"/>
      <c r="F68" s="291"/>
      <c r="G68" s="291"/>
      <c r="H68" s="291"/>
      <c r="I68" s="291"/>
      <c r="J68" s="291"/>
      <c r="K68" s="291"/>
      <c r="L68" s="291"/>
      <c r="M68" s="291"/>
      <c r="N68" s="291"/>
      <c r="O68" s="153"/>
      <c r="P68" s="153"/>
      <c r="R68" s="5" t="s">
        <v>216</v>
      </c>
      <c r="S68" s="4">
        <v>1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I68" s="5" t="s">
        <v>216</v>
      </c>
      <c r="AJ68" s="152"/>
      <c r="AK68" s="291"/>
      <c r="AL68" s="291"/>
      <c r="AM68" s="291"/>
      <c r="AN68" s="291"/>
      <c r="AO68" s="291"/>
      <c r="AP68" s="291"/>
      <c r="AQ68" s="291"/>
      <c r="AR68" s="291"/>
      <c r="AS68" s="291"/>
      <c r="AT68" s="291"/>
      <c r="AU68" s="291"/>
      <c r="AV68" s="153"/>
    </row>
    <row r="69" spans="2:48">
      <c r="B69" s="5" t="s">
        <v>179</v>
      </c>
      <c r="C69" s="152">
        <v>150</v>
      </c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  <c r="O69" s="153"/>
      <c r="P69" s="153"/>
      <c r="R69" s="75" t="s">
        <v>179</v>
      </c>
      <c r="S69" s="4">
        <v>1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I69" s="5" t="s">
        <v>179</v>
      </c>
      <c r="AJ69" s="152"/>
      <c r="AK69" s="291"/>
      <c r="AL69" s="291"/>
      <c r="AM69" s="291"/>
      <c r="AN69" s="291"/>
      <c r="AO69" s="291"/>
      <c r="AP69" s="291"/>
      <c r="AQ69" s="291"/>
      <c r="AR69" s="291"/>
      <c r="AS69" s="291"/>
      <c r="AT69" s="291"/>
      <c r="AU69" s="291"/>
      <c r="AV69" s="153"/>
    </row>
    <row r="70" spans="2:48">
      <c r="B70" s="5" t="s">
        <v>152</v>
      </c>
      <c r="C70" s="152">
        <v>132</v>
      </c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153"/>
      <c r="P70" s="153"/>
      <c r="R70" s="75" t="s">
        <v>152</v>
      </c>
      <c r="S70" s="4">
        <v>1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I70" s="5" t="s">
        <v>152</v>
      </c>
      <c r="AJ70" s="152"/>
      <c r="AK70" s="291"/>
      <c r="AL70" s="291"/>
      <c r="AM70" s="291"/>
      <c r="AN70" s="291"/>
      <c r="AO70" s="291"/>
      <c r="AP70" s="291"/>
      <c r="AQ70" s="291"/>
      <c r="AR70" s="291"/>
      <c r="AS70" s="291"/>
      <c r="AT70" s="291"/>
      <c r="AU70" s="291"/>
      <c r="AV70" s="153"/>
    </row>
    <row r="71" spans="2:48">
      <c r="B71" s="5"/>
      <c r="C71" s="152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153" t="s">
        <v>492</v>
      </c>
      <c r="P71" s="153" t="s">
        <v>492</v>
      </c>
      <c r="R71" s="75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 t="s">
        <v>492</v>
      </c>
      <c r="AF71" s="4"/>
      <c r="AI71" s="5"/>
      <c r="AJ71" s="152"/>
      <c r="AK71" s="291"/>
      <c r="AL71" s="291"/>
      <c r="AM71" s="291"/>
      <c r="AN71" s="291"/>
      <c r="AO71" s="291"/>
      <c r="AP71" s="291"/>
      <c r="AQ71" s="291"/>
      <c r="AR71" s="291"/>
      <c r="AS71" s="291"/>
      <c r="AT71" s="291"/>
      <c r="AU71" s="291"/>
      <c r="AV71" s="153"/>
    </row>
    <row r="72" spans="2:48">
      <c r="B72" s="5"/>
      <c r="C72" s="152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153" t="s">
        <v>492</v>
      </c>
      <c r="P72" s="153" t="s">
        <v>492</v>
      </c>
      <c r="R72" s="75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 t="s">
        <v>492</v>
      </c>
      <c r="AF72" s="4"/>
      <c r="AI72" s="5"/>
      <c r="AJ72" s="152"/>
      <c r="AK72" s="291"/>
      <c r="AL72" s="291"/>
      <c r="AM72" s="291"/>
      <c r="AN72" s="291"/>
      <c r="AO72" s="291"/>
      <c r="AP72" s="291"/>
      <c r="AQ72" s="291"/>
      <c r="AR72" s="291"/>
      <c r="AS72" s="291"/>
      <c r="AT72" s="291"/>
      <c r="AU72" s="291"/>
      <c r="AV72" s="153"/>
    </row>
    <row r="73" spans="2:48">
      <c r="B73" s="5"/>
      <c r="C73" s="152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153" t="s">
        <v>492</v>
      </c>
      <c r="P73" s="153" t="s">
        <v>492</v>
      </c>
      <c r="R73" s="75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 t="s">
        <v>492</v>
      </c>
      <c r="AF73" s="4"/>
      <c r="AI73" s="5"/>
      <c r="AJ73" s="152"/>
      <c r="AK73" s="291"/>
      <c r="AL73" s="291"/>
      <c r="AM73" s="291"/>
      <c r="AN73" s="291"/>
      <c r="AO73" s="291"/>
      <c r="AP73" s="291"/>
      <c r="AQ73" s="291"/>
      <c r="AR73" s="291"/>
      <c r="AS73" s="291"/>
      <c r="AT73" s="291"/>
      <c r="AU73" s="291"/>
      <c r="AV73" s="153"/>
    </row>
    <row r="74" spans="2:48">
      <c r="B74" s="5"/>
      <c r="C74" s="152"/>
      <c r="D74" s="291"/>
      <c r="E74" s="291"/>
      <c r="F74" s="291"/>
      <c r="G74" s="291"/>
      <c r="H74" s="291"/>
      <c r="I74" s="291"/>
      <c r="J74" s="291"/>
      <c r="K74" s="291"/>
      <c r="L74" s="291"/>
      <c r="M74" s="291"/>
      <c r="N74" s="291"/>
      <c r="O74" s="153" t="s">
        <v>492</v>
      </c>
      <c r="P74" s="153" t="s">
        <v>492</v>
      </c>
      <c r="R74" s="75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 t="s">
        <v>492</v>
      </c>
      <c r="AF74" s="4"/>
      <c r="AI74" s="5"/>
      <c r="AJ74" s="152"/>
      <c r="AK74" s="291"/>
      <c r="AL74" s="291"/>
      <c r="AM74" s="291"/>
      <c r="AN74" s="291"/>
      <c r="AO74" s="291"/>
      <c r="AP74" s="291"/>
      <c r="AQ74" s="291"/>
      <c r="AR74" s="291"/>
      <c r="AS74" s="291"/>
      <c r="AT74" s="291"/>
      <c r="AU74" s="291"/>
      <c r="AV74" s="153"/>
    </row>
    <row r="75" spans="2:48" ht="15.75" thickBot="1">
      <c r="B75" s="6"/>
      <c r="C75" s="292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4" t="s">
        <v>492</v>
      </c>
      <c r="P75" s="294" t="s">
        <v>492</v>
      </c>
      <c r="R75" s="7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 t="s">
        <v>492</v>
      </c>
      <c r="AF75" s="4"/>
      <c r="AI75" s="6"/>
      <c r="AJ75" s="292"/>
      <c r="AK75" s="293"/>
      <c r="AL75" s="293"/>
      <c r="AM75" s="293"/>
      <c r="AN75" s="293"/>
      <c r="AO75" s="293"/>
      <c r="AP75" s="293"/>
      <c r="AQ75" s="293"/>
      <c r="AR75" s="293"/>
      <c r="AS75" s="293"/>
      <c r="AT75" s="293"/>
      <c r="AU75" s="293"/>
      <c r="AV75" s="294"/>
    </row>
    <row r="76" spans="2:48" ht="15.75" thickBot="1">
      <c r="R76" s="86"/>
      <c r="S76" s="87">
        <f>SUBTOTAL(109,TbCountProd[US])</f>
        <v>5</v>
      </c>
      <c r="T76" s="87">
        <f>SUBTOTAL(109,TbCountProd[UK])</f>
        <v>0</v>
      </c>
      <c r="U76" s="87">
        <f>SUBTOTAL(109,TbCountProd[DE])</f>
        <v>0</v>
      </c>
      <c r="V76" s="87">
        <f>SUBTOTAL(109,TbCountProd[PL])</f>
        <v>0</v>
      </c>
      <c r="W76" s="87">
        <f>SUBTOTAL(109,TbCountProd[NL])</f>
        <v>0</v>
      </c>
      <c r="X76" s="87">
        <f>SUBTOTAL(109,TbCountProd[MX])</f>
        <v>0</v>
      </c>
      <c r="Y76" s="87">
        <f>SUBTOTAL(109,TbCountProd[IN])</f>
        <v>0</v>
      </c>
      <c r="Z76" s="87">
        <f>SUBTOTAL(109,TbCountProd[EG])</f>
        <v>0</v>
      </c>
      <c r="AA76" s="87">
        <f>SUBTOTAL(109,TbCountProd[CAN])</f>
        <v>0</v>
      </c>
      <c r="AB76" s="87">
        <f>SUBTOTAL(109,TbCountProd[AU])</f>
        <v>0</v>
      </c>
      <c r="AC76" s="87">
        <f>SUBTOTAL(109,TbCountProd[AE])</f>
        <v>0</v>
      </c>
      <c r="AD76" s="87">
        <f>SUBTOTAL(109,TbCountProd[SG])</f>
        <v>0</v>
      </c>
      <c r="AE76" s="87">
        <f>SUBTOTAL(109,TbCountProd[VN])</f>
        <v>0</v>
      </c>
      <c r="AF76" s="87"/>
      <c r="AG76" s="33">
        <f>SUM(TbCountProd[[#Totals],[US]:[VN]])</f>
        <v>5</v>
      </c>
    </row>
    <row r="78" spans="2:48" ht="15.75" thickBot="1"/>
    <row r="79" spans="2:48" ht="15.75" thickBot="1">
      <c r="B79" s="38" t="s">
        <v>130</v>
      </c>
      <c r="C79" s="39" t="s">
        <v>98</v>
      </c>
      <c r="D79" s="40" t="s">
        <v>105</v>
      </c>
      <c r="E79" s="40" t="s">
        <v>112</v>
      </c>
      <c r="F79" s="40" t="s">
        <v>120</v>
      </c>
      <c r="G79" s="40" t="s">
        <v>125</v>
      </c>
      <c r="H79" s="40" t="s">
        <v>131</v>
      </c>
      <c r="I79" s="40" t="s">
        <v>136</v>
      </c>
      <c r="J79" s="40" t="s">
        <v>140</v>
      </c>
      <c r="K79" s="40" t="s">
        <v>145</v>
      </c>
      <c r="L79" s="40" t="s">
        <v>149</v>
      </c>
      <c r="M79" s="40" t="s">
        <v>153</v>
      </c>
      <c r="N79" s="40" t="s">
        <v>156</v>
      </c>
      <c r="O79" s="358" t="s">
        <v>159</v>
      </c>
      <c r="P79" s="358" t="s">
        <v>161</v>
      </c>
      <c r="R79" s="38" t="s">
        <v>496</v>
      </c>
      <c r="S79" s="1" t="s">
        <v>98</v>
      </c>
      <c r="T79" s="1" t="s">
        <v>105</v>
      </c>
      <c r="U79" s="1" t="s">
        <v>112</v>
      </c>
      <c r="V79" s="1" t="s">
        <v>120</v>
      </c>
      <c r="W79" s="1" t="s">
        <v>125</v>
      </c>
      <c r="X79" s="1" t="s">
        <v>131</v>
      </c>
      <c r="Y79" s="1" t="s">
        <v>136</v>
      </c>
      <c r="Z79" s="1" t="s">
        <v>140</v>
      </c>
      <c r="AA79" s="1" t="s">
        <v>145</v>
      </c>
      <c r="AB79" s="1" t="s">
        <v>149</v>
      </c>
      <c r="AC79" s="71" t="s">
        <v>153</v>
      </c>
      <c r="AD79" s="71" t="s">
        <v>156</v>
      </c>
      <c r="AE79" s="71" t="s">
        <v>159</v>
      </c>
      <c r="AF79" s="71"/>
      <c r="AI79" s="38" t="s">
        <v>497</v>
      </c>
      <c r="AJ79" s="39" t="s">
        <v>98</v>
      </c>
      <c r="AK79" s="40" t="s">
        <v>105</v>
      </c>
      <c r="AL79" s="40" t="s">
        <v>112</v>
      </c>
      <c r="AM79" s="40" t="s">
        <v>120</v>
      </c>
      <c r="AN79" s="40" t="s">
        <v>125</v>
      </c>
      <c r="AO79" s="40" t="s">
        <v>131</v>
      </c>
      <c r="AP79" s="40" t="s">
        <v>136</v>
      </c>
      <c r="AQ79" s="40" t="s">
        <v>140</v>
      </c>
      <c r="AR79" s="40" t="s">
        <v>145</v>
      </c>
      <c r="AS79" s="40" t="s">
        <v>149</v>
      </c>
      <c r="AT79" s="40" t="s">
        <v>153</v>
      </c>
      <c r="AU79" s="40" t="s">
        <v>156</v>
      </c>
      <c r="AV79" s="358" t="s">
        <v>159</v>
      </c>
    </row>
    <row r="80" spans="2:48">
      <c r="B80" s="315" t="s">
        <v>209</v>
      </c>
      <c r="C80" s="317">
        <v>0</v>
      </c>
      <c r="D80" s="72">
        <v>0</v>
      </c>
      <c r="E80" s="72">
        <v>0</v>
      </c>
      <c r="F80" s="72">
        <v>0</v>
      </c>
      <c r="G80" s="72">
        <v>0</v>
      </c>
      <c r="H80" s="72">
        <v>0</v>
      </c>
      <c r="I80" s="72">
        <v>0</v>
      </c>
      <c r="J80" s="72">
        <v>0</v>
      </c>
      <c r="K80" s="72">
        <v>0</v>
      </c>
      <c r="L80" s="72">
        <v>0</v>
      </c>
      <c r="M80" s="72">
        <v>0</v>
      </c>
      <c r="N80" s="72">
        <v>0</v>
      </c>
      <c r="O80" s="318">
        <v>0</v>
      </c>
      <c r="P80" s="318">
        <v>0</v>
      </c>
      <c r="R80" s="3" t="s">
        <v>209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/>
      <c r="AI80" s="315" t="s">
        <v>209</v>
      </c>
      <c r="AJ80" s="317">
        <v>69</v>
      </c>
      <c r="AK80" s="72">
        <v>58</v>
      </c>
      <c r="AL80" s="72">
        <v>61</v>
      </c>
      <c r="AM80" s="72">
        <v>44</v>
      </c>
      <c r="AN80" s="72">
        <v>50</v>
      </c>
      <c r="AO80" s="72">
        <v>30</v>
      </c>
      <c r="AP80" s="72">
        <v>15</v>
      </c>
      <c r="AQ80" s="72">
        <v>0</v>
      </c>
      <c r="AR80" s="72">
        <v>0</v>
      </c>
      <c r="AS80" s="72">
        <v>54</v>
      </c>
      <c r="AT80" s="72">
        <v>0</v>
      </c>
      <c r="AU80" s="72">
        <v>81</v>
      </c>
      <c r="AV80" s="318">
        <v>15</v>
      </c>
    </row>
    <row r="81" spans="2:49">
      <c r="B81" s="316" t="s">
        <v>213</v>
      </c>
      <c r="C81" s="319">
        <v>112</v>
      </c>
      <c r="D81" s="73">
        <v>0</v>
      </c>
      <c r="E81" s="73">
        <v>0</v>
      </c>
      <c r="F81" s="73">
        <v>0</v>
      </c>
      <c r="G81" s="73">
        <v>0</v>
      </c>
      <c r="H81" s="73">
        <v>0</v>
      </c>
      <c r="I81" s="73">
        <v>24</v>
      </c>
      <c r="J81" s="73">
        <v>0</v>
      </c>
      <c r="K81" s="73">
        <v>0</v>
      </c>
      <c r="L81" s="73">
        <v>0</v>
      </c>
      <c r="M81" s="73">
        <v>0</v>
      </c>
      <c r="N81" s="73">
        <v>0</v>
      </c>
      <c r="O81" s="320">
        <v>0</v>
      </c>
      <c r="P81" s="320">
        <v>0</v>
      </c>
      <c r="R81" s="5" t="s">
        <v>213</v>
      </c>
      <c r="S81" s="4">
        <v>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/>
      <c r="AI81" s="316" t="s">
        <v>213</v>
      </c>
      <c r="AJ81" s="319">
        <v>124</v>
      </c>
      <c r="AK81" s="73">
        <v>72</v>
      </c>
      <c r="AL81" s="73">
        <v>71</v>
      </c>
      <c r="AM81" s="73">
        <v>56</v>
      </c>
      <c r="AN81" s="73">
        <v>64</v>
      </c>
      <c r="AO81" s="73">
        <v>39</v>
      </c>
      <c r="AP81" s="73">
        <v>27</v>
      </c>
      <c r="AQ81" s="73">
        <v>9</v>
      </c>
      <c r="AR81" s="73">
        <v>62</v>
      </c>
      <c r="AS81" s="73">
        <v>64</v>
      </c>
      <c r="AT81" s="73">
        <v>88</v>
      </c>
      <c r="AU81" s="73">
        <v>103</v>
      </c>
      <c r="AV81" s="320">
        <v>21</v>
      </c>
    </row>
    <row r="82" spans="2:49">
      <c r="B82" s="316" t="s">
        <v>217</v>
      </c>
      <c r="C82" s="319">
        <v>135</v>
      </c>
      <c r="D82" s="73">
        <v>89</v>
      </c>
      <c r="E82" s="73">
        <v>0</v>
      </c>
      <c r="F82" s="73">
        <v>0</v>
      </c>
      <c r="G82" s="73">
        <v>0</v>
      </c>
      <c r="H82" s="73">
        <v>0</v>
      </c>
      <c r="I82" s="73">
        <v>29</v>
      </c>
      <c r="J82" s="73">
        <v>0</v>
      </c>
      <c r="K82" s="73">
        <v>0</v>
      </c>
      <c r="L82" s="73">
        <v>0</v>
      </c>
      <c r="M82" s="73">
        <v>0</v>
      </c>
      <c r="N82" s="73">
        <v>0</v>
      </c>
      <c r="O82" s="320">
        <v>0</v>
      </c>
      <c r="P82" s="320">
        <v>0</v>
      </c>
      <c r="R82" s="5" t="s">
        <v>217</v>
      </c>
      <c r="S82" s="4">
        <v>3</v>
      </c>
      <c r="T82" s="4">
        <v>7</v>
      </c>
      <c r="U82" s="4">
        <v>0</v>
      </c>
      <c r="V82" s="4">
        <v>0</v>
      </c>
      <c r="W82" s="4">
        <v>0</v>
      </c>
      <c r="X82" s="4">
        <v>0</v>
      </c>
      <c r="Y82" s="4">
        <v>11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/>
      <c r="AI82" s="316" t="s">
        <v>217</v>
      </c>
      <c r="AJ82" s="319">
        <v>149</v>
      </c>
      <c r="AK82" s="73">
        <v>98</v>
      </c>
      <c r="AL82" s="73">
        <v>88</v>
      </c>
      <c r="AM82" s="73">
        <v>68</v>
      </c>
      <c r="AN82" s="73">
        <v>84</v>
      </c>
      <c r="AO82" s="73">
        <v>53</v>
      </c>
      <c r="AP82" s="73">
        <v>32</v>
      </c>
      <c r="AQ82" s="73">
        <v>15</v>
      </c>
      <c r="AR82" s="73">
        <v>76</v>
      </c>
      <c r="AS82" s="73">
        <v>88</v>
      </c>
      <c r="AT82" s="73">
        <v>107</v>
      </c>
      <c r="AU82" s="73">
        <v>116</v>
      </c>
      <c r="AV82" s="320">
        <v>29</v>
      </c>
    </row>
    <row r="83" spans="2:49">
      <c r="B83" s="316" t="s">
        <v>221</v>
      </c>
      <c r="C83" s="319">
        <v>150</v>
      </c>
      <c r="D83" s="73">
        <v>117</v>
      </c>
      <c r="E83" s="73">
        <v>107</v>
      </c>
      <c r="F83" s="73">
        <v>0</v>
      </c>
      <c r="G83" s="73">
        <v>0</v>
      </c>
      <c r="H83" s="73">
        <v>0</v>
      </c>
      <c r="I83" s="73">
        <v>0</v>
      </c>
      <c r="J83" s="73">
        <v>0</v>
      </c>
      <c r="K83" s="73">
        <v>0</v>
      </c>
      <c r="L83" s="73">
        <v>0</v>
      </c>
      <c r="M83" s="73">
        <v>0</v>
      </c>
      <c r="N83" s="73">
        <v>0</v>
      </c>
      <c r="O83" s="320">
        <v>0</v>
      </c>
      <c r="P83" s="320">
        <v>0</v>
      </c>
      <c r="R83" s="5" t="s">
        <v>221</v>
      </c>
      <c r="S83" s="4">
        <v>2</v>
      </c>
      <c r="T83" s="4">
        <v>2</v>
      </c>
      <c r="U83" s="4">
        <v>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/>
      <c r="AI83" s="316" t="s">
        <v>221</v>
      </c>
      <c r="AJ83" s="319">
        <v>169</v>
      </c>
      <c r="AK83" s="73">
        <v>128</v>
      </c>
      <c r="AL83" s="73">
        <v>118</v>
      </c>
      <c r="AM83" s="73">
        <v>86</v>
      </c>
      <c r="AN83" s="73">
        <v>121</v>
      </c>
      <c r="AO83" s="73">
        <v>82</v>
      </c>
      <c r="AP83" s="73">
        <v>40</v>
      </c>
      <c r="AQ83" s="73">
        <v>19</v>
      </c>
      <c r="AR83" s="73">
        <v>96</v>
      </c>
      <c r="AS83" s="73">
        <v>132</v>
      </c>
      <c r="AT83" s="73">
        <v>160</v>
      </c>
      <c r="AU83" s="73">
        <v>135</v>
      </c>
      <c r="AV83" s="320">
        <v>34</v>
      </c>
    </row>
    <row r="84" spans="2:49">
      <c r="B84" s="316" t="s">
        <v>127</v>
      </c>
      <c r="C84" s="319">
        <v>0</v>
      </c>
      <c r="D84" s="73">
        <v>172</v>
      </c>
      <c r="E84" s="73">
        <v>0</v>
      </c>
      <c r="F84" s="73">
        <v>0</v>
      </c>
      <c r="G84" s="73">
        <v>0</v>
      </c>
      <c r="H84" s="73">
        <v>0</v>
      </c>
      <c r="I84" s="73">
        <v>0</v>
      </c>
      <c r="J84" s="73">
        <v>0</v>
      </c>
      <c r="K84" s="73">
        <v>0</v>
      </c>
      <c r="L84" s="73">
        <v>0</v>
      </c>
      <c r="M84" s="73">
        <v>0</v>
      </c>
      <c r="N84" s="73">
        <v>0</v>
      </c>
      <c r="O84" s="320">
        <v>0</v>
      </c>
      <c r="P84" s="320">
        <v>0</v>
      </c>
      <c r="R84" s="5" t="s">
        <v>127</v>
      </c>
      <c r="S84" s="4">
        <v>0</v>
      </c>
      <c r="T84" s="4">
        <v>1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/>
      <c r="AI84" s="316" t="s">
        <v>127</v>
      </c>
      <c r="AJ84" s="319">
        <v>210</v>
      </c>
      <c r="AK84" s="73">
        <v>189</v>
      </c>
      <c r="AL84" s="73">
        <v>147</v>
      </c>
      <c r="AM84" s="73">
        <v>107</v>
      </c>
      <c r="AN84" s="73">
        <v>150</v>
      </c>
      <c r="AO84" s="73">
        <v>102</v>
      </c>
      <c r="AP84" s="73">
        <v>0</v>
      </c>
      <c r="AQ84" s="73">
        <v>0</v>
      </c>
      <c r="AR84" s="73">
        <v>154</v>
      </c>
      <c r="AS84" s="73">
        <v>0</v>
      </c>
      <c r="AT84" s="73">
        <v>199</v>
      </c>
      <c r="AU84" s="73">
        <v>235</v>
      </c>
      <c r="AV84" s="320">
        <v>0</v>
      </c>
    </row>
    <row r="85" spans="2:49">
      <c r="B85" s="316" t="s">
        <v>117</v>
      </c>
      <c r="C85" s="319">
        <v>0</v>
      </c>
      <c r="D85" s="73">
        <v>89</v>
      </c>
      <c r="E85" s="73">
        <v>0</v>
      </c>
      <c r="F85" s="73">
        <v>0</v>
      </c>
      <c r="G85" s="73">
        <v>0</v>
      </c>
      <c r="H85" s="73">
        <v>0</v>
      </c>
      <c r="I85" s="73">
        <v>0</v>
      </c>
      <c r="J85" s="73">
        <v>0</v>
      </c>
      <c r="K85" s="73">
        <v>0</v>
      </c>
      <c r="L85" s="73">
        <v>0</v>
      </c>
      <c r="M85" s="73">
        <v>0</v>
      </c>
      <c r="N85" s="73">
        <v>0</v>
      </c>
      <c r="O85" s="320">
        <v>0</v>
      </c>
      <c r="P85" s="320">
        <v>0</v>
      </c>
      <c r="R85" s="5" t="s">
        <v>117</v>
      </c>
      <c r="S85" s="4">
        <v>0</v>
      </c>
      <c r="T85" s="4">
        <v>3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/>
      <c r="AI85" s="316" t="s">
        <v>117</v>
      </c>
      <c r="AJ85" s="319">
        <v>0</v>
      </c>
      <c r="AK85" s="73">
        <v>98</v>
      </c>
      <c r="AL85" s="73">
        <v>0</v>
      </c>
      <c r="AM85" s="73">
        <v>0</v>
      </c>
      <c r="AN85" s="73">
        <v>56</v>
      </c>
      <c r="AO85" s="73">
        <v>0</v>
      </c>
      <c r="AP85" s="73">
        <v>25</v>
      </c>
      <c r="AQ85" s="73">
        <v>0</v>
      </c>
      <c r="AR85" s="73">
        <v>0</v>
      </c>
      <c r="AS85" s="73">
        <v>0</v>
      </c>
      <c r="AT85" s="73">
        <v>0</v>
      </c>
      <c r="AU85" s="73">
        <v>0</v>
      </c>
      <c r="AV85" s="320">
        <v>0</v>
      </c>
    </row>
    <row r="86" spans="2:49">
      <c r="B86" s="316" t="s">
        <v>189</v>
      </c>
      <c r="C86" s="319">
        <v>0</v>
      </c>
      <c r="D86" s="73">
        <v>129</v>
      </c>
      <c r="E86" s="73">
        <v>0</v>
      </c>
      <c r="F86" s="73">
        <v>0</v>
      </c>
      <c r="G86" s="73">
        <v>0</v>
      </c>
      <c r="H86" s="73">
        <v>0</v>
      </c>
      <c r="I86" s="73">
        <v>0</v>
      </c>
      <c r="J86" s="73">
        <v>0</v>
      </c>
      <c r="K86" s="73">
        <v>0</v>
      </c>
      <c r="L86" s="73">
        <v>0</v>
      </c>
      <c r="M86" s="73">
        <v>0</v>
      </c>
      <c r="N86" s="73">
        <v>0</v>
      </c>
      <c r="O86" s="320">
        <v>0</v>
      </c>
      <c r="P86" s="320">
        <v>0</v>
      </c>
      <c r="R86" s="5" t="s">
        <v>189</v>
      </c>
      <c r="S86" s="4">
        <v>0</v>
      </c>
      <c r="T86" s="4">
        <v>2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/>
      <c r="AI86" s="316" t="s">
        <v>189</v>
      </c>
      <c r="AJ86" s="319">
        <v>143</v>
      </c>
      <c r="AK86" s="73">
        <v>142</v>
      </c>
      <c r="AL86" s="73">
        <v>0</v>
      </c>
      <c r="AM86" s="73">
        <v>0</v>
      </c>
      <c r="AN86" s="73">
        <v>103</v>
      </c>
      <c r="AO86" s="73">
        <v>0</v>
      </c>
      <c r="AP86" s="73">
        <v>32</v>
      </c>
      <c r="AQ86" s="73">
        <v>0</v>
      </c>
      <c r="AR86" s="73">
        <v>0</v>
      </c>
      <c r="AS86" s="73">
        <v>142</v>
      </c>
      <c r="AT86" s="73">
        <v>0</v>
      </c>
      <c r="AU86" s="73">
        <v>0</v>
      </c>
      <c r="AV86" s="320">
        <v>0</v>
      </c>
    </row>
    <row r="87" spans="2:49">
      <c r="B87" s="316" t="s">
        <v>148</v>
      </c>
      <c r="C87" s="319">
        <v>0</v>
      </c>
      <c r="D87" s="73">
        <v>0</v>
      </c>
      <c r="E87" s="73">
        <v>0</v>
      </c>
      <c r="F87" s="73">
        <v>0</v>
      </c>
      <c r="G87" s="73">
        <v>0</v>
      </c>
      <c r="H87" s="73">
        <v>0</v>
      </c>
      <c r="I87" s="73">
        <v>0</v>
      </c>
      <c r="J87" s="73">
        <v>0</v>
      </c>
      <c r="K87" s="73">
        <v>0</v>
      </c>
      <c r="L87" s="73">
        <v>0</v>
      </c>
      <c r="M87" s="73">
        <v>0</v>
      </c>
      <c r="N87" s="73">
        <v>0</v>
      </c>
      <c r="O87" s="320">
        <v>0</v>
      </c>
      <c r="P87" s="320">
        <v>0</v>
      </c>
      <c r="R87" s="5" t="s">
        <v>148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/>
      <c r="AI87" s="316" t="s">
        <v>148</v>
      </c>
      <c r="AJ87" s="319">
        <v>103</v>
      </c>
      <c r="AK87" s="73">
        <v>78</v>
      </c>
      <c r="AL87" s="73">
        <v>78</v>
      </c>
      <c r="AM87" s="73">
        <v>0</v>
      </c>
      <c r="AN87" s="73">
        <v>0</v>
      </c>
      <c r="AO87" s="73">
        <v>0</v>
      </c>
      <c r="AP87" s="73">
        <v>17</v>
      </c>
      <c r="AQ87" s="73">
        <v>0</v>
      </c>
      <c r="AR87" s="73">
        <v>0</v>
      </c>
      <c r="AS87" s="73">
        <v>0</v>
      </c>
      <c r="AT87" s="73">
        <v>0</v>
      </c>
      <c r="AU87" s="73">
        <v>0</v>
      </c>
      <c r="AV87" s="320">
        <v>0</v>
      </c>
    </row>
    <row r="88" spans="2:49">
      <c r="B88" s="316" t="s">
        <v>181</v>
      </c>
      <c r="C88" s="319">
        <v>0</v>
      </c>
      <c r="D88" s="73">
        <v>38</v>
      </c>
      <c r="E88" s="73">
        <v>0</v>
      </c>
      <c r="F88" s="73">
        <v>0</v>
      </c>
      <c r="G88" s="73">
        <v>0</v>
      </c>
      <c r="H88" s="73">
        <v>0</v>
      </c>
      <c r="I88" s="73">
        <v>10</v>
      </c>
      <c r="J88" s="73">
        <v>0</v>
      </c>
      <c r="K88" s="73">
        <v>0</v>
      </c>
      <c r="L88" s="73">
        <v>0</v>
      </c>
      <c r="M88" s="73">
        <v>0</v>
      </c>
      <c r="N88" s="73">
        <v>0</v>
      </c>
      <c r="O88" s="320">
        <v>0</v>
      </c>
      <c r="P88" s="320">
        <v>0</v>
      </c>
      <c r="R88" s="5" t="s">
        <v>181</v>
      </c>
      <c r="S88" s="4">
        <v>0</v>
      </c>
      <c r="T88" s="4">
        <v>1</v>
      </c>
      <c r="U88" s="4">
        <v>0</v>
      </c>
      <c r="V88" s="4">
        <v>0</v>
      </c>
      <c r="W88" s="4">
        <v>0</v>
      </c>
      <c r="X88" s="4">
        <v>0</v>
      </c>
      <c r="Y88" s="4">
        <v>3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/>
      <c r="AI88" s="316" t="s">
        <v>181</v>
      </c>
      <c r="AJ88" s="319">
        <v>0</v>
      </c>
      <c r="AK88" s="73">
        <v>42</v>
      </c>
      <c r="AL88" s="73">
        <v>0</v>
      </c>
      <c r="AM88" s="73">
        <v>0</v>
      </c>
      <c r="AN88" s="73">
        <v>0</v>
      </c>
      <c r="AO88" s="73">
        <v>0</v>
      </c>
      <c r="AP88" s="73">
        <v>11</v>
      </c>
      <c r="AQ88" s="73">
        <v>0</v>
      </c>
      <c r="AR88" s="73">
        <v>0</v>
      </c>
      <c r="AS88" s="73">
        <v>0</v>
      </c>
      <c r="AT88" s="73">
        <v>0</v>
      </c>
      <c r="AU88" s="73">
        <v>0</v>
      </c>
      <c r="AV88" s="320">
        <v>0</v>
      </c>
    </row>
    <row r="89" spans="2:49">
      <c r="B89" s="316" t="s">
        <v>183</v>
      </c>
      <c r="C89" s="319">
        <v>0</v>
      </c>
      <c r="D89" s="73">
        <v>80</v>
      </c>
      <c r="E89" s="73">
        <v>0</v>
      </c>
      <c r="F89" s="73">
        <v>0</v>
      </c>
      <c r="G89" s="73">
        <v>0</v>
      </c>
      <c r="H89" s="73">
        <v>0</v>
      </c>
      <c r="I89" s="73">
        <v>24</v>
      </c>
      <c r="J89" s="73">
        <v>0</v>
      </c>
      <c r="K89" s="73">
        <v>0</v>
      </c>
      <c r="L89" s="73">
        <v>0</v>
      </c>
      <c r="M89" s="73">
        <v>0</v>
      </c>
      <c r="N89" s="73">
        <v>0</v>
      </c>
      <c r="O89" s="320">
        <v>0</v>
      </c>
      <c r="P89" s="320">
        <v>0</v>
      </c>
      <c r="R89" s="5" t="s">
        <v>183</v>
      </c>
      <c r="S89" s="4">
        <v>0</v>
      </c>
      <c r="T89" s="4">
        <v>2</v>
      </c>
      <c r="U89" s="4">
        <v>0</v>
      </c>
      <c r="V89" s="4">
        <v>0</v>
      </c>
      <c r="W89" s="4">
        <v>0</v>
      </c>
      <c r="X89" s="4">
        <v>0</v>
      </c>
      <c r="Y89" s="4">
        <v>3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/>
      <c r="AI89" s="316" t="s">
        <v>183</v>
      </c>
      <c r="AJ89" s="319">
        <v>99</v>
      </c>
      <c r="AK89" s="73">
        <v>89</v>
      </c>
      <c r="AL89" s="73">
        <v>66</v>
      </c>
      <c r="AM89" s="73">
        <v>40</v>
      </c>
      <c r="AN89" s="73">
        <v>69</v>
      </c>
      <c r="AO89" s="73">
        <v>0</v>
      </c>
      <c r="AP89" s="73">
        <v>27</v>
      </c>
      <c r="AQ89" s="73">
        <v>0</v>
      </c>
      <c r="AR89" s="73">
        <v>0</v>
      </c>
      <c r="AS89" s="73">
        <v>0</v>
      </c>
      <c r="AT89" s="73">
        <v>0</v>
      </c>
      <c r="AU89" s="73">
        <v>0</v>
      </c>
      <c r="AV89" s="320">
        <v>16</v>
      </c>
    </row>
    <row r="90" spans="2:49">
      <c r="B90" s="312" t="s">
        <v>239</v>
      </c>
      <c r="C90" s="321">
        <v>0</v>
      </c>
      <c r="D90" s="240">
        <v>96</v>
      </c>
      <c r="E90" s="240">
        <v>0</v>
      </c>
      <c r="F90" s="240">
        <v>0</v>
      </c>
      <c r="G90" s="240">
        <v>0</v>
      </c>
      <c r="H90" s="240">
        <v>0</v>
      </c>
      <c r="I90" s="240">
        <v>0</v>
      </c>
      <c r="J90" s="240">
        <v>0</v>
      </c>
      <c r="K90" s="240">
        <v>0</v>
      </c>
      <c r="L90" s="240">
        <v>0</v>
      </c>
      <c r="M90" s="240">
        <v>0</v>
      </c>
      <c r="N90" s="240">
        <v>0</v>
      </c>
      <c r="O90" s="322">
        <v>0</v>
      </c>
      <c r="P90" s="322">
        <v>0</v>
      </c>
      <c r="R90" s="314" t="s">
        <v>239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/>
      <c r="AI90" s="312" t="s">
        <v>239</v>
      </c>
      <c r="AJ90" s="321">
        <v>0</v>
      </c>
      <c r="AK90" s="240">
        <v>106</v>
      </c>
      <c r="AL90" s="240">
        <v>91</v>
      </c>
      <c r="AM90" s="240">
        <v>0</v>
      </c>
      <c r="AN90" s="240">
        <v>88</v>
      </c>
      <c r="AO90" s="240">
        <v>0</v>
      </c>
      <c r="AP90" s="240">
        <v>28</v>
      </c>
      <c r="AQ90" s="240">
        <v>0</v>
      </c>
      <c r="AR90" s="240">
        <v>0</v>
      </c>
      <c r="AS90" s="240">
        <v>98</v>
      </c>
      <c r="AT90" s="240">
        <v>0</v>
      </c>
      <c r="AU90" s="240">
        <v>88</v>
      </c>
      <c r="AV90" s="322">
        <v>22</v>
      </c>
    </row>
    <row r="91" spans="2:49" ht="15.75" thickBot="1">
      <c r="B91" s="313" t="s">
        <v>180</v>
      </c>
      <c r="C91" s="323">
        <v>0</v>
      </c>
      <c r="D91" s="324">
        <v>121</v>
      </c>
      <c r="E91" s="324">
        <v>0</v>
      </c>
      <c r="F91" s="324">
        <v>0</v>
      </c>
      <c r="G91" s="324">
        <v>0</v>
      </c>
      <c r="H91" s="324">
        <v>0</v>
      </c>
      <c r="I91" s="324">
        <v>0</v>
      </c>
      <c r="J91" s="324">
        <v>0</v>
      </c>
      <c r="K91" s="324">
        <v>0</v>
      </c>
      <c r="L91" s="324">
        <v>0</v>
      </c>
      <c r="M91" s="324">
        <v>0</v>
      </c>
      <c r="N91" s="324">
        <v>0</v>
      </c>
      <c r="O91" s="325">
        <v>0</v>
      </c>
      <c r="P91" s="325">
        <v>0</v>
      </c>
      <c r="R91" s="85" t="s">
        <v>180</v>
      </c>
      <c r="S91" s="4">
        <v>0</v>
      </c>
      <c r="T91" s="4">
        <v>2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/>
      <c r="AI91" s="313" t="s">
        <v>180</v>
      </c>
      <c r="AJ91" s="323">
        <v>116</v>
      </c>
      <c r="AK91" s="324">
        <v>133</v>
      </c>
      <c r="AL91" s="324">
        <v>129</v>
      </c>
      <c r="AM91" s="324">
        <v>0</v>
      </c>
      <c r="AN91" s="324">
        <v>135</v>
      </c>
      <c r="AO91" s="324">
        <v>27</v>
      </c>
      <c r="AP91" s="324">
        <v>0</v>
      </c>
      <c r="AQ91" s="324">
        <v>17</v>
      </c>
      <c r="AR91" s="324">
        <v>0</v>
      </c>
      <c r="AS91" s="324">
        <v>121</v>
      </c>
      <c r="AT91" s="324">
        <v>139</v>
      </c>
      <c r="AU91" s="324">
        <v>0</v>
      </c>
      <c r="AV91" s="325">
        <v>0</v>
      </c>
    </row>
    <row r="92" spans="2:49" ht="15.75" thickBot="1">
      <c r="R92" s="86"/>
      <c r="S92" s="87">
        <f>SUBTOTAL(109,TbCountPvtCld[US])</f>
        <v>7</v>
      </c>
      <c r="T92" s="87">
        <f>SUBTOTAL(109,TbCountPvtCld[UK])</f>
        <v>21</v>
      </c>
      <c r="U92" s="87">
        <f>SUBTOTAL(109,TbCountPvtCld[DE])</f>
        <v>1</v>
      </c>
      <c r="V92" s="87">
        <f>SUBTOTAL(109,TbCountPvtCld[PL])</f>
        <v>0</v>
      </c>
      <c r="W92" s="87">
        <f>SUBTOTAL(109,TbCountPvtCld[NL])</f>
        <v>0</v>
      </c>
      <c r="X92" s="87">
        <f>SUBTOTAL(109,TbCountPvtCld[MX])</f>
        <v>0</v>
      </c>
      <c r="Y92" s="87">
        <f>SUBTOTAL(109,TbCountPvtCld[IN])</f>
        <v>18</v>
      </c>
      <c r="Z92" s="87">
        <f>SUBTOTAL(109,TbCountPvtCld[EG])</f>
        <v>0</v>
      </c>
      <c r="AA92" s="87">
        <f>SUBTOTAL(109,TbCountPvtCld[CAN])</f>
        <v>0</v>
      </c>
      <c r="AB92" s="87">
        <f>SUBTOTAL(109,TbCountPvtCld[AU])</f>
        <v>0</v>
      </c>
      <c r="AC92" s="87">
        <f>SUBTOTAL(109,TbCountPvtCld[AE])</f>
        <v>0</v>
      </c>
      <c r="AD92" s="87">
        <f>SUBTOTAL(109,TbCountPvtCld[SG])</f>
        <v>0</v>
      </c>
      <c r="AE92" s="87">
        <f>SUBTOTAL(109,TbCountPvtCld[VN])</f>
        <v>0</v>
      </c>
      <c r="AF92" s="87"/>
      <c r="AG92" s="348">
        <f>SUM(TbCountPvtCld[[#Totals],[US]:[VN]])</f>
        <v>47</v>
      </c>
      <c r="AM92" s="409"/>
    </row>
    <row r="95" spans="2:49" ht="15.75" thickBot="1"/>
    <row r="96" spans="2:49" ht="15.75" thickBot="1">
      <c r="B96" s="28" t="s">
        <v>565</v>
      </c>
      <c r="C96" s="29" t="s">
        <v>98</v>
      </c>
      <c r="D96" s="30" t="s">
        <v>105</v>
      </c>
      <c r="E96" s="30" t="s">
        <v>112</v>
      </c>
      <c r="F96" s="30" t="s">
        <v>120</v>
      </c>
      <c r="G96" s="30" t="s">
        <v>125</v>
      </c>
      <c r="H96" s="30" t="s">
        <v>131</v>
      </c>
      <c r="I96" s="30" t="s">
        <v>136</v>
      </c>
      <c r="J96" s="30" t="s">
        <v>140</v>
      </c>
      <c r="K96" s="30" t="s">
        <v>145</v>
      </c>
      <c r="L96" s="30" t="s">
        <v>149</v>
      </c>
      <c r="M96" s="30" t="s">
        <v>153</v>
      </c>
      <c r="N96" s="30" t="s">
        <v>156</v>
      </c>
      <c r="O96" s="30" t="s">
        <v>159</v>
      </c>
      <c r="P96" s="405" t="s">
        <v>161</v>
      </c>
      <c r="R96" s="79" t="s">
        <v>498</v>
      </c>
      <c r="S96" s="1" t="s">
        <v>98</v>
      </c>
      <c r="T96" s="1" t="s">
        <v>105</v>
      </c>
      <c r="U96" s="1" t="s">
        <v>112</v>
      </c>
      <c r="V96" s="1" t="s">
        <v>120</v>
      </c>
      <c r="W96" s="1" t="s">
        <v>125</v>
      </c>
      <c r="X96" s="1" t="s">
        <v>131</v>
      </c>
      <c r="Y96" s="1" t="s">
        <v>136</v>
      </c>
      <c r="Z96" s="1" t="s">
        <v>140</v>
      </c>
      <c r="AA96" s="1" t="s">
        <v>145</v>
      </c>
      <c r="AB96" s="1" t="s">
        <v>149</v>
      </c>
      <c r="AC96" s="71" t="s">
        <v>153</v>
      </c>
      <c r="AD96" s="71" t="s">
        <v>156</v>
      </c>
      <c r="AE96" s="408" t="s">
        <v>159</v>
      </c>
      <c r="AF96" s="408" t="s">
        <v>161</v>
      </c>
      <c r="AI96" s="28" t="s">
        <v>499</v>
      </c>
      <c r="AJ96" s="29" t="s">
        <v>98</v>
      </c>
      <c r="AK96" s="30" t="s">
        <v>105</v>
      </c>
      <c r="AL96" s="30" t="s">
        <v>112</v>
      </c>
      <c r="AM96" s="30" t="s">
        <v>120</v>
      </c>
      <c r="AN96" s="30" t="s">
        <v>125</v>
      </c>
      <c r="AO96" s="30" t="s">
        <v>131</v>
      </c>
      <c r="AP96" s="30" t="s">
        <v>136</v>
      </c>
      <c r="AQ96" s="30" t="s">
        <v>140</v>
      </c>
      <c r="AR96" s="30" t="s">
        <v>145</v>
      </c>
      <c r="AS96" s="30" t="s">
        <v>149</v>
      </c>
      <c r="AT96" s="30" t="s">
        <v>153</v>
      </c>
      <c r="AU96" s="30" t="s">
        <v>156</v>
      </c>
      <c r="AV96" s="410" t="s">
        <v>159</v>
      </c>
      <c r="AW96" s="410" t="s">
        <v>161</v>
      </c>
    </row>
    <row r="97" spans="2:49">
      <c r="B97" s="315" t="s">
        <v>209</v>
      </c>
      <c r="C97" s="317">
        <v>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318">
        <v>0</v>
      </c>
      <c r="P97" s="318">
        <v>0</v>
      </c>
      <c r="R97" s="3" t="s">
        <v>209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/>
      <c r="AI97" s="315" t="s">
        <v>209</v>
      </c>
      <c r="AJ97" s="317">
        <v>69</v>
      </c>
      <c r="AK97" s="72">
        <v>58</v>
      </c>
      <c r="AL97" s="72">
        <v>61</v>
      </c>
      <c r="AM97" s="72">
        <v>44</v>
      </c>
      <c r="AN97" s="72">
        <v>50</v>
      </c>
      <c r="AO97" s="72">
        <v>30</v>
      </c>
      <c r="AP97" s="72">
        <v>15</v>
      </c>
      <c r="AQ97" s="72">
        <v>0</v>
      </c>
      <c r="AR97" s="72">
        <v>0</v>
      </c>
      <c r="AS97" s="72">
        <v>54</v>
      </c>
      <c r="AT97" s="72">
        <v>0</v>
      </c>
      <c r="AU97" s="72">
        <v>81</v>
      </c>
      <c r="AV97" s="318">
        <v>0</v>
      </c>
      <c r="AW97" s="318">
        <v>0</v>
      </c>
    </row>
    <row r="98" spans="2:49">
      <c r="B98" s="316" t="s">
        <v>213</v>
      </c>
      <c r="C98" s="319">
        <v>0</v>
      </c>
      <c r="D98" s="73">
        <v>0</v>
      </c>
      <c r="E98" s="73">
        <v>0</v>
      </c>
      <c r="F98" s="73">
        <v>0</v>
      </c>
      <c r="G98" s="73">
        <v>0</v>
      </c>
      <c r="H98" s="73">
        <v>0</v>
      </c>
      <c r="I98" s="73">
        <v>25</v>
      </c>
      <c r="J98" s="73">
        <v>0</v>
      </c>
      <c r="K98" s="73">
        <v>0</v>
      </c>
      <c r="L98" s="73">
        <v>0</v>
      </c>
      <c r="M98" s="73">
        <v>75</v>
      </c>
      <c r="N98" s="73">
        <v>0</v>
      </c>
      <c r="O98" s="320">
        <v>0</v>
      </c>
      <c r="P98" s="320">
        <v>0</v>
      </c>
      <c r="R98" s="5" t="s">
        <v>213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1</v>
      </c>
      <c r="Z98" s="4">
        <v>0</v>
      </c>
      <c r="AA98" s="4">
        <v>0</v>
      </c>
      <c r="AB98" s="4">
        <v>0</v>
      </c>
      <c r="AC98" s="4">
        <v>1</v>
      </c>
      <c r="AD98" s="4">
        <v>0</v>
      </c>
      <c r="AE98" s="4">
        <v>0</v>
      </c>
      <c r="AF98" s="4">
        <v>0</v>
      </c>
      <c r="AG98" s="4"/>
      <c r="AI98" s="316" t="s">
        <v>213</v>
      </c>
      <c r="AJ98" s="319">
        <v>96</v>
      </c>
      <c r="AK98" s="73">
        <v>72</v>
      </c>
      <c r="AL98" s="73">
        <v>71</v>
      </c>
      <c r="AM98" s="73">
        <v>56</v>
      </c>
      <c r="AN98" s="73">
        <v>64</v>
      </c>
      <c r="AO98" s="73">
        <v>39</v>
      </c>
      <c r="AP98" s="73">
        <v>25</v>
      </c>
      <c r="AQ98" s="73">
        <v>9</v>
      </c>
      <c r="AR98" s="73">
        <v>62</v>
      </c>
      <c r="AS98" s="73">
        <v>64</v>
      </c>
      <c r="AT98" s="73">
        <v>75</v>
      </c>
      <c r="AU98" s="73">
        <v>103</v>
      </c>
      <c r="AV98" s="320">
        <v>0</v>
      </c>
      <c r="AW98" s="320">
        <v>0</v>
      </c>
    </row>
    <row r="99" spans="2:49">
      <c r="B99" s="316" t="s">
        <v>217</v>
      </c>
      <c r="C99" s="319">
        <v>89</v>
      </c>
      <c r="D99" s="73">
        <v>0</v>
      </c>
      <c r="E99" s="73">
        <v>0</v>
      </c>
      <c r="F99" s="73">
        <v>0</v>
      </c>
      <c r="G99" s="73">
        <v>0</v>
      </c>
      <c r="H99" s="73">
        <v>0</v>
      </c>
      <c r="I99" s="73">
        <v>43</v>
      </c>
      <c r="J99" s="73">
        <v>0</v>
      </c>
      <c r="K99" s="73">
        <v>0</v>
      </c>
      <c r="L99" s="73">
        <v>0</v>
      </c>
      <c r="M99" s="73">
        <v>0</v>
      </c>
      <c r="N99" s="73">
        <v>0</v>
      </c>
      <c r="O99" s="320">
        <v>0</v>
      </c>
      <c r="P99" s="320">
        <v>0</v>
      </c>
      <c r="R99" s="5" t="s">
        <v>217</v>
      </c>
      <c r="S99" s="4">
        <v>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1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/>
      <c r="AI99" s="316" t="s">
        <v>217</v>
      </c>
      <c r="AJ99" s="319">
        <v>89</v>
      </c>
      <c r="AK99" s="73">
        <v>99</v>
      </c>
      <c r="AL99" s="73">
        <v>88</v>
      </c>
      <c r="AM99" s="73">
        <v>68</v>
      </c>
      <c r="AN99" s="73">
        <v>84</v>
      </c>
      <c r="AO99" s="73">
        <v>53</v>
      </c>
      <c r="AP99" s="73">
        <v>43</v>
      </c>
      <c r="AQ99" s="73">
        <v>15</v>
      </c>
      <c r="AR99" s="73">
        <v>76</v>
      </c>
      <c r="AS99" s="73">
        <v>88</v>
      </c>
      <c r="AT99" s="73">
        <v>107</v>
      </c>
      <c r="AU99" s="73">
        <v>116</v>
      </c>
      <c r="AV99" s="320">
        <v>0</v>
      </c>
      <c r="AW99" s="320">
        <v>0</v>
      </c>
    </row>
    <row r="100" spans="2:49">
      <c r="B100" s="316" t="s">
        <v>221</v>
      </c>
      <c r="C100" s="319">
        <v>0</v>
      </c>
      <c r="D100" s="73">
        <v>0</v>
      </c>
      <c r="E100" s="73">
        <v>0</v>
      </c>
      <c r="F100" s="73">
        <v>0</v>
      </c>
      <c r="G100" s="73">
        <v>0</v>
      </c>
      <c r="H100" s="73">
        <v>0</v>
      </c>
      <c r="I100" s="73">
        <v>0</v>
      </c>
      <c r="J100" s="73">
        <v>0</v>
      </c>
      <c r="K100" s="73">
        <v>0</v>
      </c>
      <c r="L100" s="73">
        <v>0</v>
      </c>
      <c r="M100" s="73">
        <v>113</v>
      </c>
      <c r="N100" s="73">
        <v>0</v>
      </c>
      <c r="O100" s="320">
        <v>0</v>
      </c>
      <c r="P100" s="320">
        <v>0</v>
      </c>
      <c r="R100" s="5" t="s">
        <v>221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</v>
      </c>
      <c r="AD100" s="4">
        <v>0</v>
      </c>
      <c r="AE100" s="4">
        <v>0</v>
      </c>
      <c r="AF100" s="4">
        <v>0</v>
      </c>
      <c r="AG100" s="4"/>
      <c r="AI100" s="316" t="s">
        <v>221</v>
      </c>
      <c r="AJ100" s="319">
        <v>159</v>
      </c>
      <c r="AK100" s="73">
        <v>122</v>
      </c>
      <c r="AL100" s="73">
        <v>131</v>
      </c>
      <c r="AM100" s="73">
        <v>86</v>
      </c>
      <c r="AN100" s="73">
        <v>121</v>
      </c>
      <c r="AO100" s="73">
        <v>82</v>
      </c>
      <c r="AP100" s="73">
        <v>40</v>
      </c>
      <c r="AQ100" s="73">
        <v>19</v>
      </c>
      <c r="AR100" s="73">
        <v>96</v>
      </c>
      <c r="AS100" s="73">
        <v>132</v>
      </c>
      <c r="AT100" s="73">
        <v>113</v>
      </c>
      <c r="AU100" s="73">
        <v>135</v>
      </c>
      <c r="AV100" s="320">
        <v>0</v>
      </c>
      <c r="AW100" s="320">
        <v>0</v>
      </c>
    </row>
    <row r="101" spans="2:49">
      <c r="B101" s="316" t="s">
        <v>127</v>
      </c>
      <c r="C101" s="319">
        <v>0</v>
      </c>
      <c r="D101" s="73">
        <v>0</v>
      </c>
      <c r="E101" s="73">
        <v>0</v>
      </c>
      <c r="F101" s="73">
        <v>0</v>
      </c>
      <c r="G101" s="73">
        <v>0</v>
      </c>
      <c r="H101" s="73">
        <v>0</v>
      </c>
      <c r="I101" s="73">
        <v>47</v>
      </c>
      <c r="J101" s="73">
        <v>0</v>
      </c>
      <c r="K101" s="73">
        <v>0</v>
      </c>
      <c r="L101" s="73">
        <v>0</v>
      </c>
      <c r="M101" s="73">
        <v>210</v>
      </c>
      <c r="N101" s="73">
        <v>0</v>
      </c>
      <c r="O101" s="320">
        <v>0</v>
      </c>
      <c r="P101" s="320">
        <v>0</v>
      </c>
      <c r="R101" s="5" t="s">
        <v>127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1</v>
      </c>
      <c r="Z101" s="4">
        <v>0</v>
      </c>
      <c r="AA101" s="4">
        <v>0</v>
      </c>
      <c r="AB101" s="4">
        <v>0</v>
      </c>
      <c r="AC101" s="4">
        <v>2</v>
      </c>
      <c r="AD101" s="4">
        <v>0</v>
      </c>
      <c r="AE101" s="4">
        <v>0</v>
      </c>
      <c r="AF101" s="4">
        <v>0</v>
      </c>
      <c r="AG101" s="4"/>
      <c r="AI101" s="316" t="s">
        <v>127</v>
      </c>
      <c r="AJ101" s="319">
        <v>210</v>
      </c>
      <c r="AK101" s="73">
        <v>161</v>
      </c>
      <c r="AL101" s="73">
        <v>173</v>
      </c>
      <c r="AM101" s="73">
        <v>113</v>
      </c>
      <c r="AN101" s="73">
        <v>159</v>
      </c>
      <c r="AO101" s="73">
        <v>108</v>
      </c>
      <c r="AP101" s="73">
        <v>47</v>
      </c>
      <c r="AQ101" s="73">
        <v>0</v>
      </c>
      <c r="AR101" s="73">
        <v>154</v>
      </c>
      <c r="AS101" s="73">
        <v>0</v>
      </c>
      <c r="AT101" s="73">
        <v>210</v>
      </c>
      <c r="AU101" s="73">
        <v>235</v>
      </c>
      <c r="AV101" s="320">
        <v>0</v>
      </c>
      <c r="AW101" s="320">
        <v>0</v>
      </c>
    </row>
    <row r="102" spans="2:49">
      <c r="B102" s="316" t="s">
        <v>117</v>
      </c>
      <c r="C102" s="319">
        <v>0</v>
      </c>
      <c r="D102" s="73">
        <v>0</v>
      </c>
      <c r="E102" s="73">
        <v>0</v>
      </c>
      <c r="F102" s="73">
        <v>0</v>
      </c>
      <c r="G102" s="73">
        <v>0</v>
      </c>
      <c r="H102" s="73">
        <v>0</v>
      </c>
      <c r="I102" s="73">
        <v>0</v>
      </c>
      <c r="J102" s="73">
        <v>0</v>
      </c>
      <c r="K102" s="73">
        <v>0</v>
      </c>
      <c r="L102" s="73">
        <v>0</v>
      </c>
      <c r="M102" s="73">
        <v>0</v>
      </c>
      <c r="N102" s="73">
        <v>0</v>
      </c>
      <c r="O102" s="320">
        <v>0</v>
      </c>
      <c r="P102" s="320">
        <v>0</v>
      </c>
      <c r="R102" s="5" t="s">
        <v>117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/>
      <c r="AI102" s="316" t="s">
        <v>117</v>
      </c>
      <c r="AJ102" s="319">
        <v>0</v>
      </c>
      <c r="AK102" s="73">
        <v>84</v>
      </c>
      <c r="AL102" s="73">
        <v>0</v>
      </c>
      <c r="AM102" s="73">
        <v>0</v>
      </c>
      <c r="AN102" s="73">
        <v>72</v>
      </c>
      <c r="AO102" s="73">
        <v>0</v>
      </c>
      <c r="AP102" s="73">
        <v>25</v>
      </c>
      <c r="AQ102" s="73">
        <v>0</v>
      </c>
      <c r="AR102" s="73">
        <v>0</v>
      </c>
      <c r="AS102" s="73">
        <v>0</v>
      </c>
      <c r="AT102" s="73">
        <v>0</v>
      </c>
      <c r="AU102" s="73">
        <v>0</v>
      </c>
      <c r="AV102" s="320">
        <v>0</v>
      </c>
      <c r="AW102" s="320">
        <v>0</v>
      </c>
    </row>
    <row r="103" spans="2:49">
      <c r="B103" s="316" t="s">
        <v>189</v>
      </c>
      <c r="C103" s="319">
        <v>0</v>
      </c>
      <c r="D103" s="73">
        <v>0</v>
      </c>
      <c r="E103" s="73">
        <v>0</v>
      </c>
      <c r="F103" s="73">
        <v>0</v>
      </c>
      <c r="G103" s="73">
        <v>0</v>
      </c>
      <c r="H103" s="73">
        <v>0</v>
      </c>
      <c r="I103" s="73">
        <v>0</v>
      </c>
      <c r="J103" s="73">
        <v>0</v>
      </c>
      <c r="K103" s="73">
        <v>0</v>
      </c>
      <c r="L103" s="73">
        <v>0</v>
      </c>
      <c r="M103" s="73">
        <v>0</v>
      </c>
      <c r="N103" s="73">
        <v>0</v>
      </c>
      <c r="O103" s="320">
        <v>0</v>
      </c>
      <c r="P103" s="320">
        <v>0</v>
      </c>
      <c r="R103" s="5" t="s">
        <v>189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/>
      <c r="AI103" s="316" t="s">
        <v>189</v>
      </c>
      <c r="AJ103" s="319">
        <v>143</v>
      </c>
      <c r="AK103" s="73">
        <v>190</v>
      </c>
      <c r="AL103" s="73">
        <v>0</v>
      </c>
      <c r="AM103" s="73">
        <v>0</v>
      </c>
      <c r="AN103" s="73">
        <v>103</v>
      </c>
      <c r="AO103" s="73">
        <v>0</v>
      </c>
      <c r="AP103" s="73">
        <v>32</v>
      </c>
      <c r="AQ103" s="73">
        <v>0</v>
      </c>
      <c r="AR103" s="73">
        <v>0</v>
      </c>
      <c r="AS103" s="73">
        <v>142</v>
      </c>
      <c r="AT103" s="73">
        <v>0</v>
      </c>
      <c r="AU103" s="73">
        <v>0</v>
      </c>
      <c r="AV103" s="320">
        <v>0</v>
      </c>
      <c r="AW103" s="320">
        <v>0</v>
      </c>
    </row>
    <row r="104" spans="2:49">
      <c r="B104" s="316" t="s">
        <v>148</v>
      </c>
      <c r="C104" s="319">
        <v>0</v>
      </c>
      <c r="D104" s="73">
        <v>0</v>
      </c>
      <c r="E104" s="73">
        <v>0</v>
      </c>
      <c r="F104" s="73">
        <v>0</v>
      </c>
      <c r="G104" s="73">
        <v>0</v>
      </c>
      <c r="H104" s="73">
        <v>0</v>
      </c>
      <c r="I104" s="73">
        <v>0</v>
      </c>
      <c r="J104" s="73">
        <v>0</v>
      </c>
      <c r="K104" s="73">
        <v>0</v>
      </c>
      <c r="L104" s="73">
        <v>0</v>
      </c>
      <c r="M104" s="73">
        <v>0</v>
      </c>
      <c r="N104" s="73">
        <v>0</v>
      </c>
      <c r="O104" s="320">
        <v>0</v>
      </c>
      <c r="P104" s="320">
        <v>0</v>
      </c>
      <c r="R104" s="5" t="s">
        <v>148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/>
      <c r="AI104" s="316" t="s">
        <v>148</v>
      </c>
      <c r="AJ104" s="319">
        <v>103</v>
      </c>
      <c r="AK104" s="73">
        <v>78</v>
      </c>
      <c r="AL104" s="73">
        <v>78</v>
      </c>
      <c r="AM104" s="73">
        <v>0</v>
      </c>
      <c r="AN104" s="73">
        <v>0</v>
      </c>
      <c r="AO104" s="73">
        <v>0</v>
      </c>
      <c r="AP104" s="73">
        <v>17</v>
      </c>
      <c r="AQ104" s="73">
        <v>0</v>
      </c>
      <c r="AR104" s="73">
        <v>0</v>
      </c>
      <c r="AS104" s="73">
        <v>0</v>
      </c>
      <c r="AT104" s="73">
        <v>0</v>
      </c>
      <c r="AU104" s="73">
        <v>0</v>
      </c>
      <c r="AV104" s="320">
        <v>0</v>
      </c>
      <c r="AW104" s="320">
        <v>0</v>
      </c>
    </row>
    <row r="105" spans="2:49">
      <c r="B105" s="316" t="s">
        <v>181</v>
      </c>
      <c r="C105" s="319">
        <v>0</v>
      </c>
      <c r="D105" s="73">
        <v>0</v>
      </c>
      <c r="E105" s="73">
        <v>0</v>
      </c>
      <c r="F105" s="73">
        <v>0</v>
      </c>
      <c r="G105" s="73">
        <v>0</v>
      </c>
      <c r="H105" s="73">
        <v>0</v>
      </c>
      <c r="I105" s="73">
        <v>0</v>
      </c>
      <c r="J105" s="73">
        <v>0</v>
      </c>
      <c r="K105" s="73">
        <v>0</v>
      </c>
      <c r="L105" s="73">
        <v>0</v>
      </c>
      <c r="M105" s="73">
        <v>0</v>
      </c>
      <c r="N105" s="73">
        <v>0</v>
      </c>
      <c r="O105" s="320">
        <v>0</v>
      </c>
      <c r="P105" s="320">
        <v>51</v>
      </c>
      <c r="R105" s="5" t="s">
        <v>181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</v>
      </c>
      <c r="AG105" s="4"/>
      <c r="AI105" s="316" t="s">
        <v>181</v>
      </c>
      <c r="AJ105" s="319">
        <v>0</v>
      </c>
      <c r="AK105" s="73">
        <v>49</v>
      </c>
      <c r="AL105" s="73">
        <v>0</v>
      </c>
      <c r="AM105" s="73">
        <v>0</v>
      </c>
      <c r="AN105" s="73">
        <v>0</v>
      </c>
      <c r="AO105" s="73">
        <v>0</v>
      </c>
      <c r="AP105" s="73">
        <v>13</v>
      </c>
      <c r="AQ105" s="73">
        <v>0</v>
      </c>
      <c r="AR105" s="73">
        <v>0</v>
      </c>
      <c r="AS105" s="73">
        <v>0</v>
      </c>
      <c r="AT105" s="73">
        <v>0</v>
      </c>
      <c r="AU105" s="73">
        <v>0</v>
      </c>
      <c r="AV105" s="320">
        <v>0</v>
      </c>
      <c r="AW105" s="320">
        <v>51</v>
      </c>
    </row>
    <row r="106" spans="2:49">
      <c r="B106" s="316" t="s">
        <v>183</v>
      </c>
      <c r="C106" s="319">
        <v>0</v>
      </c>
      <c r="D106" s="73">
        <v>0</v>
      </c>
      <c r="E106" s="73">
        <v>0</v>
      </c>
      <c r="F106" s="73">
        <v>0</v>
      </c>
      <c r="G106" s="73">
        <v>0</v>
      </c>
      <c r="H106" s="73">
        <v>0</v>
      </c>
      <c r="I106" s="73">
        <v>0</v>
      </c>
      <c r="J106" s="73">
        <v>0</v>
      </c>
      <c r="K106" s="73">
        <v>0</v>
      </c>
      <c r="L106" s="73">
        <v>0</v>
      </c>
      <c r="M106" s="73">
        <v>0</v>
      </c>
      <c r="N106" s="73">
        <v>0</v>
      </c>
      <c r="O106" s="320">
        <v>0</v>
      </c>
      <c r="P106" s="320">
        <v>0</v>
      </c>
      <c r="R106" s="5" t="s">
        <v>183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/>
      <c r="AI106" s="316" t="s">
        <v>183</v>
      </c>
      <c r="AJ106" s="319">
        <v>99</v>
      </c>
      <c r="AK106" s="73">
        <v>72</v>
      </c>
      <c r="AL106" s="73">
        <v>66</v>
      </c>
      <c r="AM106" s="73">
        <v>40</v>
      </c>
      <c r="AN106" s="73">
        <v>69</v>
      </c>
      <c r="AO106" s="73">
        <v>0</v>
      </c>
      <c r="AP106" s="73">
        <v>22</v>
      </c>
      <c r="AQ106" s="73">
        <v>0</v>
      </c>
      <c r="AR106" s="73">
        <v>0</v>
      </c>
      <c r="AS106" s="73">
        <v>0</v>
      </c>
      <c r="AT106" s="73">
        <v>0</v>
      </c>
      <c r="AU106" s="73">
        <v>0</v>
      </c>
      <c r="AV106" s="320">
        <v>0</v>
      </c>
      <c r="AW106" s="320">
        <v>0</v>
      </c>
    </row>
    <row r="107" spans="2:49">
      <c r="B107" s="312" t="s">
        <v>239</v>
      </c>
      <c r="C107" s="321">
        <v>0</v>
      </c>
      <c r="D107" s="240">
        <v>0</v>
      </c>
      <c r="E107" s="240">
        <v>0</v>
      </c>
      <c r="F107" s="240">
        <v>0</v>
      </c>
      <c r="G107" s="240">
        <v>0</v>
      </c>
      <c r="H107" s="240">
        <v>0</v>
      </c>
      <c r="I107" s="240">
        <v>0</v>
      </c>
      <c r="J107" s="240">
        <v>0</v>
      </c>
      <c r="K107" s="240">
        <v>0</v>
      </c>
      <c r="L107" s="240">
        <v>0</v>
      </c>
      <c r="M107" s="240">
        <v>108</v>
      </c>
      <c r="N107" s="240">
        <v>0</v>
      </c>
      <c r="O107" s="322">
        <v>0</v>
      </c>
      <c r="P107" s="322">
        <v>97</v>
      </c>
      <c r="R107" s="314" t="s">
        <v>239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</v>
      </c>
      <c r="AD107" s="4">
        <v>0</v>
      </c>
      <c r="AE107" s="4">
        <v>0</v>
      </c>
      <c r="AF107" s="4">
        <v>1</v>
      </c>
      <c r="AG107" s="4"/>
      <c r="AI107" s="312" t="s">
        <v>239</v>
      </c>
      <c r="AJ107" s="321">
        <v>0</v>
      </c>
      <c r="AK107" s="240">
        <v>94</v>
      </c>
      <c r="AL107" s="240">
        <v>91</v>
      </c>
      <c r="AM107" s="240">
        <v>0</v>
      </c>
      <c r="AN107" s="240">
        <v>88</v>
      </c>
      <c r="AO107" s="240">
        <v>0</v>
      </c>
      <c r="AP107" s="240">
        <v>28</v>
      </c>
      <c r="AQ107" s="240">
        <v>0</v>
      </c>
      <c r="AR107" s="240">
        <v>0</v>
      </c>
      <c r="AS107" s="240">
        <v>98</v>
      </c>
      <c r="AT107" s="240">
        <v>108</v>
      </c>
      <c r="AU107" s="240">
        <v>88</v>
      </c>
      <c r="AV107" s="322">
        <v>0</v>
      </c>
      <c r="AW107" s="322">
        <v>97</v>
      </c>
    </row>
    <row r="108" spans="2:49" ht="15.75" thickBot="1">
      <c r="B108" s="313" t="s">
        <v>180</v>
      </c>
      <c r="C108" s="323">
        <v>0</v>
      </c>
      <c r="D108" s="324">
        <v>0</v>
      </c>
      <c r="E108" s="324">
        <v>0</v>
      </c>
      <c r="F108" s="324">
        <v>0</v>
      </c>
      <c r="G108" s="324">
        <v>0</v>
      </c>
      <c r="H108" s="324">
        <v>0</v>
      </c>
      <c r="I108" s="324">
        <v>0</v>
      </c>
      <c r="J108" s="324">
        <v>0</v>
      </c>
      <c r="K108" s="324">
        <v>0</v>
      </c>
      <c r="L108" s="324">
        <v>0</v>
      </c>
      <c r="M108" s="324">
        <v>0</v>
      </c>
      <c r="N108" s="324">
        <v>0</v>
      </c>
      <c r="O108" s="325">
        <v>0</v>
      </c>
      <c r="P108" s="325">
        <v>192</v>
      </c>
      <c r="R108" s="85" t="s">
        <v>180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</v>
      </c>
      <c r="AG108" s="4"/>
      <c r="AI108" s="313" t="s">
        <v>180</v>
      </c>
      <c r="AJ108" s="323">
        <v>116</v>
      </c>
      <c r="AK108" s="324">
        <v>97</v>
      </c>
      <c r="AL108" s="324">
        <v>129</v>
      </c>
      <c r="AM108" s="324">
        <v>0</v>
      </c>
      <c r="AN108" s="324">
        <v>135</v>
      </c>
      <c r="AO108" s="324">
        <v>27</v>
      </c>
      <c r="AP108" s="324">
        <v>0</v>
      </c>
      <c r="AQ108" s="324">
        <v>17</v>
      </c>
      <c r="AR108" s="324">
        <v>0</v>
      </c>
      <c r="AS108" s="324">
        <v>121</v>
      </c>
      <c r="AT108" s="324">
        <v>139</v>
      </c>
      <c r="AU108" s="324">
        <v>0</v>
      </c>
      <c r="AV108" s="325">
        <v>0</v>
      </c>
      <c r="AW108" s="325">
        <v>192</v>
      </c>
    </row>
    <row r="109" spans="2:49" ht="15.75" thickBot="1">
      <c r="R109" s="86"/>
      <c r="S109" s="87">
        <f>SUBTOTAL(109,TbCountSdaia[US])</f>
        <v>1</v>
      </c>
      <c r="T109" s="87">
        <f>SUBTOTAL(109,TbCountSdaia[UK])</f>
        <v>0</v>
      </c>
      <c r="U109" s="87">
        <f>SUBTOTAL(109,TbCountSdaia[DE])</f>
        <v>0</v>
      </c>
      <c r="V109" s="87">
        <f>SUBTOTAL(109,TbCountSdaia[PL])</f>
        <v>0</v>
      </c>
      <c r="W109" s="87">
        <f>SUBTOTAL(109,TbCountSdaia[NL])</f>
        <v>0</v>
      </c>
      <c r="X109" s="87">
        <f>SUBTOTAL(109,TbCountSdaia[MX])</f>
        <v>0</v>
      </c>
      <c r="Y109" s="87">
        <f>SUBTOTAL(109,TbCountSdaia[IN])</f>
        <v>3</v>
      </c>
      <c r="Z109" s="87">
        <f>SUBTOTAL(109,TbCountSdaia[EG])</f>
        <v>0</v>
      </c>
      <c r="AA109" s="87">
        <f>SUBTOTAL(109,TbCountSdaia[CAN])</f>
        <v>0</v>
      </c>
      <c r="AB109" s="87">
        <f>SUBTOTAL(109,TbCountSdaia[AU])</f>
        <v>0</v>
      </c>
      <c r="AC109" s="87">
        <f>SUBTOTAL(109,TbCountSdaia[AE])</f>
        <v>8</v>
      </c>
      <c r="AD109" s="87">
        <f>SUBTOTAL(109,TbCountSdaia[SG])</f>
        <v>0</v>
      </c>
      <c r="AE109" s="87">
        <f>SUBTOTAL(109,TbCountSdaia[VN])</f>
        <v>0</v>
      </c>
      <c r="AF109" s="87">
        <f>SUBTOTAL(109,TbCountSdaia[SA])</f>
        <v>3</v>
      </c>
      <c r="AG109" s="348">
        <f>SUM(TbCountSdaia[[#Totals],[US]:[SA]])</f>
        <v>15</v>
      </c>
    </row>
    <row r="112" spans="2:49" ht="15.75" thickBot="1"/>
    <row r="113" spans="2:48" ht="15.75" thickBot="1">
      <c r="B113" s="46" t="s">
        <v>566</v>
      </c>
      <c r="C113" s="47" t="s">
        <v>98</v>
      </c>
      <c r="D113" s="48" t="s">
        <v>105</v>
      </c>
      <c r="E113" s="48" t="s">
        <v>112</v>
      </c>
      <c r="F113" s="48" t="s">
        <v>120</v>
      </c>
      <c r="G113" s="48" t="s">
        <v>125</v>
      </c>
      <c r="H113" s="48" t="s">
        <v>131</v>
      </c>
      <c r="I113" s="48" t="s">
        <v>136</v>
      </c>
      <c r="J113" s="48" t="s">
        <v>140</v>
      </c>
      <c r="K113" s="48" t="s">
        <v>145</v>
      </c>
      <c r="L113" s="48" t="s">
        <v>149</v>
      </c>
      <c r="M113" s="48" t="s">
        <v>153</v>
      </c>
      <c r="N113" s="48" t="s">
        <v>156</v>
      </c>
      <c r="O113" s="359" t="s">
        <v>159</v>
      </c>
      <c r="P113" s="359" t="s">
        <v>161</v>
      </c>
      <c r="R113" s="79" t="s">
        <v>500</v>
      </c>
      <c r="S113" s="1" t="s">
        <v>98</v>
      </c>
      <c r="T113" s="1" t="s">
        <v>105</v>
      </c>
      <c r="U113" s="1" t="s">
        <v>112</v>
      </c>
      <c r="V113" s="1" t="s">
        <v>120</v>
      </c>
      <c r="W113" s="1" t="s">
        <v>125</v>
      </c>
      <c r="X113" s="1" t="s">
        <v>131</v>
      </c>
      <c r="Y113" s="1" t="s">
        <v>136</v>
      </c>
      <c r="Z113" s="1" t="s">
        <v>140</v>
      </c>
      <c r="AA113" s="1" t="s">
        <v>145</v>
      </c>
      <c r="AB113" s="1" t="s">
        <v>149</v>
      </c>
      <c r="AC113" s="71" t="s">
        <v>153</v>
      </c>
      <c r="AD113" s="71" t="s">
        <v>156</v>
      </c>
      <c r="AE113" s="71" t="s">
        <v>159</v>
      </c>
      <c r="AF113" s="71"/>
      <c r="AI113" s="28" t="s">
        <v>501</v>
      </c>
      <c r="AJ113" s="29" t="s">
        <v>98</v>
      </c>
      <c r="AK113" s="30" t="s">
        <v>105</v>
      </c>
      <c r="AL113" s="30" t="s">
        <v>112</v>
      </c>
      <c r="AM113" s="30" t="s">
        <v>120</v>
      </c>
      <c r="AN113" s="30" t="s">
        <v>125</v>
      </c>
      <c r="AO113" s="30" t="s">
        <v>131</v>
      </c>
      <c r="AP113" s="30" t="s">
        <v>136</v>
      </c>
      <c r="AQ113" s="30" t="s">
        <v>140</v>
      </c>
      <c r="AR113" s="30" t="s">
        <v>145</v>
      </c>
      <c r="AS113" s="30" t="s">
        <v>149</v>
      </c>
      <c r="AT113" s="30" t="s">
        <v>153</v>
      </c>
      <c r="AU113" s="30" t="s">
        <v>156</v>
      </c>
      <c r="AV113" s="80" t="s">
        <v>159</v>
      </c>
    </row>
    <row r="114" spans="2:48">
      <c r="B114" s="315" t="s">
        <v>209</v>
      </c>
      <c r="C114" s="317">
        <v>0</v>
      </c>
      <c r="D114" s="72">
        <v>0</v>
      </c>
      <c r="E114" s="72">
        <v>0</v>
      </c>
      <c r="F114" s="72">
        <v>0</v>
      </c>
      <c r="G114" s="72">
        <v>0</v>
      </c>
      <c r="H114" s="72">
        <v>0</v>
      </c>
      <c r="I114" s="72">
        <v>0</v>
      </c>
      <c r="J114" s="72">
        <v>0</v>
      </c>
      <c r="K114" s="72">
        <v>0</v>
      </c>
      <c r="L114" s="72">
        <v>0</v>
      </c>
      <c r="M114" s="72">
        <v>0</v>
      </c>
      <c r="N114" s="72">
        <v>0</v>
      </c>
      <c r="O114" s="318">
        <v>0</v>
      </c>
      <c r="P114" s="318">
        <v>0</v>
      </c>
      <c r="R114" s="3" t="s">
        <v>209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/>
      <c r="AI114" s="315" t="s">
        <v>209</v>
      </c>
      <c r="AJ114" s="317">
        <v>69</v>
      </c>
      <c r="AK114" s="72">
        <v>58</v>
      </c>
      <c r="AL114" s="72">
        <v>61</v>
      </c>
      <c r="AM114" s="72">
        <v>44</v>
      </c>
      <c r="AN114" s="72">
        <v>50</v>
      </c>
      <c r="AO114" s="72">
        <v>30</v>
      </c>
      <c r="AP114" s="72">
        <v>15</v>
      </c>
      <c r="AQ114" s="72">
        <v>0</v>
      </c>
      <c r="AR114" s="72">
        <v>0</v>
      </c>
      <c r="AS114" s="72">
        <v>54</v>
      </c>
      <c r="AT114" s="72">
        <v>0</v>
      </c>
      <c r="AU114" s="72">
        <v>81</v>
      </c>
      <c r="AV114" s="318">
        <v>15</v>
      </c>
    </row>
    <row r="115" spans="2:48">
      <c r="B115" s="316" t="s">
        <v>213</v>
      </c>
      <c r="C115" s="319">
        <v>0</v>
      </c>
      <c r="D115" s="73">
        <v>0</v>
      </c>
      <c r="E115" s="73">
        <v>0</v>
      </c>
      <c r="F115" s="73">
        <v>0</v>
      </c>
      <c r="G115" s="73">
        <v>0</v>
      </c>
      <c r="H115" s="73">
        <v>0</v>
      </c>
      <c r="I115" s="73">
        <v>0</v>
      </c>
      <c r="J115" s="73">
        <v>0</v>
      </c>
      <c r="K115" s="73">
        <v>0</v>
      </c>
      <c r="L115" s="73">
        <v>0</v>
      </c>
      <c r="M115" s="73">
        <v>0</v>
      </c>
      <c r="N115" s="73">
        <v>0</v>
      </c>
      <c r="O115" s="320">
        <v>0</v>
      </c>
      <c r="P115" s="320">
        <v>0</v>
      </c>
      <c r="R115" s="5" t="s">
        <v>213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/>
      <c r="AI115" s="316" t="s">
        <v>213</v>
      </c>
      <c r="AJ115" s="319">
        <v>96</v>
      </c>
      <c r="AK115" s="73">
        <v>72</v>
      </c>
      <c r="AL115" s="73">
        <v>71</v>
      </c>
      <c r="AM115" s="73">
        <v>56</v>
      </c>
      <c r="AN115" s="73">
        <v>64</v>
      </c>
      <c r="AO115" s="73">
        <v>39</v>
      </c>
      <c r="AP115" s="73">
        <v>20</v>
      </c>
      <c r="AQ115" s="73">
        <v>9</v>
      </c>
      <c r="AR115" s="73">
        <v>62</v>
      </c>
      <c r="AS115" s="73">
        <v>64</v>
      </c>
      <c r="AT115" s="73">
        <v>88</v>
      </c>
      <c r="AU115" s="73">
        <v>103</v>
      </c>
      <c r="AV115" s="320">
        <v>21</v>
      </c>
    </row>
    <row r="116" spans="2:48">
      <c r="B116" s="316" t="s">
        <v>217</v>
      </c>
      <c r="C116" s="319">
        <v>0</v>
      </c>
      <c r="D116" s="73">
        <v>0</v>
      </c>
      <c r="E116" s="73">
        <v>0</v>
      </c>
      <c r="F116" s="73">
        <v>0</v>
      </c>
      <c r="G116" s="73">
        <v>0</v>
      </c>
      <c r="H116" s="73">
        <v>0</v>
      </c>
      <c r="I116" s="73">
        <v>0</v>
      </c>
      <c r="J116" s="73">
        <v>0</v>
      </c>
      <c r="K116" s="73">
        <v>0</v>
      </c>
      <c r="L116" s="73">
        <v>0</v>
      </c>
      <c r="M116" s="73">
        <v>0</v>
      </c>
      <c r="N116" s="73">
        <v>0</v>
      </c>
      <c r="O116" s="320">
        <v>0</v>
      </c>
      <c r="P116" s="320">
        <v>0</v>
      </c>
      <c r="R116" s="5" t="s">
        <v>217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/>
      <c r="AI116" s="316" t="s">
        <v>217</v>
      </c>
      <c r="AJ116" s="319">
        <v>125</v>
      </c>
      <c r="AK116" s="73">
        <v>99</v>
      </c>
      <c r="AL116" s="73">
        <v>88</v>
      </c>
      <c r="AM116" s="73">
        <v>68</v>
      </c>
      <c r="AN116" s="73">
        <v>84</v>
      </c>
      <c r="AO116" s="73">
        <v>53</v>
      </c>
      <c r="AP116" s="73">
        <v>32</v>
      </c>
      <c r="AQ116" s="73">
        <v>15</v>
      </c>
      <c r="AR116" s="73">
        <v>76</v>
      </c>
      <c r="AS116" s="73">
        <v>88</v>
      </c>
      <c r="AT116" s="73">
        <v>107</v>
      </c>
      <c r="AU116" s="73">
        <v>116</v>
      </c>
      <c r="AV116" s="320">
        <v>29</v>
      </c>
    </row>
    <row r="117" spans="2:48">
      <c r="B117" s="316" t="s">
        <v>221</v>
      </c>
      <c r="C117" s="319">
        <v>0</v>
      </c>
      <c r="D117" s="73">
        <v>0</v>
      </c>
      <c r="E117" s="73">
        <v>0</v>
      </c>
      <c r="F117" s="73">
        <v>0</v>
      </c>
      <c r="G117" s="73">
        <v>0</v>
      </c>
      <c r="H117" s="73">
        <v>0</v>
      </c>
      <c r="I117" s="73">
        <v>0</v>
      </c>
      <c r="J117" s="73">
        <v>0</v>
      </c>
      <c r="K117" s="73">
        <v>0</v>
      </c>
      <c r="L117" s="73">
        <v>0</v>
      </c>
      <c r="M117" s="73">
        <v>0</v>
      </c>
      <c r="N117" s="73">
        <v>0</v>
      </c>
      <c r="O117" s="320">
        <v>0</v>
      </c>
      <c r="P117" s="320">
        <v>0</v>
      </c>
      <c r="R117" s="5" t="s">
        <v>221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/>
      <c r="AI117" s="316" t="s">
        <v>221</v>
      </c>
      <c r="AJ117" s="319">
        <v>159</v>
      </c>
      <c r="AK117" s="73">
        <v>122</v>
      </c>
      <c r="AL117" s="73">
        <v>131</v>
      </c>
      <c r="AM117" s="73">
        <v>86</v>
      </c>
      <c r="AN117" s="73">
        <v>121</v>
      </c>
      <c r="AO117" s="73">
        <v>82</v>
      </c>
      <c r="AP117" s="73">
        <v>40</v>
      </c>
      <c r="AQ117" s="73">
        <v>19</v>
      </c>
      <c r="AR117" s="73">
        <v>96</v>
      </c>
      <c r="AS117" s="73">
        <v>132</v>
      </c>
      <c r="AT117" s="73">
        <v>160</v>
      </c>
      <c r="AU117" s="73">
        <v>135</v>
      </c>
      <c r="AV117" s="320">
        <v>34</v>
      </c>
    </row>
    <row r="118" spans="2:48">
      <c r="B118" s="316" t="s">
        <v>127</v>
      </c>
      <c r="C118" s="319">
        <v>0</v>
      </c>
      <c r="D118" s="73">
        <v>0</v>
      </c>
      <c r="E118" s="73">
        <v>0</v>
      </c>
      <c r="F118" s="73">
        <v>0</v>
      </c>
      <c r="G118" s="73">
        <v>0</v>
      </c>
      <c r="H118" s="73">
        <v>95</v>
      </c>
      <c r="I118" s="73">
        <v>0</v>
      </c>
      <c r="J118" s="73">
        <v>0</v>
      </c>
      <c r="K118" s="73">
        <v>0</v>
      </c>
      <c r="L118" s="73">
        <v>0</v>
      </c>
      <c r="M118" s="73">
        <v>0</v>
      </c>
      <c r="N118" s="73">
        <v>0</v>
      </c>
      <c r="O118" s="320">
        <v>0</v>
      </c>
      <c r="P118" s="320">
        <v>0</v>
      </c>
      <c r="R118" s="5" t="s">
        <v>127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1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/>
      <c r="AI118" s="316" t="s">
        <v>127</v>
      </c>
      <c r="AJ118" s="319">
        <v>210</v>
      </c>
      <c r="AK118" s="73">
        <v>161</v>
      </c>
      <c r="AL118" s="73">
        <v>173</v>
      </c>
      <c r="AM118" s="73">
        <v>113</v>
      </c>
      <c r="AN118" s="73">
        <v>159</v>
      </c>
      <c r="AO118" s="73">
        <v>108</v>
      </c>
      <c r="AP118" s="73">
        <v>0</v>
      </c>
      <c r="AQ118" s="73">
        <v>0</v>
      </c>
      <c r="AR118" s="73">
        <v>154</v>
      </c>
      <c r="AS118" s="73">
        <v>0</v>
      </c>
      <c r="AT118" s="73">
        <v>212</v>
      </c>
      <c r="AU118" s="73">
        <v>235</v>
      </c>
      <c r="AV118" s="320">
        <v>0</v>
      </c>
    </row>
    <row r="119" spans="2:48">
      <c r="B119" s="316" t="s">
        <v>117</v>
      </c>
      <c r="C119" s="319">
        <v>88</v>
      </c>
      <c r="D119" s="73">
        <v>0</v>
      </c>
      <c r="E119" s="73">
        <v>0</v>
      </c>
      <c r="F119" s="73">
        <v>0</v>
      </c>
      <c r="G119" s="73">
        <v>0</v>
      </c>
      <c r="H119" s="73">
        <v>0</v>
      </c>
      <c r="I119" s="73">
        <v>18</v>
      </c>
      <c r="J119" s="73">
        <v>0</v>
      </c>
      <c r="K119" s="73">
        <v>0</v>
      </c>
      <c r="L119" s="73">
        <v>0</v>
      </c>
      <c r="M119" s="73">
        <v>0</v>
      </c>
      <c r="N119" s="73">
        <v>0</v>
      </c>
      <c r="O119" s="320">
        <v>0</v>
      </c>
      <c r="P119" s="320">
        <v>0</v>
      </c>
      <c r="R119" s="5" t="s">
        <v>117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5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/>
      <c r="AI119" s="316" t="s">
        <v>117</v>
      </c>
      <c r="AJ119" s="319">
        <v>88</v>
      </c>
      <c r="AK119" s="73">
        <v>84</v>
      </c>
      <c r="AL119" s="73">
        <v>0</v>
      </c>
      <c r="AM119" s="73">
        <v>0</v>
      </c>
      <c r="AN119" s="73">
        <v>72</v>
      </c>
      <c r="AO119" s="73">
        <v>0</v>
      </c>
      <c r="AP119" s="73">
        <v>18</v>
      </c>
      <c r="AQ119" s="73">
        <v>0</v>
      </c>
      <c r="AR119" s="73">
        <v>0</v>
      </c>
      <c r="AS119" s="73">
        <v>0</v>
      </c>
      <c r="AT119" s="73">
        <v>0</v>
      </c>
      <c r="AU119" s="73">
        <v>0</v>
      </c>
      <c r="AV119" s="320">
        <v>0</v>
      </c>
    </row>
    <row r="120" spans="2:48">
      <c r="B120" s="316" t="s">
        <v>189</v>
      </c>
      <c r="C120" s="319">
        <v>136</v>
      </c>
      <c r="D120" s="73">
        <v>0</v>
      </c>
      <c r="E120" s="73">
        <v>0</v>
      </c>
      <c r="F120" s="73">
        <v>0</v>
      </c>
      <c r="G120" s="73">
        <v>0</v>
      </c>
      <c r="H120" s="73">
        <v>0</v>
      </c>
      <c r="I120" s="73">
        <v>34</v>
      </c>
      <c r="J120" s="73">
        <v>0</v>
      </c>
      <c r="K120" s="73">
        <v>0</v>
      </c>
      <c r="L120" s="73">
        <v>0</v>
      </c>
      <c r="M120" s="73">
        <v>0</v>
      </c>
      <c r="N120" s="73">
        <v>0</v>
      </c>
      <c r="O120" s="320">
        <v>0</v>
      </c>
      <c r="P120" s="320">
        <v>0</v>
      </c>
      <c r="R120" s="5" t="s">
        <v>189</v>
      </c>
      <c r="S120" s="4">
        <v>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15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/>
      <c r="AI120" s="316" t="s">
        <v>189</v>
      </c>
      <c r="AJ120" s="319">
        <v>136</v>
      </c>
      <c r="AK120" s="73">
        <v>190</v>
      </c>
      <c r="AL120" s="73">
        <v>0</v>
      </c>
      <c r="AM120" s="73">
        <v>0</v>
      </c>
      <c r="AN120" s="73">
        <v>103</v>
      </c>
      <c r="AO120" s="73">
        <v>0</v>
      </c>
      <c r="AP120" s="73">
        <v>34</v>
      </c>
      <c r="AQ120" s="73">
        <v>0</v>
      </c>
      <c r="AR120" s="73">
        <v>0</v>
      </c>
      <c r="AS120" s="73">
        <v>142</v>
      </c>
      <c r="AT120" s="73">
        <v>0</v>
      </c>
      <c r="AU120" s="73">
        <v>0</v>
      </c>
      <c r="AV120" s="320">
        <v>0</v>
      </c>
    </row>
    <row r="121" spans="2:48">
      <c r="B121" s="316" t="s">
        <v>148</v>
      </c>
      <c r="C121" s="319">
        <v>81</v>
      </c>
      <c r="D121" s="73">
        <v>0</v>
      </c>
      <c r="E121" s="73">
        <v>0</v>
      </c>
      <c r="F121" s="73">
        <v>0</v>
      </c>
      <c r="G121" s="73">
        <v>0</v>
      </c>
      <c r="H121" s="73">
        <v>0</v>
      </c>
      <c r="I121" s="73">
        <v>0</v>
      </c>
      <c r="J121" s="73">
        <v>0</v>
      </c>
      <c r="K121" s="73">
        <v>0</v>
      </c>
      <c r="L121" s="73">
        <v>0</v>
      </c>
      <c r="M121" s="73">
        <v>0</v>
      </c>
      <c r="N121" s="73">
        <v>0</v>
      </c>
      <c r="O121" s="320">
        <v>0</v>
      </c>
      <c r="P121" s="320">
        <v>0</v>
      </c>
      <c r="R121" s="5" t="s">
        <v>148</v>
      </c>
      <c r="S121" s="4">
        <v>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/>
      <c r="AI121" s="316" t="s">
        <v>148</v>
      </c>
      <c r="AJ121" s="319">
        <v>81</v>
      </c>
      <c r="AK121" s="73">
        <v>78</v>
      </c>
      <c r="AL121" s="73">
        <v>78</v>
      </c>
      <c r="AM121" s="73">
        <v>0</v>
      </c>
      <c r="AN121" s="73">
        <v>0</v>
      </c>
      <c r="AO121" s="73">
        <v>0</v>
      </c>
      <c r="AP121" s="73">
        <v>17</v>
      </c>
      <c r="AQ121" s="73">
        <v>0</v>
      </c>
      <c r="AR121" s="73">
        <v>0</v>
      </c>
      <c r="AS121" s="73">
        <v>0</v>
      </c>
      <c r="AT121" s="73">
        <v>0</v>
      </c>
      <c r="AU121" s="73">
        <v>0</v>
      </c>
      <c r="AV121" s="320">
        <v>0</v>
      </c>
    </row>
    <row r="122" spans="2:48">
      <c r="B122" s="316" t="s">
        <v>181</v>
      </c>
      <c r="C122" s="319">
        <v>0</v>
      </c>
      <c r="D122" s="73">
        <v>0</v>
      </c>
      <c r="E122" s="73">
        <v>0</v>
      </c>
      <c r="F122" s="73">
        <v>0</v>
      </c>
      <c r="G122" s="73">
        <v>0</v>
      </c>
      <c r="H122" s="73">
        <v>0</v>
      </c>
      <c r="I122" s="73">
        <v>0</v>
      </c>
      <c r="J122" s="73">
        <v>0</v>
      </c>
      <c r="K122" s="73">
        <v>0</v>
      </c>
      <c r="L122" s="73">
        <v>0</v>
      </c>
      <c r="M122" s="73">
        <v>0</v>
      </c>
      <c r="N122" s="73">
        <v>0</v>
      </c>
      <c r="O122" s="320">
        <v>0</v>
      </c>
      <c r="P122" s="320">
        <v>0</v>
      </c>
      <c r="R122" s="5" t="s">
        <v>181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/>
      <c r="AI122" s="316" t="s">
        <v>181</v>
      </c>
      <c r="AJ122" s="319">
        <v>0</v>
      </c>
      <c r="AK122" s="73">
        <v>49</v>
      </c>
      <c r="AL122" s="73">
        <v>0</v>
      </c>
      <c r="AM122" s="73">
        <v>0</v>
      </c>
      <c r="AN122" s="73">
        <v>0</v>
      </c>
      <c r="AO122" s="73">
        <v>0</v>
      </c>
      <c r="AP122" s="73">
        <v>13</v>
      </c>
      <c r="AQ122" s="73">
        <v>0</v>
      </c>
      <c r="AR122" s="73">
        <v>0</v>
      </c>
      <c r="AS122" s="73">
        <v>0</v>
      </c>
      <c r="AT122" s="73">
        <v>0</v>
      </c>
      <c r="AU122" s="73">
        <v>0</v>
      </c>
      <c r="AV122" s="320">
        <v>0</v>
      </c>
    </row>
    <row r="123" spans="2:48">
      <c r="B123" s="316" t="s">
        <v>183</v>
      </c>
      <c r="C123" s="319">
        <v>0</v>
      </c>
      <c r="D123" s="73">
        <v>0</v>
      </c>
      <c r="E123" s="73">
        <v>0</v>
      </c>
      <c r="F123" s="73">
        <v>0</v>
      </c>
      <c r="G123" s="73">
        <v>0</v>
      </c>
      <c r="H123" s="73">
        <v>0</v>
      </c>
      <c r="I123" s="73">
        <v>0</v>
      </c>
      <c r="J123" s="73">
        <v>0</v>
      </c>
      <c r="K123" s="73">
        <v>0</v>
      </c>
      <c r="L123" s="73">
        <v>0</v>
      </c>
      <c r="M123" s="73">
        <v>0</v>
      </c>
      <c r="N123" s="73">
        <v>0</v>
      </c>
      <c r="O123" s="320">
        <v>0</v>
      </c>
      <c r="P123" s="320">
        <v>0</v>
      </c>
      <c r="R123" s="5" t="s">
        <v>183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/>
      <c r="AI123" s="316" t="s">
        <v>183</v>
      </c>
      <c r="AJ123" s="319">
        <v>99</v>
      </c>
      <c r="AK123" s="73">
        <v>72</v>
      </c>
      <c r="AL123" s="73">
        <v>66</v>
      </c>
      <c r="AM123" s="73">
        <v>40</v>
      </c>
      <c r="AN123" s="73">
        <v>69</v>
      </c>
      <c r="AO123" s="73">
        <v>0</v>
      </c>
      <c r="AP123" s="73">
        <v>22</v>
      </c>
      <c r="AQ123" s="73">
        <v>0</v>
      </c>
      <c r="AR123" s="73">
        <v>0</v>
      </c>
      <c r="AS123" s="73">
        <v>0</v>
      </c>
      <c r="AT123" s="73">
        <v>0</v>
      </c>
      <c r="AU123" s="73">
        <v>0</v>
      </c>
      <c r="AV123" s="320">
        <v>16</v>
      </c>
    </row>
    <row r="124" spans="2:48">
      <c r="B124" s="312" t="s">
        <v>239</v>
      </c>
      <c r="C124" s="321">
        <v>0</v>
      </c>
      <c r="D124" s="240">
        <v>0</v>
      </c>
      <c r="E124" s="240">
        <v>0</v>
      </c>
      <c r="F124" s="240">
        <v>0</v>
      </c>
      <c r="G124" s="240">
        <v>0</v>
      </c>
      <c r="H124" s="240">
        <v>0</v>
      </c>
      <c r="I124" s="240">
        <v>0</v>
      </c>
      <c r="J124" s="240">
        <v>0</v>
      </c>
      <c r="K124" s="240">
        <v>0</v>
      </c>
      <c r="L124" s="240">
        <v>0</v>
      </c>
      <c r="M124" s="240">
        <v>0</v>
      </c>
      <c r="N124" s="240">
        <v>0</v>
      </c>
      <c r="O124" s="322">
        <v>0</v>
      </c>
      <c r="P124" s="322">
        <v>0</v>
      </c>
      <c r="R124" s="314" t="s">
        <v>239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/>
      <c r="AI124" s="312" t="s">
        <v>239</v>
      </c>
      <c r="AJ124" s="321">
        <v>0</v>
      </c>
      <c r="AK124" s="240">
        <v>94</v>
      </c>
      <c r="AL124" s="240">
        <v>91</v>
      </c>
      <c r="AM124" s="240">
        <v>0</v>
      </c>
      <c r="AN124" s="240">
        <v>88</v>
      </c>
      <c r="AO124" s="240">
        <v>0</v>
      </c>
      <c r="AP124" s="240">
        <v>28</v>
      </c>
      <c r="AQ124" s="240">
        <v>0</v>
      </c>
      <c r="AR124" s="240">
        <v>0</v>
      </c>
      <c r="AS124" s="240">
        <v>98</v>
      </c>
      <c r="AT124" s="240">
        <v>0</v>
      </c>
      <c r="AU124" s="240">
        <v>88</v>
      </c>
      <c r="AV124" s="322">
        <v>22</v>
      </c>
    </row>
    <row r="125" spans="2:48" ht="15.75" thickBot="1">
      <c r="B125" s="313" t="s">
        <v>180</v>
      </c>
      <c r="C125" s="323">
        <v>141</v>
      </c>
      <c r="D125" s="324">
        <v>0</v>
      </c>
      <c r="E125" s="324">
        <v>0</v>
      </c>
      <c r="F125" s="324">
        <v>0</v>
      </c>
      <c r="G125" s="324">
        <v>0</v>
      </c>
      <c r="H125" s="324">
        <v>0</v>
      </c>
      <c r="I125" s="324">
        <v>0</v>
      </c>
      <c r="J125" s="324">
        <v>0</v>
      </c>
      <c r="K125" s="324">
        <v>0</v>
      </c>
      <c r="L125" s="324">
        <v>0</v>
      </c>
      <c r="M125" s="324">
        <v>0</v>
      </c>
      <c r="N125" s="324">
        <v>0</v>
      </c>
      <c r="O125" s="325">
        <v>0</v>
      </c>
      <c r="P125" s="325">
        <v>0</v>
      </c>
      <c r="R125" s="85" t="s">
        <v>180</v>
      </c>
      <c r="S125" s="4">
        <v>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/>
      <c r="AI125" s="313" t="s">
        <v>180</v>
      </c>
      <c r="AJ125" s="323">
        <v>141</v>
      </c>
      <c r="AK125" s="324">
        <v>97</v>
      </c>
      <c r="AL125" s="324">
        <v>129</v>
      </c>
      <c r="AM125" s="324">
        <v>0</v>
      </c>
      <c r="AN125" s="324">
        <v>135</v>
      </c>
      <c r="AO125" s="324">
        <v>27</v>
      </c>
      <c r="AP125" s="324">
        <v>0</v>
      </c>
      <c r="AQ125" s="324">
        <v>17</v>
      </c>
      <c r="AR125" s="324">
        <v>0</v>
      </c>
      <c r="AS125" s="324">
        <v>121</v>
      </c>
      <c r="AT125" s="324">
        <v>139</v>
      </c>
      <c r="AU125" s="324">
        <v>0</v>
      </c>
      <c r="AV125" s="325">
        <v>0</v>
      </c>
    </row>
    <row r="126" spans="2:48" ht="15.75" thickBot="1">
      <c r="R126" s="86"/>
      <c r="S126" s="87">
        <f>SUBTOTAL(109,TbCountErp[US])</f>
        <v>12</v>
      </c>
      <c r="T126" s="87">
        <f>SUBTOTAL(109,TbCountErp[UK])</f>
        <v>0</v>
      </c>
      <c r="U126" s="87">
        <f>SUBTOTAL(109,TbCountErp[DE])</f>
        <v>0</v>
      </c>
      <c r="V126" s="87">
        <f>SUBTOTAL(109,TbCountErp[PL])</f>
        <v>0</v>
      </c>
      <c r="W126" s="87">
        <f>SUBTOTAL(109,TbCountErp[NL])</f>
        <v>0</v>
      </c>
      <c r="X126" s="87">
        <f>SUBTOTAL(109,TbCountErp[MX])</f>
        <v>1</v>
      </c>
      <c r="Y126" s="87">
        <f>SUBTOTAL(109,TbCountErp[IN])</f>
        <v>20</v>
      </c>
      <c r="Z126" s="87">
        <f>SUBTOTAL(109,TbCountErp[EG])</f>
        <v>0</v>
      </c>
      <c r="AA126" s="87">
        <f>SUBTOTAL(109,TbCountErp[CAN])</f>
        <v>0</v>
      </c>
      <c r="AB126" s="87">
        <f>SUBTOTAL(109,TbCountErp[AU])</f>
        <v>0</v>
      </c>
      <c r="AC126" s="87">
        <f>SUBTOTAL(109,TbCountErp[AE])</f>
        <v>0</v>
      </c>
      <c r="AD126" s="87">
        <f>SUBTOTAL(109,TbCountErp[SG])</f>
        <v>0</v>
      </c>
      <c r="AE126" s="87">
        <f>SUBTOTAL(109,TbCountErp[VN])</f>
        <v>0</v>
      </c>
      <c r="AF126" s="87"/>
      <c r="AG126" s="348">
        <f>SUM(TbCountErp[[#Totals],[US]:[VN]])</f>
        <v>33</v>
      </c>
    </row>
    <row r="127" spans="2:48" ht="15.75" thickBot="1"/>
    <row r="128" spans="2:48" ht="15.75" thickBot="1">
      <c r="B128" s="38" t="s">
        <v>567</v>
      </c>
      <c r="C128" s="38" t="s">
        <v>98</v>
      </c>
      <c r="D128" s="418" t="s">
        <v>105</v>
      </c>
      <c r="E128" s="418" t="s">
        <v>112</v>
      </c>
      <c r="F128" s="418" t="s">
        <v>120</v>
      </c>
      <c r="G128" s="418" t="s">
        <v>125</v>
      </c>
      <c r="H128" s="418" t="s">
        <v>131</v>
      </c>
      <c r="I128" s="418" t="s">
        <v>136</v>
      </c>
      <c r="J128" s="418" t="s">
        <v>140</v>
      </c>
      <c r="K128" s="418" t="s">
        <v>145</v>
      </c>
      <c r="L128" s="418" t="s">
        <v>149</v>
      </c>
      <c r="M128" s="418" t="s">
        <v>153</v>
      </c>
      <c r="N128" s="418" t="s">
        <v>156</v>
      </c>
      <c r="O128" s="419" t="s">
        <v>159</v>
      </c>
      <c r="P128" s="420" t="s">
        <v>161</v>
      </c>
      <c r="R128" s="38" t="s">
        <v>502</v>
      </c>
      <c r="S128" s="1" t="s">
        <v>98</v>
      </c>
      <c r="T128" s="1" t="s">
        <v>105</v>
      </c>
      <c r="U128" s="1" t="s">
        <v>112</v>
      </c>
      <c r="V128" s="1" t="s">
        <v>120</v>
      </c>
      <c r="W128" s="1" t="s">
        <v>125</v>
      </c>
      <c r="X128" s="1" t="s">
        <v>131</v>
      </c>
      <c r="Y128" s="1" t="s">
        <v>136</v>
      </c>
      <c r="Z128" s="1" t="s">
        <v>140</v>
      </c>
      <c r="AA128" s="1" t="s">
        <v>145</v>
      </c>
      <c r="AB128" s="1" t="s">
        <v>149</v>
      </c>
      <c r="AC128" s="71" t="s">
        <v>153</v>
      </c>
      <c r="AD128" s="71" t="s">
        <v>156</v>
      </c>
      <c r="AE128" s="71" t="s">
        <v>159</v>
      </c>
      <c r="AF128" s="71"/>
      <c r="AI128" s="38" t="s">
        <v>503</v>
      </c>
      <c r="AJ128" s="38" t="s">
        <v>98</v>
      </c>
      <c r="AK128" s="418" t="s">
        <v>105</v>
      </c>
      <c r="AL128" s="418" t="s">
        <v>112</v>
      </c>
      <c r="AM128" s="418" t="s">
        <v>120</v>
      </c>
      <c r="AN128" s="418" t="s">
        <v>125</v>
      </c>
      <c r="AO128" s="418" t="s">
        <v>131</v>
      </c>
      <c r="AP128" s="418" t="s">
        <v>136</v>
      </c>
      <c r="AQ128" s="418" t="s">
        <v>140</v>
      </c>
      <c r="AR128" s="418" t="s">
        <v>145</v>
      </c>
      <c r="AS128" s="418" t="s">
        <v>149</v>
      </c>
      <c r="AT128" s="418" t="s">
        <v>153</v>
      </c>
      <c r="AU128" s="418" t="s">
        <v>156</v>
      </c>
      <c r="AV128" s="419" t="s">
        <v>159</v>
      </c>
    </row>
    <row r="129" spans="2:48">
      <c r="B129" s="3" t="s">
        <v>210</v>
      </c>
      <c r="C129" s="150">
        <v>118</v>
      </c>
      <c r="D129" s="72">
        <v>0</v>
      </c>
      <c r="E129" s="72">
        <v>0</v>
      </c>
      <c r="F129" s="72">
        <v>0</v>
      </c>
      <c r="G129" s="72">
        <v>0</v>
      </c>
      <c r="H129" s="72">
        <v>0</v>
      </c>
      <c r="I129" s="72">
        <v>0</v>
      </c>
      <c r="J129" s="72">
        <v>0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421">
        <v>0</v>
      </c>
      <c r="R129" s="3" t="s">
        <v>210</v>
      </c>
      <c r="S129" s="425">
        <v>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/>
      <c r="AI129" s="3" t="s">
        <v>210</v>
      </c>
      <c r="AJ129" s="317">
        <v>118</v>
      </c>
      <c r="AK129" s="72">
        <v>0</v>
      </c>
      <c r="AL129" s="72">
        <v>0</v>
      </c>
      <c r="AM129" s="72">
        <v>0</v>
      </c>
      <c r="AN129" s="72">
        <v>0</v>
      </c>
      <c r="AO129" s="72">
        <v>0</v>
      </c>
      <c r="AP129" s="72">
        <v>31</v>
      </c>
      <c r="AQ129" s="72">
        <v>0</v>
      </c>
      <c r="AR129" s="72">
        <v>0</v>
      </c>
      <c r="AS129" s="72">
        <v>0</v>
      </c>
      <c r="AT129" s="72">
        <v>0</v>
      </c>
      <c r="AU129" s="72">
        <v>0</v>
      </c>
      <c r="AV129" s="318">
        <v>0</v>
      </c>
    </row>
    <row r="130" spans="2:48">
      <c r="B130" s="5" t="s">
        <v>214</v>
      </c>
      <c r="C130" s="73">
        <v>135</v>
      </c>
      <c r="D130" s="73">
        <v>0</v>
      </c>
      <c r="E130" s="73">
        <v>0</v>
      </c>
      <c r="F130" s="73">
        <v>0</v>
      </c>
      <c r="G130" s="73">
        <v>0</v>
      </c>
      <c r="H130" s="73">
        <v>0</v>
      </c>
      <c r="I130" s="73">
        <v>0</v>
      </c>
      <c r="J130" s="73">
        <v>0</v>
      </c>
      <c r="K130" s="73">
        <v>0</v>
      </c>
      <c r="L130" s="73">
        <v>0</v>
      </c>
      <c r="M130" s="73">
        <v>0</v>
      </c>
      <c r="N130" s="73">
        <v>0</v>
      </c>
      <c r="O130" s="73">
        <v>0</v>
      </c>
      <c r="P130" s="422">
        <v>0</v>
      </c>
      <c r="R130" s="5" t="s">
        <v>214</v>
      </c>
      <c r="S130" s="4">
        <v>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/>
      <c r="AI130" s="5" t="s">
        <v>214</v>
      </c>
      <c r="AJ130" s="319">
        <v>135</v>
      </c>
      <c r="AK130" s="73">
        <v>0</v>
      </c>
      <c r="AL130" s="73">
        <v>0</v>
      </c>
      <c r="AM130" s="73">
        <v>0</v>
      </c>
      <c r="AN130" s="73">
        <v>0</v>
      </c>
      <c r="AO130" s="73">
        <v>0</v>
      </c>
      <c r="AP130" s="73">
        <v>0</v>
      </c>
      <c r="AQ130" s="73">
        <v>0</v>
      </c>
      <c r="AR130" s="73">
        <v>0</v>
      </c>
      <c r="AS130" s="73">
        <v>0</v>
      </c>
      <c r="AT130" s="73">
        <v>0</v>
      </c>
      <c r="AU130" s="73">
        <v>0</v>
      </c>
      <c r="AV130" s="320">
        <v>0</v>
      </c>
    </row>
    <row r="131" spans="2:48">
      <c r="B131" s="5" t="s">
        <v>218</v>
      </c>
      <c r="C131" s="73">
        <v>119</v>
      </c>
      <c r="D131" s="73">
        <v>0</v>
      </c>
      <c r="E131" s="73">
        <v>0</v>
      </c>
      <c r="F131" s="73">
        <v>0</v>
      </c>
      <c r="G131" s="73">
        <v>0</v>
      </c>
      <c r="H131" s="73">
        <v>0</v>
      </c>
      <c r="I131" s="73">
        <v>0</v>
      </c>
      <c r="J131" s="73">
        <v>0</v>
      </c>
      <c r="K131" s="73">
        <v>0</v>
      </c>
      <c r="L131" s="73">
        <v>0</v>
      </c>
      <c r="M131" s="73">
        <v>0</v>
      </c>
      <c r="N131" s="73">
        <v>0</v>
      </c>
      <c r="O131" s="73">
        <v>0</v>
      </c>
      <c r="P131" s="422">
        <v>0</v>
      </c>
      <c r="R131" s="5" t="s">
        <v>218</v>
      </c>
      <c r="S131" s="4">
        <v>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/>
      <c r="AI131" s="5" t="s">
        <v>218</v>
      </c>
      <c r="AJ131" s="319">
        <v>119</v>
      </c>
      <c r="AK131" s="73">
        <v>0</v>
      </c>
      <c r="AL131" s="73">
        <v>0</v>
      </c>
      <c r="AM131" s="73">
        <v>0</v>
      </c>
      <c r="AN131" s="73">
        <v>0</v>
      </c>
      <c r="AO131" s="73">
        <v>0</v>
      </c>
      <c r="AP131" s="73">
        <v>28</v>
      </c>
      <c r="AQ131" s="73">
        <v>13</v>
      </c>
      <c r="AR131" s="73">
        <v>79</v>
      </c>
      <c r="AS131" s="73">
        <v>0</v>
      </c>
      <c r="AT131" s="73">
        <v>0</v>
      </c>
      <c r="AU131" s="73">
        <v>121</v>
      </c>
      <c r="AV131" s="320">
        <v>29</v>
      </c>
    </row>
    <row r="132" spans="2:48">
      <c r="B132" s="5" t="s">
        <v>222</v>
      </c>
      <c r="C132" s="73">
        <v>151</v>
      </c>
      <c r="D132" s="73">
        <v>0</v>
      </c>
      <c r="E132" s="73">
        <v>0</v>
      </c>
      <c r="F132" s="73">
        <v>0</v>
      </c>
      <c r="G132" s="73">
        <v>0</v>
      </c>
      <c r="H132" s="73">
        <v>0</v>
      </c>
      <c r="I132" s="73">
        <v>0</v>
      </c>
      <c r="J132" s="73">
        <v>0</v>
      </c>
      <c r="K132" s="73">
        <v>0</v>
      </c>
      <c r="L132" s="73">
        <v>0</v>
      </c>
      <c r="M132" s="73">
        <v>0</v>
      </c>
      <c r="N132" s="73">
        <v>0</v>
      </c>
      <c r="O132" s="73">
        <v>0</v>
      </c>
      <c r="P132" s="422">
        <v>0</v>
      </c>
      <c r="R132" s="5" t="s">
        <v>222</v>
      </c>
      <c r="S132" s="4">
        <v>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/>
      <c r="AI132" s="5" t="s">
        <v>222</v>
      </c>
      <c r="AJ132" s="319">
        <v>151</v>
      </c>
      <c r="AK132" s="73">
        <v>0</v>
      </c>
      <c r="AL132" s="73">
        <v>0</v>
      </c>
      <c r="AM132" s="73">
        <v>0</v>
      </c>
      <c r="AN132" s="73">
        <v>0</v>
      </c>
      <c r="AO132" s="73">
        <v>0</v>
      </c>
      <c r="AP132" s="73">
        <v>0</v>
      </c>
      <c r="AQ132" s="73">
        <v>0</v>
      </c>
      <c r="AR132" s="73">
        <v>0</v>
      </c>
      <c r="AS132" s="73">
        <v>0</v>
      </c>
      <c r="AT132" s="73">
        <v>0</v>
      </c>
      <c r="AU132" s="73">
        <v>0</v>
      </c>
      <c r="AV132" s="320">
        <v>0</v>
      </c>
    </row>
    <row r="133" spans="2:48">
      <c r="B133" s="5" t="s">
        <v>225</v>
      </c>
      <c r="C133" s="73">
        <v>131</v>
      </c>
      <c r="D133" s="73">
        <v>0</v>
      </c>
      <c r="E133" s="73">
        <v>0</v>
      </c>
      <c r="F133" s="73">
        <v>0</v>
      </c>
      <c r="G133" s="73">
        <v>0</v>
      </c>
      <c r="H133" s="73">
        <v>0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3">
        <v>0</v>
      </c>
      <c r="P133" s="422">
        <v>0</v>
      </c>
      <c r="R133" s="5" t="s">
        <v>225</v>
      </c>
      <c r="S133" s="4">
        <v>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/>
      <c r="AI133" s="5" t="s">
        <v>225</v>
      </c>
      <c r="AJ133" s="319">
        <v>131</v>
      </c>
      <c r="AK133" s="73">
        <v>0</v>
      </c>
      <c r="AL133" s="73">
        <v>0</v>
      </c>
      <c r="AM133" s="73">
        <v>0</v>
      </c>
      <c r="AN133" s="73">
        <v>0</v>
      </c>
      <c r="AO133" s="73">
        <v>0</v>
      </c>
      <c r="AP133" s="73">
        <v>25</v>
      </c>
      <c r="AQ133" s="73">
        <v>0</v>
      </c>
      <c r="AR133" s="73">
        <v>0</v>
      </c>
      <c r="AS133" s="73">
        <v>0</v>
      </c>
      <c r="AT133" s="73">
        <v>0</v>
      </c>
      <c r="AU133" s="73">
        <v>0</v>
      </c>
      <c r="AV133" s="320">
        <v>0</v>
      </c>
    </row>
    <row r="134" spans="2:48">
      <c r="B134" s="5" t="s">
        <v>227</v>
      </c>
      <c r="C134" s="73">
        <v>169</v>
      </c>
      <c r="D134" s="73">
        <v>0</v>
      </c>
      <c r="E134" s="73">
        <v>0</v>
      </c>
      <c r="F134" s="73">
        <v>0</v>
      </c>
      <c r="G134" s="73">
        <v>0</v>
      </c>
      <c r="H134" s="73">
        <v>0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3">
        <v>0</v>
      </c>
      <c r="O134" s="73">
        <v>0</v>
      </c>
      <c r="P134" s="422">
        <v>0</v>
      </c>
      <c r="R134" s="5" t="s">
        <v>227</v>
      </c>
      <c r="S134" s="4">
        <v>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/>
      <c r="AI134" s="5" t="s">
        <v>227</v>
      </c>
      <c r="AJ134" s="319">
        <v>169</v>
      </c>
      <c r="AK134" s="73">
        <v>0</v>
      </c>
      <c r="AL134" s="73">
        <v>0</v>
      </c>
      <c r="AM134" s="73">
        <v>0</v>
      </c>
      <c r="AN134" s="73">
        <v>0</v>
      </c>
      <c r="AO134" s="73">
        <v>0</v>
      </c>
      <c r="AP134" s="73">
        <v>36</v>
      </c>
      <c r="AQ134" s="73">
        <v>0</v>
      </c>
      <c r="AR134" s="73">
        <v>0</v>
      </c>
      <c r="AS134" s="73">
        <v>0</v>
      </c>
      <c r="AT134" s="73">
        <v>0</v>
      </c>
      <c r="AU134" s="73">
        <v>0</v>
      </c>
      <c r="AV134" s="320">
        <v>0</v>
      </c>
    </row>
    <row r="135" spans="2:48">
      <c r="B135" s="5" t="s">
        <v>229</v>
      </c>
      <c r="C135" s="73">
        <v>120</v>
      </c>
      <c r="D135" s="73">
        <v>0</v>
      </c>
      <c r="E135" s="73">
        <v>0</v>
      </c>
      <c r="F135" s="73">
        <v>0</v>
      </c>
      <c r="G135" s="73">
        <v>0</v>
      </c>
      <c r="H135" s="73">
        <v>0</v>
      </c>
      <c r="I135" s="73">
        <v>0</v>
      </c>
      <c r="J135" s="73">
        <v>0</v>
      </c>
      <c r="K135" s="73">
        <v>0</v>
      </c>
      <c r="L135" s="73">
        <v>0</v>
      </c>
      <c r="M135" s="73">
        <v>0</v>
      </c>
      <c r="N135" s="73">
        <v>0</v>
      </c>
      <c r="O135" s="73">
        <v>0</v>
      </c>
      <c r="P135" s="422">
        <v>0</v>
      </c>
      <c r="R135" s="5" t="s">
        <v>229</v>
      </c>
      <c r="S135" s="4">
        <v>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/>
      <c r="AI135" s="5" t="s">
        <v>229</v>
      </c>
      <c r="AJ135" s="319">
        <v>120</v>
      </c>
      <c r="AK135" s="73">
        <v>0</v>
      </c>
      <c r="AL135" s="73">
        <v>0</v>
      </c>
      <c r="AM135" s="73">
        <v>0</v>
      </c>
      <c r="AN135" s="73">
        <v>0</v>
      </c>
      <c r="AO135" s="73">
        <v>0</v>
      </c>
      <c r="AP135" s="73">
        <v>0</v>
      </c>
      <c r="AQ135" s="73">
        <v>0</v>
      </c>
      <c r="AR135" s="73">
        <v>0</v>
      </c>
      <c r="AS135" s="73">
        <v>0</v>
      </c>
      <c r="AT135" s="73">
        <v>0</v>
      </c>
      <c r="AU135" s="73">
        <v>0</v>
      </c>
      <c r="AV135" s="320">
        <v>0</v>
      </c>
    </row>
    <row r="136" spans="2:48">
      <c r="B136" s="5" t="s">
        <v>232</v>
      </c>
      <c r="C136" s="73">
        <v>138</v>
      </c>
      <c r="D136" s="73">
        <v>0</v>
      </c>
      <c r="E136" s="73">
        <v>0</v>
      </c>
      <c r="F136" s="73">
        <v>0</v>
      </c>
      <c r="G136" s="73">
        <v>0</v>
      </c>
      <c r="H136" s="73">
        <v>0</v>
      </c>
      <c r="I136" s="73">
        <v>0</v>
      </c>
      <c r="J136" s="73">
        <v>0</v>
      </c>
      <c r="K136" s="73">
        <v>0</v>
      </c>
      <c r="L136" s="73">
        <v>0</v>
      </c>
      <c r="M136" s="73">
        <v>0</v>
      </c>
      <c r="N136" s="73">
        <v>0</v>
      </c>
      <c r="O136" s="73">
        <v>0</v>
      </c>
      <c r="P136" s="422">
        <v>0</v>
      </c>
      <c r="R136" s="5" t="s">
        <v>232</v>
      </c>
      <c r="S136" s="4">
        <v>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/>
      <c r="AI136" s="5" t="s">
        <v>232</v>
      </c>
      <c r="AJ136" s="319">
        <v>138</v>
      </c>
      <c r="AK136" s="73">
        <v>0</v>
      </c>
      <c r="AL136" s="73">
        <v>0</v>
      </c>
      <c r="AM136" s="73">
        <v>0</v>
      </c>
      <c r="AN136" s="73">
        <v>0</v>
      </c>
      <c r="AO136" s="73">
        <v>0</v>
      </c>
      <c r="AP136" s="73">
        <v>0</v>
      </c>
      <c r="AQ136" s="73">
        <v>0</v>
      </c>
      <c r="AR136" s="73">
        <v>0</v>
      </c>
      <c r="AS136" s="73">
        <v>0</v>
      </c>
      <c r="AT136" s="73">
        <v>0</v>
      </c>
      <c r="AU136" s="73">
        <v>0</v>
      </c>
      <c r="AV136" s="320">
        <v>0</v>
      </c>
    </row>
    <row r="137" spans="2:48">
      <c r="B137" s="5" t="s">
        <v>234</v>
      </c>
      <c r="C137" s="73">
        <v>152</v>
      </c>
      <c r="D137" s="73">
        <v>0</v>
      </c>
      <c r="E137" s="73">
        <v>0</v>
      </c>
      <c r="F137" s="73">
        <v>0</v>
      </c>
      <c r="G137" s="73">
        <v>0</v>
      </c>
      <c r="H137" s="73">
        <v>0</v>
      </c>
      <c r="I137" s="73">
        <v>0</v>
      </c>
      <c r="J137" s="73">
        <v>0</v>
      </c>
      <c r="K137" s="73">
        <v>0</v>
      </c>
      <c r="L137" s="73">
        <v>0</v>
      </c>
      <c r="M137" s="73">
        <v>0</v>
      </c>
      <c r="N137" s="73">
        <v>0</v>
      </c>
      <c r="O137" s="73">
        <v>0</v>
      </c>
      <c r="P137" s="422">
        <v>0</v>
      </c>
      <c r="R137" s="5" t="s">
        <v>234</v>
      </c>
      <c r="S137" s="4">
        <v>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/>
      <c r="AI137" s="5" t="s">
        <v>234</v>
      </c>
      <c r="AJ137" s="319">
        <v>152</v>
      </c>
      <c r="AK137" s="73">
        <v>0</v>
      </c>
      <c r="AL137" s="73">
        <v>0</v>
      </c>
      <c r="AM137" s="73">
        <v>0</v>
      </c>
      <c r="AN137" s="73">
        <v>0</v>
      </c>
      <c r="AO137" s="73">
        <v>0</v>
      </c>
      <c r="AP137" s="73">
        <v>0</v>
      </c>
      <c r="AQ137" s="73">
        <v>0</v>
      </c>
      <c r="AR137" s="73">
        <v>0</v>
      </c>
      <c r="AS137" s="73">
        <v>0</v>
      </c>
      <c r="AT137" s="73">
        <v>0</v>
      </c>
      <c r="AU137" s="73">
        <v>0</v>
      </c>
      <c r="AV137" s="320">
        <v>0</v>
      </c>
    </row>
    <row r="138" spans="2:48">
      <c r="B138" s="5" t="s">
        <v>236</v>
      </c>
      <c r="C138" s="73">
        <v>141</v>
      </c>
      <c r="D138" s="73">
        <v>0</v>
      </c>
      <c r="E138" s="73">
        <v>0</v>
      </c>
      <c r="F138" s="73">
        <v>0</v>
      </c>
      <c r="G138" s="73">
        <v>0</v>
      </c>
      <c r="H138" s="73">
        <v>0</v>
      </c>
      <c r="I138" s="73">
        <v>0</v>
      </c>
      <c r="J138" s="73">
        <v>0</v>
      </c>
      <c r="K138" s="73">
        <v>0</v>
      </c>
      <c r="L138" s="73">
        <v>0</v>
      </c>
      <c r="M138" s="73">
        <v>0</v>
      </c>
      <c r="N138" s="73">
        <v>0</v>
      </c>
      <c r="O138" s="73">
        <v>0</v>
      </c>
      <c r="P138" s="422">
        <v>0</v>
      </c>
      <c r="R138" s="5" t="s">
        <v>236</v>
      </c>
      <c r="S138" s="4">
        <v>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/>
      <c r="AI138" s="5" t="s">
        <v>236</v>
      </c>
      <c r="AJ138" s="319">
        <v>141</v>
      </c>
      <c r="AK138" s="73">
        <v>0</v>
      </c>
      <c r="AL138" s="73">
        <v>0</v>
      </c>
      <c r="AM138" s="73">
        <v>0</v>
      </c>
      <c r="AN138" s="73">
        <v>0</v>
      </c>
      <c r="AO138" s="73">
        <v>0</v>
      </c>
      <c r="AP138" s="73">
        <v>36</v>
      </c>
      <c r="AQ138" s="73">
        <v>0</v>
      </c>
      <c r="AR138" s="73">
        <v>0</v>
      </c>
      <c r="AS138" s="73">
        <v>0</v>
      </c>
      <c r="AT138" s="73">
        <v>0</v>
      </c>
      <c r="AU138" s="73">
        <v>112</v>
      </c>
      <c r="AV138" s="320">
        <v>0</v>
      </c>
    </row>
    <row r="139" spans="2:48">
      <c r="B139" s="314" t="s">
        <v>240</v>
      </c>
      <c r="C139" s="240">
        <v>175</v>
      </c>
      <c r="D139" s="240">
        <v>0</v>
      </c>
      <c r="E139" s="240">
        <v>0</v>
      </c>
      <c r="F139" s="240">
        <v>0</v>
      </c>
      <c r="G139" s="240">
        <v>0</v>
      </c>
      <c r="H139" s="240">
        <v>0</v>
      </c>
      <c r="I139" s="240">
        <v>0</v>
      </c>
      <c r="J139" s="240">
        <v>0</v>
      </c>
      <c r="K139" s="240">
        <v>0</v>
      </c>
      <c r="L139" s="240">
        <v>0</v>
      </c>
      <c r="M139" s="240">
        <v>0</v>
      </c>
      <c r="N139" s="240">
        <v>0</v>
      </c>
      <c r="O139" s="240">
        <v>0</v>
      </c>
      <c r="P139" s="423">
        <v>0</v>
      </c>
      <c r="R139" s="314" t="s">
        <v>240</v>
      </c>
      <c r="S139" s="4">
        <v>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/>
      <c r="AI139" s="314" t="s">
        <v>240</v>
      </c>
      <c r="AJ139" s="321">
        <v>175</v>
      </c>
      <c r="AK139" s="240">
        <v>0</v>
      </c>
      <c r="AL139" s="240">
        <v>0</v>
      </c>
      <c r="AM139" s="240">
        <v>0</v>
      </c>
      <c r="AN139" s="240">
        <v>95</v>
      </c>
      <c r="AO139" s="240">
        <v>61</v>
      </c>
      <c r="AP139" s="240">
        <v>0</v>
      </c>
      <c r="AQ139" s="240">
        <v>0</v>
      </c>
      <c r="AR139" s="240">
        <v>0</v>
      </c>
      <c r="AS139" s="240">
        <v>0</v>
      </c>
      <c r="AT139" s="240">
        <v>126</v>
      </c>
      <c r="AU139" s="240">
        <v>0</v>
      </c>
      <c r="AV139" s="322">
        <v>0</v>
      </c>
    </row>
    <row r="140" spans="2:48">
      <c r="B140" s="314" t="s">
        <v>126</v>
      </c>
      <c r="C140" s="240">
        <v>182</v>
      </c>
      <c r="D140" s="240">
        <v>0</v>
      </c>
      <c r="E140" s="240">
        <v>0</v>
      </c>
      <c r="F140" s="240">
        <v>0</v>
      </c>
      <c r="G140" s="240">
        <v>0</v>
      </c>
      <c r="H140" s="240">
        <v>0</v>
      </c>
      <c r="I140" s="240">
        <v>0</v>
      </c>
      <c r="J140" s="240">
        <v>0</v>
      </c>
      <c r="K140" s="240">
        <v>0</v>
      </c>
      <c r="L140" s="240">
        <v>0</v>
      </c>
      <c r="M140" s="240">
        <v>0</v>
      </c>
      <c r="N140" s="240">
        <v>0</v>
      </c>
      <c r="O140" s="240">
        <v>0</v>
      </c>
      <c r="P140" s="423">
        <v>0</v>
      </c>
      <c r="R140" s="314" t="s">
        <v>126</v>
      </c>
      <c r="S140" s="4">
        <v>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/>
      <c r="AI140" s="314" t="s">
        <v>126</v>
      </c>
      <c r="AJ140" s="321">
        <v>182</v>
      </c>
      <c r="AK140" s="240">
        <v>0</v>
      </c>
      <c r="AL140" s="240">
        <v>0</v>
      </c>
      <c r="AM140" s="240">
        <v>0</v>
      </c>
      <c r="AN140" s="240">
        <v>0</v>
      </c>
      <c r="AO140" s="240">
        <v>0</v>
      </c>
      <c r="AP140" s="240">
        <v>0</v>
      </c>
      <c r="AQ140" s="240">
        <v>0</v>
      </c>
      <c r="AR140" s="240">
        <v>0</v>
      </c>
      <c r="AS140" s="240">
        <v>0</v>
      </c>
      <c r="AT140" s="240">
        <v>0</v>
      </c>
      <c r="AU140" s="240">
        <v>0</v>
      </c>
      <c r="AV140" s="322">
        <v>0</v>
      </c>
    </row>
    <row r="141" spans="2:48">
      <c r="B141" s="314" t="s">
        <v>242</v>
      </c>
      <c r="C141" s="240">
        <v>145</v>
      </c>
      <c r="D141" s="240">
        <v>0</v>
      </c>
      <c r="E141" s="240">
        <v>0</v>
      </c>
      <c r="F141" s="240">
        <v>0</v>
      </c>
      <c r="G141" s="240">
        <v>0</v>
      </c>
      <c r="H141" s="240">
        <v>0</v>
      </c>
      <c r="I141" s="240">
        <v>0</v>
      </c>
      <c r="J141" s="240">
        <v>0</v>
      </c>
      <c r="K141" s="240">
        <v>0</v>
      </c>
      <c r="L141" s="240">
        <v>0</v>
      </c>
      <c r="M141" s="240">
        <v>0</v>
      </c>
      <c r="N141" s="240">
        <v>0</v>
      </c>
      <c r="O141" s="240">
        <v>0</v>
      </c>
      <c r="P141" s="423">
        <v>0</v>
      </c>
      <c r="R141" s="314" t="s">
        <v>242</v>
      </c>
      <c r="S141" s="4">
        <v>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87"/>
      <c r="AI141" s="314" t="s">
        <v>242</v>
      </c>
      <c r="AJ141" s="321">
        <v>145</v>
      </c>
      <c r="AV141" s="411"/>
    </row>
    <row r="142" spans="2:48" ht="15.75" thickBot="1">
      <c r="B142" s="85" t="s">
        <v>239</v>
      </c>
      <c r="C142" s="324">
        <v>173</v>
      </c>
      <c r="D142" s="324">
        <v>0</v>
      </c>
      <c r="E142" s="324">
        <v>0</v>
      </c>
      <c r="F142" s="324">
        <v>0</v>
      </c>
      <c r="G142" s="324">
        <v>0</v>
      </c>
      <c r="H142" s="324">
        <v>0</v>
      </c>
      <c r="I142" s="324">
        <v>0</v>
      </c>
      <c r="J142" s="324">
        <v>0</v>
      </c>
      <c r="K142" s="324">
        <v>0</v>
      </c>
      <c r="L142" s="324">
        <v>0</v>
      </c>
      <c r="M142" s="324">
        <v>0</v>
      </c>
      <c r="N142" s="324">
        <v>0</v>
      </c>
      <c r="O142" s="324">
        <v>0</v>
      </c>
      <c r="P142" s="424">
        <v>0</v>
      </c>
      <c r="R142" s="85" t="s">
        <v>239</v>
      </c>
      <c r="S142" s="4">
        <v>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I142" s="85" t="s">
        <v>239</v>
      </c>
      <c r="AJ142" s="323">
        <v>173</v>
      </c>
      <c r="AK142" s="416"/>
      <c r="AL142" s="416"/>
      <c r="AM142" s="416"/>
      <c r="AN142" s="416"/>
      <c r="AO142" s="416"/>
      <c r="AP142" s="416"/>
      <c r="AQ142" s="416"/>
      <c r="AR142" s="416"/>
      <c r="AS142" s="416"/>
      <c r="AT142" s="416"/>
      <c r="AU142" s="416"/>
      <c r="AV142" s="417"/>
    </row>
    <row r="143" spans="2:48" ht="15.75" thickBot="1">
      <c r="R143" s="86"/>
      <c r="S143" s="87">
        <f>SUBTOTAL(109,TbCountHealth[US])</f>
        <v>48</v>
      </c>
      <c r="T143" s="87">
        <f>SUBTOTAL(109,TbCountHealth[UK])</f>
        <v>0</v>
      </c>
      <c r="U143" s="87">
        <f>SUBTOTAL(109,TbCountHealth[DE])</f>
        <v>0</v>
      </c>
      <c r="V143" s="87">
        <f>SUBTOTAL(109,TbCountHealth[PL])</f>
        <v>0</v>
      </c>
      <c r="W143" s="87">
        <f>SUBTOTAL(109,TbCountHealth[NL])</f>
        <v>0</v>
      </c>
      <c r="X143" s="87">
        <f>SUBTOTAL(109,TbCountHealth[MX])</f>
        <v>0</v>
      </c>
      <c r="Y143" s="87">
        <f>SUBTOTAL(109,TbCountHealth[IN])</f>
        <v>0</v>
      </c>
      <c r="Z143" s="87">
        <f>SUBTOTAL(109,TbCountHealth[EG])</f>
        <v>0</v>
      </c>
      <c r="AA143" s="87">
        <f>SUBTOTAL(109,TbCountHealth[CAN])</f>
        <v>0</v>
      </c>
      <c r="AB143" s="87">
        <f>SUBTOTAL(109,TbCountHealth[AU])</f>
        <v>0</v>
      </c>
      <c r="AC143" s="87">
        <f>SUBTOTAL(109,TbCountHealth[AE])</f>
        <v>0</v>
      </c>
      <c r="AD143" s="87">
        <f>SUBTOTAL(109,TbCountHealth[SG])</f>
        <v>0</v>
      </c>
      <c r="AE143" s="87">
        <f>SUBTOTAL(109,TbCountHealth[VN])</f>
        <v>0</v>
      </c>
      <c r="AG143" s="348">
        <f>SUM(TbCountHealth[[#Totals],[US]:[VN]])</f>
        <v>48</v>
      </c>
    </row>
  </sheetData>
  <sheetProtection algorithmName="SHA-512" hashValue="SXNUzrWJcg/a/O69C4smTomV/MES7XxnVq80rdBDQEfc0qN3LEFX9OZAyOGNSTUvVr01exWr8d25ZQlxyrJpeg==" saltValue="i5l/amv1+piek5jNelUT/Q==" spinCount="100000" sheet="1" selectLockedCells="1" selectUnlockedCells="1"/>
  <pageMargins left="0.7" right="0.7" top="0.75" bottom="0.75" header="0.3" footer="0.3"/>
  <pageSetup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236d467e-fe90-4ae0-9fe2-011d77897820" xsi:nil="true"/>
    <lcf76f155ced4ddcb4097134ff3c332f xmlns="236d467e-fe90-4ae0-9fe2-011d77897820">
      <Terms xmlns="http://schemas.microsoft.com/office/infopath/2007/PartnerControls"/>
    </lcf76f155ced4ddcb4097134ff3c332f>
    <TaxCatchAll xmlns="4544b03d-ed08-46e1-a5f8-632fc735be33" xsi:nil="true"/>
    <SharedWithUsers xmlns="4544b03d-ed08-46e1-a5f8-632fc735be33">
      <UserInfo>
        <DisplayName>Sandy Thorsen</DisplayName>
        <AccountId>4</AccountId>
        <AccountType/>
      </UserInfo>
      <UserInfo>
        <DisplayName>Brijesh Tripathi</DisplayName>
        <AccountId>3860</AccountId>
        <AccountType/>
      </UserInfo>
      <UserInfo>
        <DisplayName>Rahul Gulati</DisplayName>
        <AccountId>4695</AccountId>
        <AccountType/>
      </UserInfo>
      <UserInfo>
        <DisplayName>Rod Csikany</DisplayName>
        <AccountId>16402</AccountId>
        <AccountType/>
      </UserInfo>
      <UserInfo>
        <DisplayName>Hellen Allsop</DisplayName>
        <AccountId>9293</AccountId>
        <AccountType/>
      </UserInfo>
      <UserInfo>
        <DisplayName>Carl James</DisplayName>
        <AccountId>1333</AccountId>
        <AccountType/>
      </UserInfo>
      <UserInfo>
        <DisplayName>Travis Thonhoff</DisplayName>
        <AccountId>882</AccountId>
        <AccountType/>
      </UserInfo>
      <UserInfo>
        <DisplayName>James Nguyen</DisplayName>
        <AccountId>15573</AccountId>
        <AccountType/>
      </UserInfo>
      <UserInfo>
        <DisplayName>Matt Monteleone</DisplayName>
        <AccountId>98</AccountId>
        <AccountType/>
      </UserInfo>
      <UserInfo>
        <DisplayName>Todd LeBlanc</DisplayName>
        <AccountId>3470</AccountId>
        <AccountType/>
      </UserInfo>
      <UserInfo>
        <DisplayName>James Taylor</DisplayName>
        <AccountId>15376</AccountId>
        <AccountType/>
      </UserInfo>
      <UserInfo>
        <DisplayName>Kristen Frankel</DisplayName>
        <AccountId>3300</AccountId>
        <AccountType/>
      </UserInfo>
      <UserInfo>
        <DisplayName>Stacey Portat</DisplayName>
        <AccountId>290</AccountId>
        <AccountType/>
      </UserInfo>
      <UserInfo>
        <DisplayName>Wendy Marshall</DisplayName>
        <AccountId>3907</AccountId>
        <AccountType/>
      </UserInfo>
      <UserInfo>
        <DisplayName>Bart Dorlandt</DisplayName>
        <AccountId>5812</AccountId>
        <AccountType/>
      </UserInfo>
      <UserInfo>
        <DisplayName>Frederick Douillet</DisplayName>
        <AccountId>15637</AccountId>
        <AccountType/>
      </UserInfo>
      <UserInfo>
        <DisplayName>Steven Bianciardi</DisplayName>
        <AccountId>3011</AccountId>
        <AccountType/>
      </UserInfo>
      <UserInfo>
        <DisplayName>Patrick Ohler</DisplayName>
        <AccountId>15582</AccountId>
        <AccountType/>
      </UserInfo>
      <UserInfo>
        <DisplayName>Kenny Chow</DisplayName>
        <AccountId>8853</AccountId>
        <AccountType/>
      </UserInfo>
      <UserInfo>
        <DisplayName>Menish Parmar</DisplayName>
        <AccountId>15748</AccountId>
        <AccountType/>
      </UserInfo>
      <UserInfo>
        <DisplayName>Pricing INTL</DisplayName>
        <AccountId>16902</AccountId>
        <AccountType/>
      </UserInfo>
    </SharedWithUsers>
    <Tag xmlns="236d467e-fe90-4ae0-9fe2-011d77897820" xsi:nil="true"/>
    <DateandTime xmlns="236d467e-fe90-4ae0-9fe2-011d77897820" xsi:nil="true"/>
    <AssignedTo xmlns="236d467e-fe90-4ae0-9fe2-011d77897820">
      <UserInfo>
        <DisplayName/>
        <AccountId xsi:nil="true"/>
        <AccountType/>
      </UserInfo>
    </AssignedTo>
    <_Flow_SignoffStatus xmlns="236d467e-fe90-4ae0-9fe2-011d7789782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04D1C152C32946844AA72ED5B510AE" ma:contentTypeVersion="26" ma:contentTypeDescription="Create a new document." ma:contentTypeScope="" ma:versionID="bce43857724608d39763b478dc4c9a1d">
  <xsd:schema xmlns:xsd="http://www.w3.org/2001/XMLSchema" xmlns:xs="http://www.w3.org/2001/XMLSchema" xmlns:p="http://schemas.microsoft.com/office/2006/metadata/properties" xmlns:ns1="http://schemas.microsoft.com/sharepoint/v3" xmlns:ns2="236d467e-fe90-4ae0-9fe2-011d77897820" xmlns:ns3="4544b03d-ed08-46e1-a5f8-632fc735be33" targetNamespace="http://schemas.microsoft.com/office/2006/metadata/properties" ma:root="true" ma:fieldsID="1b16391487ab9acfbea2741ef6c7ba04" ns1:_="" ns2:_="" ns3:_="">
    <xsd:import namespace="http://schemas.microsoft.com/sharepoint/v3"/>
    <xsd:import namespace="236d467e-fe90-4ae0-9fe2-011d77897820"/>
    <xsd:import namespace="4544b03d-ed08-46e1-a5f8-632fc735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eandTime" minOccurs="0"/>
                <xsd:element ref="ns2:MediaServiceObjectDetectorVersions" minOccurs="0"/>
                <xsd:element ref="ns2:AssignedTo" minOccurs="0"/>
                <xsd:element ref="ns2:MediaServiceSearchProperties" minOccurs="0"/>
                <xsd:element ref="ns2:Tag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d467e-fe90-4ae0-9fe2-011d77897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de1bf74-4a37-48ce-b614-74b37de438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ssignedTo" ma:index="27" nillable="true" ma:displayName="Assigned To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" ma:index="29" nillable="true" ma:displayName="Tag" ma:description="Description of document" ma:format="Dropdown" ma:internalName="Tag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4b03d-ed08-46e1-a5f8-632fc735b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735703f-a276-49e5-accf-32bfcce930c1}" ma:internalName="TaxCatchAll" ma:showField="CatchAllData" ma:web="4544b03d-ed08-46e1-a5f8-632fc735b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F5E73-9140-46E0-A33A-9089CA6EB6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D56505-432D-45A3-98D0-1462898CCD46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236d467e-fe90-4ae0-9fe2-011d77897820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4544b03d-ed08-46e1-a5f8-632fc735be3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196DDCA-4DD2-4A8A-934C-E93313B98C3E}"/>
</file>

<file path=docMetadata/LabelInfo.xml><?xml version="1.0" encoding="utf-8"?>
<clbl:labelList xmlns:clbl="http://schemas.microsoft.com/office/2020/mipLabelMetadata">
  <clbl:label id="{e7f09a8f-df31-4464-b100-d09a5dbff5c8}" enabled="1" method="Privileged" siteId="{570057f4-73ef-41c8-bcbb-08db2fc15c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97</vt:i4>
      </vt:variant>
    </vt:vector>
  </HeadingPairs>
  <TitlesOfParts>
    <vt:vector size="112" baseType="lpstr">
      <vt:lpstr>Version History</vt:lpstr>
      <vt:lpstr>Summary</vt:lpstr>
      <vt:lpstr>Reference</vt:lpstr>
      <vt:lpstr>price at custom</vt:lpstr>
      <vt:lpstr>Calculator</vt:lpstr>
      <vt:lpstr>LOE</vt:lpstr>
      <vt:lpstr>Milestones</vt:lpstr>
      <vt:lpstr>Price Tables </vt:lpstr>
      <vt:lpstr>PriceTbls</vt:lpstr>
      <vt:lpstr>Resource Plan</vt:lpstr>
      <vt:lpstr>Autopopulated_resource plan</vt:lpstr>
      <vt:lpstr>Working sheet 1</vt:lpstr>
      <vt:lpstr>Working Sheet 2</vt:lpstr>
      <vt:lpstr>Working Sheet 3</vt:lpstr>
      <vt:lpstr>Costs</vt:lpstr>
      <vt:lpstr>PriceTbls!altcostAdv</vt:lpstr>
      <vt:lpstr>altcostAdv</vt:lpstr>
      <vt:lpstr>PriceTbls!altcostAps</vt:lpstr>
      <vt:lpstr>altcostAps</vt:lpstr>
      <vt:lpstr>PriceTbls!altcostData</vt:lpstr>
      <vt:lpstr>altcostData</vt:lpstr>
      <vt:lpstr>PriceTbls!altcostErp</vt:lpstr>
      <vt:lpstr>altcostErp</vt:lpstr>
      <vt:lpstr>PriceTbls!altcostProd</vt:lpstr>
      <vt:lpstr>altcostProd</vt:lpstr>
      <vt:lpstr>PriceTbls!altcostPvtCld</vt:lpstr>
      <vt:lpstr>altcostPvtCld</vt:lpstr>
      <vt:lpstr>PriceTbls!altcostSdaia</vt:lpstr>
      <vt:lpstr>altcostSdaia</vt:lpstr>
      <vt:lpstr>PriceTbls!altcostSec</vt:lpstr>
      <vt:lpstr>altcostSec</vt:lpstr>
      <vt:lpstr>Contingency</vt:lpstr>
      <vt:lpstr>Contingency_amount</vt:lpstr>
      <vt:lpstr>PriceTbls!costAdv</vt:lpstr>
      <vt:lpstr>costAdv</vt:lpstr>
      <vt:lpstr>costAps</vt:lpstr>
      <vt:lpstr>'Autopopulated_resource plan'!costData</vt:lpstr>
      <vt:lpstr>PriceTbls!costData</vt:lpstr>
      <vt:lpstr>costData</vt:lpstr>
      <vt:lpstr>PriceTbls!costErp</vt:lpstr>
      <vt:lpstr>costErp</vt:lpstr>
      <vt:lpstr>PriceTbls!costHealth</vt:lpstr>
      <vt:lpstr>costHealth</vt:lpstr>
      <vt:lpstr>PriceTbls!costProd</vt:lpstr>
      <vt:lpstr>costProd</vt:lpstr>
      <vt:lpstr>PriceTbls!costPvtCld</vt:lpstr>
      <vt:lpstr>costPvtCld</vt:lpstr>
      <vt:lpstr>PriceTbls!costSdaia</vt:lpstr>
      <vt:lpstr>costSdaia</vt:lpstr>
      <vt:lpstr>'Autopopulated_resource plan'!costSec</vt:lpstr>
      <vt:lpstr>PriceTbls!costSec</vt:lpstr>
      <vt:lpstr>costSec</vt:lpstr>
      <vt:lpstr>PriceTbls!countAdv</vt:lpstr>
      <vt:lpstr>countAdv</vt:lpstr>
      <vt:lpstr>'Autopopulated_resource plan'!countAps</vt:lpstr>
      <vt:lpstr>PriceTbls!countAps</vt:lpstr>
      <vt:lpstr>countAps</vt:lpstr>
      <vt:lpstr>'Autopopulated_resource plan'!countData</vt:lpstr>
      <vt:lpstr>PriceTbls!countData</vt:lpstr>
      <vt:lpstr>countData</vt:lpstr>
      <vt:lpstr>PriceTbls!countErp</vt:lpstr>
      <vt:lpstr>countErp</vt:lpstr>
      <vt:lpstr>PriceTbls!CountHealth</vt:lpstr>
      <vt:lpstr>CountHealth</vt:lpstr>
      <vt:lpstr>PriceTbls!countProd</vt:lpstr>
      <vt:lpstr>countProd</vt:lpstr>
      <vt:lpstr>PriceTbls!CountPvtCld</vt:lpstr>
      <vt:lpstr>CountPvtCld</vt:lpstr>
      <vt:lpstr>'Autopopulated_resource plan'!countries</vt:lpstr>
      <vt:lpstr>PriceTbls!countries</vt:lpstr>
      <vt:lpstr>countries</vt:lpstr>
      <vt:lpstr>PriceTbls!countSdaia</vt:lpstr>
      <vt:lpstr>countSdaia</vt:lpstr>
      <vt:lpstr>'Autopopulated_resource plan'!countSec</vt:lpstr>
      <vt:lpstr>PriceTbls!countSec</vt:lpstr>
      <vt:lpstr>countSec</vt:lpstr>
      <vt:lpstr>currency</vt:lpstr>
      <vt:lpstr>data_roles</vt:lpstr>
      <vt:lpstr>expiry_code</vt:lpstr>
      <vt:lpstr>fx</vt:lpstr>
      <vt:lpstr>Minimum_Revenue</vt:lpstr>
      <vt:lpstr>pa_roles</vt:lpstr>
      <vt:lpstr>'Autopopulated_resource plan'!practices</vt:lpstr>
      <vt:lpstr>PriceTbls!practices</vt:lpstr>
      <vt:lpstr>practices</vt:lpstr>
      <vt:lpstr>priceAdv</vt:lpstr>
      <vt:lpstr>priceAps</vt:lpstr>
      <vt:lpstr>priceData</vt:lpstr>
      <vt:lpstr>priceErp</vt:lpstr>
      <vt:lpstr>priceHealth</vt:lpstr>
      <vt:lpstr>priceProd</vt:lpstr>
      <vt:lpstr>pricePvtCld</vt:lpstr>
      <vt:lpstr>priceSdaia</vt:lpstr>
      <vt:lpstr>priceSec</vt:lpstr>
      <vt:lpstr>prod_roles</vt:lpstr>
      <vt:lpstr>Profit</vt:lpstr>
      <vt:lpstr>PriceTbls!role_rng</vt:lpstr>
      <vt:lpstr>role_rng</vt:lpstr>
      <vt:lpstr>'Autopopulated_resource plan'!roles</vt:lpstr>
      <vt:lpstr>PriceTbls!roles</vt:lpstr>
      <vt:lpstr>roles</vt:lpstr>
      <vt:lpstr>roles_1</vt:lpstr>
      <vt:lpstr>roles_2</vt:lpstr>
      <vt:lpstr>roles_3</vt:lpstr>
      <vt:lpstr>roles_4</vt:lpstr>
      <vt:lpstr>roles_5</vt:lpstr>
      <vt:lpstr>roles_6</vt:lpstr>
      <vt:lpstr>roles_7</vt:lpstr>
      <vt:lpstr>roles_8</vt:lpstr>
      <vt:lpstr>roles_9</vt:lpstr>
      <vt:lpstr>sec_roles</vt:lpstr>
      <vt:lpstr>wks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Brijesh Tripathi</dc:creator>
  <cp:keywords/>
  <dc:description/>
  <cp:lastModifiedBy>Matthew Wright</cp:lastModifiedBy>
  <cp:revision/>
  <dcterms:created xsi:type="dcterms:W3CDTF">2023-07-17T20:29:06Z</dcterms:created>
  <dcterms:modified xsi:type="dcterms:W3CDTF">2026-05-08T09:13:16Z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Overview">
    <vt:lpwstr>This is the LT approved PS Margin Calculator that is at the end </vt:lpwstr>
  </property>
  <property fmtid="{D5CDD505-2E9C-101B-9397-08002B2CF9AE}" pid="4" name="xd_ProgID">
    <vt:lpwstr/>
  </property>
  <property fmtid="{D5CDD505-2E9C-101B-9397-08002B2CF9AE}" pid="5" name="MediaServiceImageTags">
    <vt:lpwstr/>
  </property>
  <property fmtid="{D5CDD505-2E9C-101B-9397-08002B2CF9AE}" pid="6" name="ContentTypeId">
    <vt:lpwstr>0x010100B104D1C152C32946844AA72ED5B510AE</vt:lpwstr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xd_Signature">
    <vt:bool>false</vt:bool>
  </property>
  <property fmtid="{D5CDD505-2E9C-101B-9397-08002B2CF9AE}" pid="11" name="SharedWithUsers">
    <vt:lpwstr>4;#Sandy Thorsen;#3860;#Brijesh Tripathi;#4695;#Rahul Gulati;#16402;#Rod Csikany;#9293;#Hellen Allsop;#1333;#Carl James;#882;#Travis Thonhoff;#15573;#James Nguyen;#98;#Matt Monteleone;#3470;#Todd LeBlanc;#15376;#James Taylor;#3300;#Kristen Frankel;#290;#Stacey Portat;#3907;#Wendy Marshall;#5812;#Bart Dorlandt;#15637;#Frederick Douillet;#3011;#Steven Bianciardi;#15582;#Patrick Ohler;#8853;#Kenny Chow;#15748;#Menish Parmar;#16902;#Pricing INTL</vt:lpwstr>
  </property>
  <property fmtid="{D5CDD505-2E9C-101B-9397-08002B2CF9AE}" pid="12" name="Service Line">
    <vt:lpwstr/>
  </property>
  <property fmtid="{D5CDD505-2E9C-101B-9397-08002B2CF9AE}" pid="13" name="TriggerFlowInfo">
    <vt:lpwstr/>
  </property>
</Properties>
</file>